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Work\Avon\"/>
    </mc:Choice>
  </mc:AlternateContent>
  <xr:revisionPtr revIDLastSave="0" documentId="13_ncr:1_{D7C59F66-9CAA-41C7-B071-D6E6B3F962FC}" xr6:coauthVersionLast="47" xr6:coauthVersionMax="47" xr10:uidLastSave="{00000000-0000-0000-0000-000000000000}"/>
  <bookViews>
    <workbookView xWindow="-120" yWindow="-120" windowWidth="21840" windowHeight="13140" xr2:uid="{0715C428-276A-4B11-82DF-2DF8DEEDF4E2}"/>
  </bookViews>
  <sheets>
    <sheet name="Sheet1" sheetId="1" r:id="rId1"/>
  </sheets>
  <definedNames>
    <definedName name="_xlnm._FilterDatabase" localSheetId="0" hidden="1">Sheet1!$K$1:$K$415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13" i="1" l="1"/>
  <c r="P412" i="1"/>
  <c r="Q412" i="1" s="1"/>
  <c r="R412" i="1" s="1"/>
  <c r="P411" i="1"/>
  <c r="Q411" i="1" s="1"/>
  <c r="R411" i="1" s="1"/>
  <c r="P410" i="1"/>
  <c r="Q410" i="1" s="1"/>
  <c r="R410" i="1" s="1"/>
  <c r="P409" i="1"/>
  <c r="Q409" i="1" s="1"/>
  <c r="R409" i="1" s="1"/>
  <c r="P408" i="1"/>
  <c r="Q408" i="1" s="1"/>
  <c r="R408" i="1" s="1"/>
  <c r="P407" i="1"/>
  <c r="Q407" i="1" s="1"/>
  <c r="R407" i="1" s="1"/>
  <c r="P406" i="1"/>
  <c r="Q406" i="1" s="1"/>
  <c r="R406" i="1" s="1"/>
  <c r="P397" i="1"/>
  <c r="Q397" i="1" s="1"/>
  <c r="R397" i="1" s="1"/>
  <c r="P389" i="1"/>
  <c r="Q389" i="1" s="1"/>
  <c r="R389" i="1" s="1"/>
  <c r="P387" i="1"/>
  <c r="Q387" i="1" s="1"/>
  <c r="R387" i="1" s="1"/>
  <c r="P386" i="1"/>
  <c r="Q386" i="1" s="1"/>
  <c r="R386" i="1" s="1"/>
  <c r="P385" i="1"/>
  <c r="Q385" i="1" s="1"/>
  <c r="R385" i="1" s="1"/>
  <c r="P384" i="1"/>
  <c r="Q384" i="1" s="1"/>
  <c r="R384" i="1" s="1"/>
  <c r="P383" i="1"/>
  <c r="Q383" i="1" s="1"/>
  <c r="R383" i="1" s="1"/>
  <c r="P382" i="1"/>
  <c r="Q382" i="1" s="1"/>
  <c r="R382" i="1" s="1"/>
  <c r="P381" i="1"/>
  <c r="Q381" i="1" s="1"/>
  <c r="R381" i="1" s="1"/>
  <c r="P380" i="1"/>
  <c r="Q380" i="1" s="1"/>
  <c r="R380" i="1" s="1"/>
  <c r="P379" i="1"/>
  <c r="Q379" i="1" s="1"/>
  <c r="R379" i="1" s="1"/>
  <c r="P365" i="1"/>
  <c r="Q365" i="1" s="1"/>
  <c r="R365" i="1" s="1"/>
  <c r="P364" i="1"/>
  <c r="Q364" i="1" s="1"/>
  <c r="R364" i="1" s="1"/>
  <c r="P363" i="1"/>
  <c r="Q363" i="1" s="1"/>
  <c r="R363" i="1" s="1"/>
  <c r="P361" i="1"/>
  <c r="Q361" i="1" s="1"/>
  <c r="R361" i="1" s="1"/>
  <c r="P360" i="1"/>
  <c r="Q360" i="1" s="1"/>
  <c r="R360" i="1" s="1"/>
  <c r="P359" i="1"/>
  <c r="Q359" i="1" s="1"/>
  <c r="R359" i="1" s="1"/>
  <c r="P358" i="1"/>
  <c r="Q358" i="1" s="1"/>
  <c r="R358" i="1" s="1"/>
  <c r="P357" i="1"/>
  <c r="Q357" i="1" s="1"/>
  <c r="R357" i="1" s="1"/>
  <c r="R356" i="1"/>
  <c r="P355" i="1"/>
  <c r="Q355" i="1" s="1"/>
  <c r="R355" i="1" s="1"/>
  <c r="P354" i="1"/>
  <c r="Q354" i="1" s="1"/>
  <c r="R354" i="1" s="1"/>
  <c r="P344" i="1"/>
  <c r="Q344" i="1" s="1"/>
  <c r="R344" i="1" s="1"/>
  <c r="P343" i="1"/>
  <c r="Q343" i="1" s="1"/>
  <c r="R343" i="1" s="1"/>
  <c r="P342" i="1"/>
  <c r="Q342" i="1" s="1"/>
  <c r="R342" i="1" s="1"/>
  <c r="P341" i="1"/>
  <c r="Q341" i="1" s="1"/>
  <c r="R341" i="1" s="1"/>
  <c r="P340" i="1"/>
  <c r="Q340" i="1" s="1"/>
  <c r="R340" i="1" s="1"/>
  <c r="P339" i="1"/>
  <c r="Q339" i="1" s="1"/>
  <c r="R339" i="1" s="1"/>
  <c r="P338" i="1"/>
  <c r="Q338" i="1" s="1"/>
  <c r="R338" i="1" s="1"/>
  <c r="P337" i="1"/>
  <c r="Q337" i="1" s="1"/>
  <c r="R337" i="1" s="1"/>
  <c r="P336" i="1"/>
  <c r="Q336" i="1" s="1"/>
  <c r="R336" i="1" s="1"/>
  <c r="P335" i="1"/>
  <c r="Q335" i="1" s="1"/>
  <c r="R335" i="1" s="1"/>
  <c r="P332" i="1"/>
  <c r="Q332" i="1" s="1"/>
  <c r="R332" i="1" s="1"/>
  <c r="P331" i="1"/>
  <c r="Q331" i="1" s="1"/>
  <c r="R331" i="1" s="1"/>
  <c r="P330" i="1"/>
  <c r="Q330" i="1" s="1"/>
  <c r="R330" i="1" s="1"/>
  <c r="P328" i="1"/>
  <c r="Q328" i="1" s="1"/>
  <c r="R328" i="1" s="1"/>
  <c r="P327" i="1"/>
  <c r="Q327" i="1" s="1"/>
  <c r="R327" i="1" s="1"/>
  <c r="P325" i="1"/>
  <c r="Q325" i="1" s="1"/>
  <c r="R325" i="1" s="1"/>
  <c r="P324" i="1"/>
  <c r="Q324" i="1" s="1"/>
  <c r="R324" i="1" s="1"/>
  <c r="Q323" i="1"/>
  <c r="R323" i="1" s="1"/>
  <c r="Q322" i="1"/>
  <c r="R322" i="1" s="1"/>
  <c r="P321" i="1"/>
  <c r="Q321" i="1" s="1"/>
  <c r="R321" i="1" s="1"/>
  <c r="P320" i="1"/>
  <c r="Q320" i="1" s="1"/>
  <c r="R320" i="1" s="1"/>
  <c r="P319" i="1"/>
  <c r="Q319" i="1" s="1"/>
  <c r="R319" i="1" s="1"/>
  <c r="P312" i="1"/>
  <c r="Q312" i="1" s="1"/>
  <c r="R312" i="1" s="1"/>
  <c r="P307" i="1"/>
  <c r="Q307" i="1" s="1"/>
  <c r="R307" i="1" s="1"/>
  <c r="P306" i="1"/>
  <c r="Q306" i="1" s="1"/>
  <c r="R306" i="1" s="1"/>
  <c r="Q305" i="1"/>
  <c r="R305" i="1" s="1"/>
  <c r="P304" i="1"/>
  <c r="Q304" i="1" s="1"/>
  <c r="R304" i="1" s="1"/>
  <c r="P302" i="1"/>
  <c r="Q302" i="1" s="1"/>
  <c r="R302" i="1" s="1"/>
  <c r="Q301" i="1"/>
  <c r="R301" i="1" s="1"/>
  <c r="P297" i="1"/>
  <c r="Q297" i="1" s="1"/>
  <c r="R297" i="1" s="1"/>
  <c r="P294" i="1"/>
  <c r="Q294" i="1" s="1"/>
  <c r="R294" i="1" s="1"/>
  <c r="P293" i="1"/>
  <c r="Q293" i="1" s="1"/>
  <c r="R293" i="1" s="1"/>
  <c r="P292" i="1"/>
  <c r="Q292" i="1" s="1"/>
  <c r="R292" i="1" s="1"/>
  <c r="P291" i="1"/>
  <c r="Q291" i="1" s="1"/>
  <c r="R291" i="1" s="1"/>
  <c r="P290" i="1"/>
  <c r="Q290" i="1" s="1"/>
  <c r="R290" i="1" s="1"/>
  <c r="P289" i="1"/>
  <c r="P288" i="1"/>
  <c r="Q288" i="1" s="1"/>
  <c r="R288" i="1" s="1"/>
  <c r="P287" i="1"/>
  <c r="Q287" i="1" s="1"/>
  <c r="R287" i="1" s="1"/>
  <c r="Q286" i="1"/>
  <c r="R286" i="1" s="1"/>
  <c r="P284" i="1"/>
  <c r="Q284" i="1" s="1"/>
  <c r="R284" i="1" s="1"/>
  <c r="Q281" i="1"/>
  <c r="R281" i="1" s="1"/>
  <c r="R280" i="1"/>
  <c r="P279" i="1"/>
  <c r="Q279" i="1" s="1"/>
  <c r="R279" i="1" s="1"/>
  <c r="P278" i="1"/>
  <c r="Q278" i="1" s="1"/>
  <c r="R278" i="1" s="1"/>
  <c r="Q275" i="1"/>
  <c r="R275" i="1" s="1"/>
  <c r="P274" i="1"/>
  <c r="Q274" i="1" s="1"/>
  <c r="R274" i="1" s="1"/>
  <c r="P268" i="1"/>
  <c r="Q268" i="1" s="1"/>
  <c r="R268" i="1" s="1"/>
  <c r="P262" i="1"/>
  <c r="Q262" i="1" s="1"/>
  <c r="R262" i="1" s="1"/>
  <c r="P256" i="1"/>
  <c r="Q256" i="1" s="1"/>
  <c r="R256" i="1" s="1"/>
  <c r="P255" i="1"/>
  <c r="Q255" i="1" s="1"/>
  <c r="R255" i="1" s="1"/>
  <c r="P254" i="1"/>
  <c r="Q254" i="1" s="1"/>
  <c r="R254" i="1" s="1"/>
  <c r="P253" i="1"/>
  <c r="Q253" i="1" s="1"/>
  <c r="R253" i="1" s="1"/>
  <c r="P252" i="1"/>
  <c r="Q252" i="1" s="1"/>
  <c r="R252" i="1" s="1"/>
  <c r="P249" i="1"/>
  <c r="Q249" i="1" s="1"/>
  <c r="R249" i="1" s="1"/>
  <c r="P248" i="1"/>
  <c r="Q248" i="1" s="1"/>
  <c r="R248" i="1" s="1"/>
  <c r="P247" i="1"/>
  <c r="Q247" i="1" s="1"/>
  <c r="R247" i="1" s="1"/>
  <c r="P246" i="1"/>
  <c r="Q246" i="1" s="1"/>
  <c r="R246" i="1" s="1"/>
  <c r="P245" i="1"/>
  <c r="Q245" i="1" s="1"/>
  <c r="R245" i="1" s="1"/>
  <c r="Q243" i="1"/>
  <c r="R243" i="1" s="1"/>
  <c r="Q242" i="1"/>
  <c r="R242" i="1" s="1"/>
  <c r="P240" i="1"/>
  <c r="Q240" i="1" s="1"/>
  <c r="R240" i="1" s="1"/>
  <c r="P238" i="1"/>
  <c r="Q238" i="1" s="1"/>
  <c r="R238" i="1" s="1"/>
  <c r="P237" i="1"/>
  <c r="Q237" i="1" s="1"/>
  <c r="R237" i="1" s="1"/>
  <c r="P236" i="1"/>
  <c r="Q236" i="1" s="1"/>
  <c r="R236" i="1" s="1"/>
  <c r="P235" i="1"/>
  <c r="Q235" i="1" s="1"/>
  <c r="R235" i="1" s="1"/>
  <c r="P234" i="1"/>
  <c r="Q234" i="1" s="1"/>
  <c r="R234" i="1" s="1"/>
  <c r="P233" i="1"/>
  <c r="Q233" i="1" s="1"/>
  <c r="R233" i="1" s="1"/>
  <c r="P232" i="1"/>
  <c r="Q232" i="1" s="1"/>
  <c r="R232" i="1" s="1"/>
  <c r="R229" i="1"/>
  <c r="P229" i="1"/>
  <c r="P227" i="1"/>
  <c r="Q227" i="1" s="1"/>
  <c r="R227" i="1" s="1"/>
  <c r="P179" i="1"/>
  <c r="Q179" i="1" s="1"/>
  <c r="R179" i="1" s="1"/>
  <c r="P176" i="1"/>
  <c r="Q176" i="1" s="1"/>
  <c r="R176" i="1" s="1"/>
  <c r="P175" i="1"/>
  <c r="Q175" i="1" s="1"/>
  <c r="R175" i="1" s="1"/>
  <c r="Q173" i="1"/>
  <c r="R173" i="1" s="1"/>
  <c r="Q172" i="1"/>
  <c r="R172" i="1" s="1"/>
  <c r="P171" i="1"/>
  <c r="Q171" i="1" s="1"/>
  <c r="R171" i="1" s="1"/>
  <c r="Q168" i="1"/>
  <c r="Q167" i="1"/>
  <c r="R167" i="1" s="1"/>
  <c r="P166" i="1"/>
  <c r="Q166" i="1" s="1"/>
  <c r="R166" i="1" s="1"/>
  <c r="Q164" i="1"/>
  <c r="R164" i="1" s="1"/>
  <c r="Q162" i="1"/>
  <c r="R162" i="1" s="1"/>
  <c r="P160" i="1"/>
  <c r="Q160" i="1" s="1"/>
  <c r="R160" i="1" s="1"/>
  <c r="P158" i="1"/>
  <c r="Q158" i="1" s="1"/>
  <c r="R158" i="1" s="1"/>
  <c r="Q156" i="1"/>
  <c r="R156" i="1" s="1"/>
  <c r="P155" i="1"/>
  <c r="Q155" i="1" s="1"/>
  <c r="R155" i="1" s="1"/>
  <c r="P154" i="1"/>
  <c r="Q154" i="1" s="1"/>
  <c r="R154" i="1" s="1"/>
  <c r="P151" i="1"/>
  <c r="Q151" i="1" s="1"/>
  <c r="R151" i="1" s="1"/>
  <c r="P147" i="1"/>
  <c r="Q147" i="1" s="1"/>
  <c r="R147" i="1" s="1"/>
  <c r="P146" i="1"/>
  <c r="Q146" i="1" s="1"/>
  <c r="R146" i="1" s="1"/>
  <c r="Q145" i="1"/>
  <c r="R145" i="1" s="1"/>
  <c r="Q144" i="1"/>
  <c r="R144" i="1" s="1"/>
  <c r="P143" i="1"/>
  <c r="Q143" i="1" s="1"/>
  <c r="R143" i="1" s="1"/>
  <c r="P141" i="1"/>
  <c r="Q141" i="1" s="1"/>
  <c r="R141" i="1" s="1"/>
  <c r="P135" i="1"/>
  <c r="Q135" i="1" s="1"/>
  <c r="R135" i="1" s="1"/>
  <c r="P134" i="1"/>
  <c r="Q134" i="1" s="1"/>
  <c r="R134" i="1" s="1"/>
  <c r="Q133" i="1"/>
  <c r="R133" i="1" s="1"/>
  <c r="Q132" i="1"/>
  <c r="R132" i="1" s="1"/>
  <c r="Q131" i="1"/>
  <c r="R131" i="1" s="1"/>
  <c r="Q130" i="1"/>
  <c r="R130" i="1" s="1"/>
  <c r="P129" i="1"/>
  <c r="Q129" i="1" s="1"/>
  <c r="R129" i="1" s="1"/>
  <c r="P127" i="1"/>
  <c r="Q127" i="1" s="1"/>
  <c r="R127" i="1" s="1"/>
  <c r="P125" i="1"/>
  <c r="Q125" i="1" s="1"/>
  <c r="R125" i="1" s="1"/>
  <c r="P123" i="1"/>
  <c r="Q123" i="1" s="1"/>
  <c r="R123" i="1" s="1"/>
  <c r="Q119" i="1"/>
  <c r="R119" i="1" s="1"/>
  <c r="Q118" i="1"/>
  <c r="R118" i="1" s="1"/>
  <c r="P117" i="1"/>
  <c r="Q117" i="1" s="1"/>
  <c r="R117" i="1" s="1"/>
  <c r="Q111" i="1"/>
  <c r="R111" i="1" s="1"/>
  <c r="P110" i="1"/>
  <c r="Q110" i="1" s="1"/>
  <c r="R110" i="1" s="1"/>
  <c r="Q109" i="1"/>
  <c r="R109" i="1" s="1"/>
  <c r="Q108" i="1"/>
  <c r="R108" i="1" s="1"/>
  <c r="P107" i="1"/>
  <c r="Q107" i="1" s="1"/>
  <c r="R107" i="1" s="1"/>
  <c r="P105" i="1"/>
  <c r="Q105" i="1" s="1"/>
  <c r="R105" i="1" s="1"/>
  <c r="P104" i="1"/>
  <c r="Q104" i="1" s="1"/>
  <c r="R104" i="1" s="1"/>
  <c r="P103" i="1"/>
  <c r="Q103" i="1" s="1"/>
  <c r="R103" i="1" s="1"/>
  <c r="P102" i="1"/>
  <c r="Q102" i="1" s="1"/>
  <c r="R102" i="1" s="1"/>
  <c r="Q101" i="1"/>
  <c r="R101" i="1" s="1"/>
  <c r="P99" i="1"/>
  <c r="Q99" i="1" s="1"/>
  <c r="R99" i="1" s="1"/>
  <c r="P97" i="1"/>
  <c r="Q97" i="1" s="1"/>
  <c r="R97" i="1" s="1"/>
  <c r="P89" i="1"/>
  <c r="Q89" i="1" s="1"/>
  <c r="R89" i="1" s="1"/>
  <c r="Q82" i="1"/>
  <c r="R82" i="1" s="1"/>
  <c r="P81" i="1"/>
  <c r="Q81" i="1" s="1"/>
  <c r="R81" i="1" s="1"/>
  <c r="Q78" i="1"/>
  <c r="R78" i="1" s="1"/>
  <c r="Q77" i="1"/>
  <c r="R77" i="1" s="1"/>
  <c r="P76" i="1"/>
  <c r="Q76" i="1" s="1"/>
  <c r="R76" i="1" s="1"/>
  <c r="P74" i="1"/>
  <c r="Q74" i="1" s="1"/>
  <c r="R74" i="1" s="1"/>
  <c r="Q72" i="1"/>
  <c r="R72" i="1" s="1"/>
  <c r="Q71" i="1"/>
  <c r="R71" i="1" s="1"/>
  <c r="Q70" i="1"/>
  <c r="R70" i="1" s="1"/>
  <c r="P69" i="1"/>
  <c r="Q69" i="1" s="1"/>
  <c r="R69" i="1" s="1"/>
  <c r="Q64" i="1"/>
  <c r="R64" i="1" s="1"/>
  <c r="P63" i="1"/>
  <c r="Q63" i="1" s="1"/>
  <c r="R63" i="1" s="1"/>
  <c r="Q60" i="1"/>
  <c r="R60" i="1" s="1"/>
  <c r="P59" i="1"/>
  <c r="Q59" i="1" s="1"/>
  <c r="R59" i="1" s="1"/>
  <c r="Q52" i="1"/>
  <c r="R52" i="1" s="1"/>
  <c r="Q51" i="1"/>
  <c r="R51" i="1" s="1"/>
  <c r="P50" i="1"/>
  <c r="Q50" i="1" s="1"/>
  <c r="R50" i="1" s="1"/>
  <c r="P41" i="1"/>
  <c r="Q41" i="1" s="1"/>
  <c r="R41" i="1" s="1"/>
  <c r="Q40" i="1"/>
  <c r="R40" i="1" s="1"/>
  <c r="P39" i="1"/>
  <c r="Q39" i="1" s="1"/>
  <c r="R39" i="1" s="1"/>
  <c r="P38" i="1"/>
  <c r="Q38" i="1" s="1"/>
  <c r="R38" i="1" s="1"/>
  <c r="P37" i="1"/>
  <c r="Q37" i="1" s="1"/>
  <c r="R37" i="1" s="1"/>
  <c r="P36" i="1"/>
  <c r="Q36" i="1" s="1"/>
  <c r="R36" i="1" s="1"/>
  <c r="P32" i="1"/>
  <c r="Q32" i="1" s="1"/>
  <c r="R32" i="1" s="1"/>
  <c r="P31" i="1"/>
  <c r="Q31" i="1" s="1"/>
  <c r="R31" i="1" s="1"/>
  <c r="P30" i="1"/>
  <c r="Q30" i="1" s="1"/>
  <c r="R30" i="1" s="1"/>
  <c r="P29" i="1"/>
  <c r="Q29" i="1" s="1"/>
  <c r="R29" i="1" s="1"/>
  <c r="P28" i="1"/>
  <c r="Q28" i="1" s="1"/>
  <c r="R28" i="1" s="1"/>
  <c r="P27" i="1"/>
  <c r="Q27" i="1" s="1"/>
  <c r="R27" i="1" s="1"/>
  <c r="P26" i="1"/>
  <c r="Q26" i="1" s="1"/>
  <c r="R26" i="1" s="1"/>
  <c r="P25" i="1"/>
  <c r="Q25" i="1" s="1"/>
  <c r="R25" i="1" s="1"/>
  <c r="P23" i="1"/>
  <c r="Q23" i="1" s="1"/>
  <c r="R23" i="1" s="1"/>
  <c r="P22" i="1"/>
  <c r="Q22" i="1" s="1"/>
  <c r="R22" i="1" s="1"/>
  <c r="P21" i="1"/>
  <c r="Q21" i="1" s="1"/>
  <c r="R21" i="1" s="1"/>
  <c r="P20" i="1"/>
  <c r="Q20" i="1" s="1"/>
  <c r="R20" i="1" s="1"/>
  <c r="P5" i="1"/>
  <c r="Q5" i="1" s="1"/>
  <c r="R5" i="1" s="1"/>
  <c r="P4" i="1"/>
  <c r="Q4" i="1" s="1"/>
  <c r="R4" i="1" l="1"/>
  <c r="Q413" i="1"/>
  <c r="R413" i="1" s="1"/>
</calcChain>
</file>

<file path=xl/sharedStrings.xml><?xml version="1.0" encoding="utf-8"?>
<sst xmlns="http://schemas.openxmlformats.org/spreadsheetml/2006/main" count="1691" uniqueCount="892">
  <si>
    <t>SERVICE ADDRESS</t>
  </si>
  <si>
    <t>BILLING NAME</t>
  </si>
  <si>
    <t>SWR ACCT</t>
  </si>
  <si>
    <t>ACCT#</t>
  </si>
  <si>
    <t>SEQ#</t>
  </si>
  <si>
    <t>AWPCA REF</t>
  </si>
  <si>
    <t>SHED</t>
  </si>
  <si>
    <t>SEQ #</t>
  </si>
  <si>
    <t>IRRIG</t>
  </si>
  <si>
    <t>MAR</t>
  </si>
  <si>
    <t>JUN</t>
  </si>
  <si>
    <t>SEP</t>
  </si>
  <si>
    <t>DEC</t>
  </si>
  <si>
    <t>GALLONS</t>
  </si>
  <si>
    <t>C500110000</t>
  </si>
  <si>
    <t>11 ARCH RD</t>
  </si>
  <si>
    <t>TOWN OF AVON-GARAGE</t>
  </si>
  <si>
    <t>SIMS</t>
  </si>
  <si>
    <t>C500110300</t>
  </si>
  <si>
    <t>TOWN OF AVON (T.W.S)</t>
  </si>
  <si>
    <t>C500110200</t>
  </si>
  <si>
    <t>TOWN OF AVON (DOG S)</t>
  </si>
  <si>
    <t>↓</t>
  </si>
  <si>
    <t>C500210000</t>
  </si>
  <si>
    <t>21 ARCH RD</t>
  </si>
  <si>
    <t>21 ARCH RD ASSOC INC</t>
  </si>
  <si>
    <t>E300210000</t>
  </si>
  <si>
    <t>21 ARTS CENTER LANE</t>
  </si>
  <si>
    <t>AVON TOWN CENTER LLC</t>
  </si>
  <si>
    <t>Y710230000</t>
  </si>
  <si>
    <t>23 ARTS CENTER CT</t>
  </si>
  <si>
    <t>Y710230200</t>
  </si>
  <si>
    <t>AVON TOWN CENTER LLC - IRRIG</t>
  </si>
  <si>
    <t>N</t>
  </si>
  <si>
    <t>E350190000</t>
  </si>
  <si>
    <t>19 BROOKSIDE CT</t>
  </si>
  <si>
    <t>E350190200</t>
  </si>
  <si>
    <t>AVON TOWN CENTER LLC - IRRIG.</t>
  </si>
  <si>
    <t>Y720080000</t>
  </si>
  <si>
    <t>8 CANAL CT</t>
  </si>
  <si>
    <t>Y730110000</t>
  </si>
  <si>
    <t>11 CANAL CT</t>
  </si>
  <si>
    <t>E350050000</t>
  </si>
  <si>
    <t>5 ENSIGN DR</t>
  </si>
  <si>
    <t>E350050200</t>
  </si>
  <si>
    <t>E350310000</t>
  </si>
  <si>
    <t>31 ENSIGN DR</t>
  </si>
  <si>
    <t>E350310200</t>
  </si>
  <si>
    <t>E350070000</t>
  </si>
  <si>
    <t>7 WATERSIDE CT</t>
  </si>
  <si>
    <t>AVON TOWN CENTER</t>
  </si>
  <si>
    <t>E350090000</t>
  </si>
  <si>
    <t>MELISSA WALLACE</t>
  </si>
  <si>
    <t>E350130000</t>
  </si>
  <si>
    <t>9 WATERSIDE CT</t>
  </si>
  <si>
    <t>DONNA - FINN HEAD</t>
  </si>
  <si>
    <t>Y730160000</t>
  </si>
  <si>
    <t>12 WATERSIDE CT</t>
  </si>
  <si>
    <t>↑</t>
  </si>
  <si>
    <t>E300250000</t>
  </si>
  <si>
    <t>25 ARTS CENTER LANE</t>
  </si>
  <si>
    <t>FARM.VALLEY ARTS CENTER</t>
  </si>
  <si>
    <t>↔</t>
  </si>
  <si>
    <t>Y710270000</t>
  </si>
  <si>
    <t>27 ARTS CENTER LANE</t>
  </si>
  <si>
    <t>E410100000</t>
  </si>
  <si>
    <t>10 AVON MEADOW LANE</t>
  </si>
  <si>
    <t>ROBERT HENSLEY &amp; ASSOC</t>
  </si>
  <si>
    <t>Y480100200</t>
  </si>
  <si>
    <t>AV.MEADOW CONDO ASSOC.INC</t>
  </si>
  <si>
    <t>E410200000</t>
  </si>
  <si>
    <t>20 AVON MEADOW LANE</t>
  </si>
  <si>
    <t>CORRIDOR PROPERTY MGMT, LLC</t>
  </si>
  <si>
    <t>E410300000</t>
  </si>
  <si>
    <t>30 AVON MEADOW LANE</t>
  </si>
  <si>
    <t>ADN PROPERTIES, LLC</t>
  </si>
  <si>
    <t>E410400000</t>
  </si>
  <si>
    <t>40 AVON MEADOW LANE</t>
  </si>
  <si>
    <t>PAUL CRYAN</t>
  </si>
  <si>
    <t>E410500000</t>
  </si>
  <si>
    <t>50 AVON MEADOW LANE</t>
  </si>
  <si>
    <t>REDFOOT REALITY HOLDINGS</t>
  </si>
  <si>
    <t>E410600000</t>
  </si>
  <si>
    <t>60 AVON MEADOW LANE</t>
  </si>
  <si>
    <t>CARBRAY PROPERTIES LLC</t>
  </si>
  <si>
    <t>E410700000</t>
  </si>
  <si>
    <t>70/80 AVON MEADOW LANE</t>
  </si>
  <si>
    <t>JBILL, LLC</t>
  </si>
  <si>
    <t>E410900000</t>
  </si>
  <si>
    <t>90 AVON MEADOW LANE</t>
  </si>
  <si>
    <t>AMTEC</t>
  </si>
  <si>
    <t>E411000000</t>
  </si>
  <si>
    <t>100 AVON MEADOW LANE</t>
  </si>
  <si>
    <t>CONST. BILLING &amp; FINANCIAL SVC</t>
  </si>
  <si>
    <t>Y250020000</t>
  </si>
  <si>
    <t>279 AVON MOUNTAIN RD</t>
  </si>
  <si>
    <t>AVON OLD FARMS HOTEL</t>
  </si>
  <si>
    <t>Y250020100</t>
  </si>
  <si>
    <t>Y250020300</t>
  </si>
  <si>
    <t>Y202800000</t>
  </si>
  <si>
    <t>280 AVON MOUNTAIN RD</t>
  </si>
  <si>
    <t>NORTH HOUSE REALTY, LLC</t>
  </si>
  <si>
    <t>A150050000</t>
  </si>
  <si>
    <t>4 BAILEY RD</t>
  </si>
  <si>
    <t>JOHN D'ARCANGELO</t>
  </si>
  <si>
    <t>Z271600000</t>
  </si>
  <si>
    <t>101 BICKFORD DR</t>
  </si>
  <si>
    <t>BENCHMARK GPT AVON, SITE#:rra05</t>
  </si>
  <si>
    <t>30 BUCKINGHAM</t>
  </si>
  <si>
    <t>HERITAGE AT BUCKINGHAM</t>
  </si>
  <si>
    <t>FARM</t>
  </si>
  <si>
    <t>200 BYRON DR-MASTER ASSO</t>
  </si>
  <si>
    <t>FARMINGTON WOODS DISTRICT</t>
  </si>
  <si>
    <t>0 BYRON DR-GOLF BATHRO</t>
  </si>
  <si>
    <t>0 BYRON DR BATH HOUSE</t>
  </si>
  <si>
    <t>0 BYRON DR POOL #1</t>
  </si>
  <si>
    <t>0 GUILFORD DR-POOL</t>
  </si>
  <si>
    <t>0 GREENWICH POOL-BYRON</t>
  </si>
  <si>
    <t>Mallard Dr-pool</t>
  </si>
  <si>
    <t>FARM WDS GUARD</t>
  </si>
  <si>
    <t>43 HERITAGE DR-CLUBHOUS</t>
  </si>
  <si>
    <t>46 Heritage Dr</t>
  </si>
  <si>
    <t>3 CHIDSEY RD</t>
  </si>
  <si>
    <t>CT STATE DOT</t>
  </si>
  <si>
    <t>M703010000</t>
  </si>
  <si>
    <t>5 CLIMAX ROAD</t>
  </si>
  <si>
    <t>GRIFFIN, GUILD LLC</t>
  </si>
  <si>
    <t>25 ClIMAX ROAD</t>
  </si>
  <si>
    <t>0Avon Village Center R2</t>
  </si>
  <si>
    <t>55 ClIMAX ROAD</t>
  </si>
  <si>
    <t>0Avon Village Center R1</t>
  </si>
  <si>
    <t>50 CLIMAX ROAD</t>
  </si>
  <si>
    <t>Avon Village Center BLDG R4</t>
  </si>
  <si>
    <t>AVON VILLAGE CENTER WHOLEFDS R4</t>
  </si>
  <si>
    <t>60 Market St Bldg R5 M</t>
  </si>
  <si>
    <t>0Avon Village Center</t>
  </si>
  <si>
    <t>30 Market St Bldg R8</t>
  </si>
  <si>
    <t>M703010200</t>
  </si>
  <si>
    <t>160 COUNTRY CLUB RD</t>
  </si>
  <si>
    <t>GOLF CLUB OF AVON</t>
  </si>
  <si>
    <t>N154120000</t>
  </si>
  <si>
    <t>301 COUNTRY CLUB RD</t>
  </si>
  <si>
    <t>CARMON &amp; COMPANY LLC</t>
  </si>
  <si>
    <t>Z250270000</t>
  </si>
  <si>
    <t>CARMON &amp; COMPANY LLC -IRR</t>
  </si>
  <si>
    <t>412 West Avon Rd Hair</t>
  </si>
  <si>
    <t>22 DALE RD</t>
  </si>
  <si>
    <t>CLINTON JAMBOR</t>
  </si>
  <si>
    <t>B250330000</t>
  </si>
  <si>
    <t>27 DALE RD</t>
  </si>
  <si>
    <t xml:space="preserve">LIBERTY BANK </t>
  </si>
  <si>
    <t>B250330200</t>
  </si>
  <si>
    <t>LIBERTY BANK</t>
  </si>
  <si>
    <t>Z250330200</t>
  </si>
  <si>
    <t>33 DALE RD</t>
  </si>
  <si>
    <t>DR. COLLEEN JAMBOR</t>
  </si>
  <si>
    <t>Z250340000</t>
  </si>
  <si>
    <t>DR. SIOBAN STEPHEN</t>
  </si>
  <si>
    <t>Z250400000</t>
  </si>
  <si>
    <t>DR NICHOLAS LABBADIA</t>
  </si>
  <si>
    <t>Z250440000</t>
  </si>
  <si>
    <t>34 DALE RD</t>
  </si>
  <si>
    <t>TC&amp;F LLC</t>
  </si>
  <si>
    <t>Y830550000</t>
  </si>
  <si>
    <t>40 DALE RD</t>
  </si>
  <si>
    <t>40 DALE RD, LLC</t>
  </si>
  <si>
    <t>Y830550200</t>
  </si>
  <si>
    <t>44 DALE RD</t>
  </si>
  <si>
    <t>44 DALE RD. LLC</t>
  </si>
  <si>
    <t>Y830550300</t>
  </si>
  <si>
    <t>55 Darling Dr - Deduct</t>
  </si>
  <si>
    <t>OFS FITEL, LLC</t>
  </si>
  <si>
    <t>Y830800000</t>
  </si>
  <si>
    <t>55 Darling Dr- Primary</t>
  </si>
  <si>
    <t>Y831050000</t>
  </si>
  <si>
    <t>55 Darling Dr Cooling</t>
  </si>
  <si>
    <t>60 Darling Dr</t>
  </si>
  <si>
    <t>0Peachtree Village</t>
  </si>
  <si>
    <t>Y831200000</t>
  </si>
  <si>
    <t>80 DARLING DR</t>
  </si>
  <si>
    <t>LEGERE WOODWORKING</t>
  </si>
  <si>
    <t>Y831200200</t>
  </si>
  <si>
    <t>105 DARLING DR</t>
  </si>
  <si>
    <t>COCC, INC.</t>
  </si>
  <si>
    <t>Y831200300</t>
  </si>
  <si>
    <t>120 Darling Dr</t>
  </si>
  <si>
    <t>ORAFOL AMERICAS INC.</t>
  </si>
  <si>
    <t>Y831350000</t>
  </si>
  <si>
    <t>120 Darling Dr - Deduc</t>
  </si>
  <si>
    <t xml:space="preserve">ORAFOL AMERICAS, INC. </t>
  </si>
  <si>
    <t>Y150010000</t>
  </si>
  <si>
    <t>120 Darling Dr - Prima</t>
  </si>
  <si>
    <t>ORAFOL AMERICAS, INC</t>
  </si>
  <si>
    <t>A200070000</t>
  </si>
  <si>
    <t>135 DARLING DR</t>
  </si>
  <si>
    <t>135 DARLING DR, LLC</t>
  </si>
  <si>
    <t>A200110000</t>
  </si>
  <si>
    <t>1 EAST MAIN ST</t>
  </si>
  <si>
    <t>DECAPO BRICK OVEN PIZZA</t>
  </si>
  <si>
    <t>7 EAST MAIN ST</t>
  </si>
  <si>
    <t>AVON VILLAGE ASSOC., LLC</t>
  </si>
  <si>
    <t>A200190000</t>
  </si>
  <si>
    <t>11 EAST MAIN ST</t>
  </si>
  <si>
    <t>AVON VILLAGE ASSOC, LLC</t>
  </si>
  <si>
    <t>A200250000</t>
  </si>
  <si>
    <t>17 EAST MAIN ST</t>
  </si>
  <si>
    <t>A200270000</t>
  </si>
  <si>
    <t>19 EAST MAIN ST</t>
  </si>
  <si>
    <t>A200290000</t>
  </si>
  <si>
    <t>25 EAST MAIN ST</t>
  </si>
  <si>
    <t>A200310000</t>
  </si>
  <si>
    <t>27 EAST MAIN ST</t>
  </si>
  <si>
    <t>A200330000</t>
  </si>
  <si>
    <t>29 EAST MAIN ST</t>
  </si>
  <si>
    <t>A200350000</t>
  </si>
  <si>
    <t>31 EAST MAIN ST</t>
  </si>
  <si>
    <t>A200370000</t>
  </si>
  <si>
    <t>33 EAST MAIN ST</t>
  </si>
  <si>
    <t>A200410000</t>
  </si>
  <si>
    <t>35 EAST MAIN ST</t>
  </si>
  <si>
    <t>A200390000</t>
  </si>
  <si>
    <t>37 EAST MAIN ST</t>
  </si>
  <si>
    <t>A200450000</t>
  </si>
  <si>
    <t>41 EAST MAIN ST</t>
  </si>
  <si>
    <t>Y150510200</t>
  </si>
  <si>
    <t>39 EAST MAIN ST</t>
  </si>
  <si>
    <t>Y150510000</t>
  </si>
  <si>
    <t>45 EAST MAIN ST</t>
  </si>
  <si>
    <t>Y151020000</t>
  </si>
  <si>
    <t>51 East Main St - Prim</t>
  </si>
  <si>
    <t>APPLEWOODS LLC</t>
  </si>
  <si>
    <t>Y150850000</t>
  </si>
  <si>
    <t>51 East Main St - Dedu</t>
  </si>
  <si>
    <t>A200080000</t>
  </si>
  <si>
    <t>51 EAST MAIN ST</t>
  </si>
  <si>
    <t>Y150100000</t>
  </si>
  <si>
    <t>85 EAST MAIN ST</t>
  </si>
  <si>
    <t>THE ELEPHANT TRAIL REST.</t>
  </si>
  <si>
    <t>A200220000</t>
  </si>
  <si>
    <t>10 EAST MAIN ST</t>
  </si>
  <si>
    <t>10 E MAIN ST AVON, LLC</t>
  </si>
  <si>
    <t>A200240000</t>
  </si>
  <si>
    <t>20 EAST MAIN ST</t>
  </si>
  <si>
    <t>20 EAST MAIN ST, LLC</t>
  </si>
  <si>
    <t>A200280000</t>
  </si>
  <si>
    <t>22 EAST MAIN ST</t>
  </si>
  <si>
    <t>FLAGMAN OF AMERICA</t>
  </si>
  <si>
    <t>A200300000</t>
  </si>
  <si>
    <t>24 EAST MAIN ST</t>
  </si>
  <si>
    <t>COMPANIONS &amp; HOMEMAKERS</t>
  </si>
  <si>
    <t>C750320000</t>
  </si>
  <si>
    <t>28 EAST MAIN ST</t>
  </si>
  <si>
    <t>0Frank Pendergast Inc.</t>
  </si>
  <si>
    <t>0BAS Real Estate Holdings LLC</t>
  </si>
  <si>
    <t>A200360000</t>
  </si>
  <si>
    <t>30 EAST MAIN ST</t>
  </si>
  <si>
    <t>30 EAST MAIN LLC</t>
  </si>
  <si>
    <t>A200600000</t>
  </si>
  <si>
    <t>32 EAST MAIN ST</t>
  </si>
  <si>
    <t>32 EAST MAIN LLC</t>
  </si>
  <si>
    <t>Y150700300</t>
  </si>
  <si>
    <t>34 EAST MAIN ST</t>
  </si>
  <si>
    <t>GIFTS OF LOVE</t>
  </si>
  <si>
    <t>Y150700000</t>
  </si>
  <si>
    <t>36 EAST MAIN ST</t>
  </si>
  <si>
    <t>0Avon Medical Professionals LLC</t>
  </si>
  <si>
    <t>Y150700200</t>
  </si>
  <si>
    <t>56 EAST MAIN ST</t>
  </si>
  <si>
    <t>AVON PROPERTIES, LLC</t>
  </si>
  <si>
    <t>Y150700400</t>
  </si>
  <si>
    <t>60 EAST MAIN ST</t>
  </si>
  <si>
    <t>A200800000</t>
  </si>
  <si>
    <t>70 East Main St- Prima</t>
  </si>
  <si>
    <t>AVON PROPERTIES LLC</t>
  </si>
  <si>
    <t>C950150000</t>
  </si>
  <si>
    <t>70 East Main St - Dedu</t>
  </si>
  <si>
    <t>Y700800000</t>
  </si>
  <si>
    <t>70 EAST MAIN ST</t>
  </si>
  <si>
    <t>AVON FAIRWAY CLEANERS</t>
  </si>
  <si>
    <t>Y700800200</t>
  </si>
  <si>
    <t>MAXAMIA</t>
  </si>
  <si>
    <t>Y701000000</t>
  </si>
  <si>
    <t>80 EAST MAIN ST</t>
  </si>
  <si>
    <t>PSM ENTERPRISES, LLC</t>
  </si>
  <si>
    <t>Y701000200</t>
  </si>
  <si>
    <t>15 ENFORD ST</t>
  </si>
  <si>
    <t>USPOSTAL SERVICE</t>
  </si>
  <si>
    <t>Z051010000</t>
  </si>
  <si>
    <t>44 WEST MAIN ST</t>
  </si>
  <si>
    <t>32 West Main St</t>
  </si>
  <si>
    <t>A100440000</t>
  </si>
  <si>
    <t>38 West Main St  - Ded</t>
  </si>
  <si>
    <t>A120040000</t>
  </si>
  <si>
    <t>38 West Main St  - Pri</t>
  </si>
  <si>
    <t>Y701500000</t>
  </si>
  <si>
    <t>80 Fisher Dr - Primar</t>
  </si>
  <si>
    <t>HTA-80 FISHER, LLC #150416</t>
  </si>
  <si>
    <t>Y701500200</t>
  </si>
  <si>
    <t>80 FISHER DR Deduc</t>
  </si>
  <si>
    <t>100 FISHER DR</t>
  </si>
  <si>
    <t>HCR MANORCARE PROP LLC, SITE 686</t>
  </si>
  <si>
    <t>Y702000000</t>
  </si>
  <si>
    <t>150 Fisher Dr  - Deduc</t>
  </si>
  <si>
    <t>FARMINGTON ACADEMY INC</t>
  </si>
  <si>
    <t>F020003000</t>
  </si>
  <si>
    <t>150 Fisher Dr - Primar</t>
  </si>
  <si>
    <t>200 FISHER DRIVE</t>
  </si>
  <si>
    <t>APN ASSOC</t>
  </si>
  <si>
    <t>Y220350000</t>
  </si>
  <si>
    <t>335 HUCKLEBERRY HILL RD</t>
  </si>
  <si>
    <t>Y220450000</t>
  </si>
  <si>
    <t>365 HUCKLEBERRY HILL RD</t>
  </si>
  <si>
    <t>AVON VOLUNTEER DEPT</t>
  </si>
  <si>
    <t>Y220450200</t>
  </si>
  <si>
    <t>1 HUNTINGTON GLEN(CLUB</t>
  </si>
  <si>
    <t>HUNTERS RUN TAX DISTRICT</t>
  </si>
  <si>
    <t>Y220550000</t>
  </si>
  <si>
    <t>HUNTERS RUN GATE HOUSE</t>
  </si>
  <si>
    <t>Y220550200</t>
  </si>
  <si>
    <t>27 NOD RD</t>
  </si>
  <si>
    <t>CONNEMARA COURT-ALSOP</t>
  </si>
  <si>
    <t>C110650200</t>
  </si>
  <si>
    <t>35 NOD RD</t>
  </si>
  <si>
    <t>CONNEMARA COURT, LLC</t>
  </si>
  <si>
    <t>C110650000</t>
  </si>
  <si>
    <t>45 Nod Rd - Deduct Mtr</t>
  </si>
  <si>
    <t>Y351510000</t>
  </si>
  <si>
    <t>45 Nod Rd - Primary Mt</t>
  </si>
  <si>
    <t>CONNEMARA COURT</t>
  </si>
  <si>
    <t>C401540000</t>
  </si>
  <si>
    <t>55 Nod Rd - Deduct Mtr</t>
  </si>
  <si>
    <t>NOD PROPERTIES LLC</t>
  </si>
  <si>
    <t>C401900000</t>
  </si>
  <si>
    <t>55 Nod Rd - Primary Mt</t>
  </si>
  <si>
    <t>65 Nod Rd -Primary Mtr</t>
  </si>
  <si>
    <t>BLUE FOX CLUBHOUSE</t>
  </si>
  <si>
    <t>Y352050000</t>
  </si>
  <si>
    <t>65 Nod Rd - Deduct Mtr</t>
  </si>
  <si>
    <t>BLUE FOX RUN - MAINT BARN</t>
  </si>
  <si>
    <t>Y355000000</t>
  </si>
  <si>
    <t>151 OLD FARMS RD</t>
  </si>
  <si>
    <t>OLDCASTLE PRECAST INC.</t>
  </si>
  <si>
    <t>Y355000200</t>
  </si>
  <si>
    <t>154 OLD FARMS RD</t>
  </si>
  <si>
    <t>OLDCASTLE PRECAST INC</t>
  </si>
  <si>
    <t>Y355009800</t>
  </si>
  <si>
    <t>174 OLD FARMS RD</t>
  </si>
  <si>
    <t>JENNIFER CENTOFANTI</t>
  </si>
  <si>
    <t>C600180000</t>
  </si>
  <si>
    <t>190 OLD FARMS RD</t>
  </si>
  <si>
    <t>AVON SELF-STORAGE</t>
  </si>
  <si>
    <t>205 OLD FARMS RD</t>
  </si>
  <si>
    <t>Hop Meadow Brewing Co.</t>
  </si>
  <si>
    <t>Truffles Bakery &amp; Kitchen</t>
  </si>
  <si>
    <t>Cornerstone Landing A HOU</t>
  </si>
  <si>
    <t>Cornerstone Landing B</t>
  </si>
  <si>
    <t>Y820200000</t>
  </si>
  <si>
    <t>500 OLD FARMS RD</t>
  </si>
  <si>
    <t>AVON OLD FARMS SCHOOL</t>
  </si>
  <si>
    <t>Y820200200</t>
  </si>
  <si>
    <t>Y820250000</t>
  </si>
  <si>
    <t>Y820250200</t>
  </si>
  <si>
    <t>18 SANDSCREEN RD</t>
  </si>
  <si>
    <t>MY DOG'S DAYCARE LLC</t>
  </si>
  <si>
    <t>Y820380000</t>
  </si>
  <si>
    <t>106 SECRET LAKE RD</t>
  </si>
  <si>
    <t>TOWN OF AVON FIRE</t>
  </si>
  <si>
    <t>Y820380200</t>
  </si>
  <si>
    <t>20 SECURITY DR</t>
  </si>
  <si>
    <t>0CREC Academy of the Arts</t>
  </si>
  <si>
    <t>Y820600000</t>
  </si>
  <si>
    <t>A200020000</t>
  </si>
  <si>
    <t>25 Security Dr - Deduc</t>
  </si>
  <si>
    <t>PMP CORP</t>
  </si>
  <si>
    <t>E400340000</t>
  </si>
  <si>
    <t>25 Security Dr - Prima</t>
  </si>
  <si>
    <t>30 OLD WHEELER LANE</t>
  </si>
  <si>
    <t>BOARD OF EDUCATION</t>
  </si>
  <si>
    <t>Y450550000</t>
  </si>
  <si>
    <t>38 Security Dr - Deduc</t>
  </si>
  <si>
    <t>NORWICH COMMERCIAL GRP INC.</t>
  </si>
  <si>
    <t>Y450550200</t>
  </si>
  <si>
    <t>38 Security Dr - Prima</t>
  </si>
  <si>
    <t>NORWICH COMMERCIAL GRP INC</t>
  </si>
  <si>
    <t>E401010000</t>
  </si>
  <si>
    <t>60 SECURITY DR</t>
  </si>
  <si>
    <t>TREND OFFSET PRINTING</t>
  </si>
  <si>
    <t>0Mittera Group Inc</t>
  </si>
  <si>
    <t>34 Simsbury Rd</t>
  </si>
  <si>
    <t>0Board Of Education</t>
  </si>
  <si>
    <t>0Avon Public Works</t>
  </si>
  <si>
    <t>100 Simsbury Rd - Prim</t>
  </si>
  <si>
    <t>0Brighenti Family Wellness</t>
  </si>
  <si>
    <t>100 Simsbury Rd - Dedu</t>
  </si>
  <si>
    <t>COMMERCIAL PROP ADV LLC</t>
  </si>
  <si>
    <t>100 Simsbury Rd</t>
  </si>
  <si>
    <t>0Healthtrax - Avon</t>
  </si>
  <si>
    <t>Y451200200</t>
  </si>
  <si>
    <t>101 SIMSBURY RD</t>
  </si>
  <si>
    <t>NORTHWEST COMMUNITY BANK</t>
  </si>
  <si>
    <t>E401360400</t>
  </si>
  <si>
    <t>111 SIMSBURY RD</t>
  </si>
  <si>
    <t>AVON OFFICE COMMONS ASSOC.</t>
  </si>
  <si>
    <t>E401360500</t>
  </si>
  <si>
    <t>117 Simsbury Rd - prim</t>
  </si>
  <si>
    <t>THE RESIDENCE AT BROOKSIDE</t>
  </si>
  <si>
    <t>E401360600</t>
  </si>
  <si>
    <t>117 Simsbury Rd - Dedu</t>
  </si>
  <si>
    <t>E401380000</t>
  </si>
  <si>
    <t>145 SIMSBURY RD</t>
  </si>
  <si>
    <t>REAR BUILDING</t>
  </si>
  <si>
    <t>Y451400000</t>
  </si>
  <si>
    <t>147 SIMSBURY RD</t>
  </si>
  <si>
    <t>147 ASSOCIATES</t>
  </si>
  <si>
    <t>E401360700</t>
  </si>
  <si>
    <t>139 SIMSBURY RD</t>
  </si>
  <si>
    <t>0New Eng Guild Wealth Adv.</t>
  </si>
  <si>
    <t>0DH 139 Simsbury Rd LLC</t>
  </si>
  <si>
    <t>E401360800</t>
  </si>
  <si>
    <t>120 SIMSBURY RD</t>
  </si>
  <si>
    <t>0Commercial Prop Adv Llc</t>
  </si>
  <si>
    <t>E401361700</t>
  </si>
  <si>
    <t>140 Simsbury Rd - #3 -</t>
  </si>
  <si>
    <t>0Riverdale Farms (irr#3)</t>
  </si>
  <si>
    <t>140 Simsbury Rd</t>
  </si>
  <si>
    <t>0Educational Playcare</t>
  </si>
  <si>
    <t>E401200300</t>
  </si>
  <si>
    <t>144 Simsbury Rd</t>
  </si>
  <si>
    <t>0Avon Clock &amp; Lighting</t>
  </si>
  <si>
    <t>0Educational Playcare #7</t>
  </si>
  <si>
    <t>146 Simsbury Rd</t>
  </si>
  <si>
    <t>0Educational Playcare  #7</t>
  </si>
  <si>
    <t>E401360000</t>
  </si>
  <si>
    <t>E401360100</t>
  </si>
  <si>
    <t>0Avon Wines &amp; Spirits</t>
  </si>
  <si>
    <t>146 Simsbury Rd - #7 I</t>
  </si>
  <si>
    <t>0Riverdale Farms</t>
  </si>
  <si>
    <t>152 Simsbury Rd</t>
  </si>
  <si>
    <t>0Riverdale Farms (Foresight)</t>
  </si>
  <si>
    <t>Y451360200</t>
  </si>
  <si>
    <t>0Riverdale Farms (offices)</t>
  </si>
  <si>
    <t>E401460000</t>
  </si>
  <si>
    <t>0Koster Family Chiropractic</t>
  </si>
  <si>
    <t>0BAM PT and Wellness Center</t>
  </si>
  <si>
    <t>0Lux Hair Co.</t>
  </si>
  <si>
    <t>152 Simsbury Rd - #19</t>
  </si>
  <si>
    <t>0Riverdale Farms (#19 Irr)</t>
  </si>
  <si>
    <t>152 Simsbury Rd - #9 -</t>
  </si>
  <si>
    <t>0Riverdale Farms -(#9 Irr)</t>
  </si>
  <si>
    <t>152 Simsbury Rd Bathro</t>
  </si>
  <si>
    <t>0Little City Pizza</t>
  </si>
  <si>
    <t>0Educational Playcare #8</t>
  </si>
  <si>
    <t>0Educational Playcare #19</t>
  </si>
  <si>
    <t>E401460200</t>
  </si>
  <si>
    <t>136 SIMSBURY RD</t>
  </si>
  <si>
    <t>0Ekkalak Thai Cuisine</t>
  </si>
  <si>
    <t>E401460400</t>
  </si>
  <si>
    <t>0Toshi Japanese Restaurant</t>
  </si>
  <si>
    <t>E401460500</t>
  </si>
  <si>
    <t>0RSB78 LLC</t>
  </si>
  <si>
    <t>0Somewhere in Bangkok</t>
  </si>
  <si>
    <t>0The Lime Bar</t>
  </si>
  <si>
    <t>136 Simsbury Rd - Bld</t>
  </si>
  <si>
    <t>0Riverdale Farms Irr 14</t>
  </si>
  <si>
    <t>136 Simsbury Rd - IRR</t>
  </si>
  <si>
    <t>0Riverdale Farms IR #6</t>
  </si>
  <si>
    <t>136 Simsbury Rd (2A)</t>
  </si>
  <si>
    <t>0Brownbear And Owl Holistic LLC</t>
  </si>
  <si>
    <t>136 Simsbury Rd (bldg</t>
  </si>
  <si>
    <t>0Riverdale Farms (bld 5A)</t>
  </si>
  <si>
    <t>0Elizabeth Nicole Wake Studio</t>
  </si>
  <si>
    <t>136 Simsbury Rd 5B</t>
  </si>
  <si>
    <t>0Creative Development LLC</t>
  </si>
  <si>
    <t>136 Simsbury Rd Bld 16</t>
  </si>
  <si>
    <t>0Body Over Bike</t>
  </si>
  <si>
    <t>136 Simsbury Rd Bldg 1</t>
  </si>
  <si>
    <t>0Riverdale Farms (bld 14 Apt.)</t>
  </si>
  <si>
    <t>0Riverdale Farms (Bakery)</t>
  </si>
  <si>
    <t>136 Simsbury Rd Bldg 4</t>
  </si>
  <si>
    <t>136 Simsbury Rd Ste 2B</t>
  </si>
  <si>
    <t>136 Simsbury Rd</t>
  </si>
  <si>
    <t>0Avon Country Deli LLC</t>
  </si>
  <si>
    <t>0Raimie H Weber LLC</t>
  </si>
  <si>
    <t>136 Simsbury Rd bldg 1</t>
  </si>
  <si>
    <t>0Bounom Limited Liability Co</t>
  </si>
  <si>
    <t>136 Simsbury Rd  Hairl</t>
  </si>
  <si>
    <t>0Simply Eventful LLC</t>
  </si>
  <si>
    <t>0Be.Yoga In Avon LLC</t>
  </si>
  <si>
    <t>Y810500000</t>
  </si>
  <si>
    <t>RIVERDALE FARMS (BLD 14 APT.)</t>
  </si>
  <si>
    <t>Y451170000</t>
  </si>
  <si>
    <t>2 SIMSBURY RD</t>
  </si>
  <si>
    <t>JKY LLC</t>
  </si>
  <si>
    <t>55 Simsbury Rd</t>
  </si>
  <si>
    <t>0AD1 Avon Hotels, LLC</t>
  </si>
  <si>
    <t>55 Simsbury Rd - Deduc</t>
  </si>
  <si>
    <t>55 Simsbury Rd - Prima</t>
  </si>
  <si>
    <t>10 Tower Lane The Offi</t>
  </si>
  <si>
    <t>0ENE Realty Assoc</t>
  </si>
  <si>
    <t>20 Tower Lane CGFM Tow</t>
  </si>
  <si>
    <t>0ENE Realty Assoc., Llc</t>
  </si>
  <si>
    <t>30 Tower Lane The Offi</t>
  </si>
  <si>
    <t>0ENE Realty Assoc LLC</t>
  </si>
  <si>
    <t>40 Tower Lane Prim</t>
  </si>
  <si>
    <t>040 Tower Lane, LLC</t>
  </si>
  <si>
    <t>50 Tower Lane</t>
  </si>
  <si>
    <t>050 Tower, LLC</t>
  </si>
  <si>
    <t>Z200150200</t>
  </si>
  <si>
    <t>7 TOWPATH LANE</t>
  </si>
  <si>
    <t>SECURE FINANCIAL PROPERTIES, LLC</t>
  </si>
  <si>
    <t>B050120000</t>
  </si>
  <si>
    <t>150 THOMPSON RD</t>
  </si>
  <si>
    <t>BOARD OF ED.(5/6 SCHOOL)</t>
  </si>
  <si>
    <t>B050180000</t>
  </si>
  <si>
    <t>B050200000</t>
  </si>
  <si>
    <t>Z200460000</t>
  </si>
  <si>
    <t>9 WATERVILLE RD</t>
  </si>
  <si>
    <t>BOTANICALS DAY SPA</t>
  </si>
  <si>
    <t>Z250540000</t>
  </si>
  <si>
    <t>21 WATERVILLE RD</t>
  </si>
  <si>
    <t>M653950600</t>
  </si>
  <si>
    <t>22 Waterville Rd - Ded</t>
  </si>
  <si>
    <t>SWEETLAND REALTY LLC</t>
  </si>
  <si>
    <t>M653950300</t>
  </si>
  <si>
    <t>22 Waterville Rd - Pri</t>
  </si>
  <si>
    <t>M653950000</t>
  </si>
  <si>
    <t>29 WATERVILLE RD</t>
  </si>
  <si>
    <t>TWENTY NINE WATERVILLE LLC</t>
  </si>
  <si>
    <t>M653950200</t>
  </si>
  <si>
    <t>35 WATERVILLE RD</t>
  </si>
  <si>
    <t>CONNECTICUT EYE CENTER</t>
  </si>
  <si>
    <t>M653950400</t>
  </si>
  <si>
    <t>40 WATERVILLE RD</t>
  </si>
  <si>
    <t>PATH LLC</t>
  </si>
  <si>
    <t>M653950500</t>
  </si>
  <si>
    <t>59 WATERVILLE RD</t>
  </si>
  <si>
    <t>CAPITOL REG. EDUC. COUNCIL</t>
  </si>
  <si>
    <t>N154270400</t>
  </si>
  <si>
    <t>9 WEST AVON RD</t>
  </si>
  <si>
    <t>PETCO ANIMAL SUPPLY #1813</t>
  </si>
  <si>
    <t>N154900000</t>
  </si>
  <si>
    <t>15 West Avon Rd - Dedu</t>
  </si>
  <si>
    <t>PUERTO VALLARTA GROUP LLC</t>
  </si>
  <si>
    <t>N154270200</t>
  </si>
  <si>
    <t>15 West Avon Rd - Prim</t>
  </si>
  <si>
    <t>SIMSBURY TURNPIKE REALTY, LLC</t>
  </si>
  <si>
    <t>Z205100000</t>
  </si>
  <si>
    <t>12 WEST AVON RD</t>
  </si>
  <si>
    <t>DR. TIMOTHY OWENS, LLC</t>
  </si>
  <si>
    <t>Z205100200</t>
  </si>
  <si>
    <t>18 WEST AVON RD</t>
  </si>
  <si>
    <t>MY EYE OPTOMETRY</t>
  </si>
  <si>
    <t>Z205100300</t>
  </si>
  <si>
    <t>20 WEST AVON RD</t>
  </si>
  <si>
    <t>TWENTY W AVON RD ASSOC</t>
  </si>
  <si>
    <t>N154270500</t>
  </si>
  <si>
    <t>46 WEST AVON RD</t>
  </si>
  <si>
    <t>DR. NICHOLAS LABBADIA</t>
  </si>
  <si>
    <t>N154270100</t>
  </si>
  <si>
    <t>54 WEST AVON RD</t>
  </si>
  <si>
    <t>0Prime Healthcare, P.C.</t>
  </si>
  <si>
    <t>N154270600</t>
  </si>
  <si>
    <t>54 West Avon Rd 101 Mt</t>
  </si>
  <si>
    <t>54 West Avon Rd 103</t>
  </si>
  <si>
    <t>54 West Avon Rd 104</t>
  </si>
  <si>
    <t>DIALYSIS CLIMIC</t>
  </si>
  <si>
    <t>N154270300</t>
  </si>
  <si>
    <t>395 WEST AVON RD</t>
  </si>
  <si>
    <t>0Your Corner Store, LLC</t>
  </si>
  <si>
    <t>N155900000</t>
  </si>
  <si>
    <t>0Brighenti Enterprises</t>
  </si>
  <si>
    <t>0Luke's Donut Shop</t>
  </si>
  <si>
    <t>Z206520000</t>
  </si>
  <si>
    <t>Z206520200</t>
  </si>
  <si>
    <t>A100030000</t>
  </si>
  <si>
    <t>Y100050000</t>
  </si>
  <si>
    <t>427 WEST AVON RD</t>
  </si>
  <si>
    <t>0Icon Salon</t>
  </si>
  <si>
    <t>0Lovely Nails &amp;Spa LLC</t>
  </si>
  <si>
    <t>0Cheers2u</t>
  </si>
  <si>
    <t>0American Eagle Financial Credi</t>
  </si>
  <si>
    <t>0West Avon LLC</t>
  </si>
  <si>
    <t>0Pizzeria Davinci LLC</t>
  </si>
  <si>
    <t>Y100240000</t>
  </si>
  <si>
    <t>590 WEST AVON RD</t>
  </si>
  <si>
    <t>VALLEY COM. BAPTIST CHURCH</t>
  </si>
  <si>
    <t>Y100240100</t>
  </si>
  <si>
    <t>Y100240200</t>
  </si>
  <si>
    <t>652 West Avon Rd - Pri</t>
  </si>
  <si>
    <t>AVON CONVALESCENT HOME</t>
  </si>
  <si>
    <t>A100290000</t>
  </si>
  <si>
    <t>652 West Avon Rd - Ded</t>
  </si>
  <si>
    <t>A100060000</t>
  </si>
  <si>
    <t>490 WEST AVON RD</t>
  </si>
  <si>
    <t>WEST AVON FIRE HOUSE #3</t>
  </si>
  <si>
    <t>A100120000</t>
  </si>
  <si>
    <t>510 WEST AVON RD</t>
  </si>
  <si>
    <t>BOARD OF ED.(ATH.FLD.)</t>
  </si>
  <si>
    <t>A100140000</t>
  </si>
  <si>
    <t>510 West Avon Rd - IRR</t>
  </si>
  <si>
    <t>A100290100</t>
  </si>
  <si>
    <t>3 WEST MAIN ST</t>
  </si>
  <si>
    <t>O'NEILL CHEV &amp; BUICK</t>
  </si>
  <si>
    <t>A100290200</t>
  </si>
  <si>
    <t>5 WEST MAIN ST</t>
  </si>
  <si>
    <t>O'NEILL'S CHEV&amp;BUICK,INC.</t>
  </si>
  <si>
    <t>A100290300</t>
  </si>
  <si>
    <t>6 WEST MAIN ST</t>
  </si>
  <si>
    <t>AVON CONG. CHURCH DEDUC</t>
  </si>
  <si>
    <t>A100370000</t>
  </si>
  <si>
    <t xml:space="preserve">AVON CONG. CHURCH PRIM </t>
  </si>
  <si>
    <t>A100450300</t>
  </si>
  <si>
    <t>11 WEST MAIN ST</t>
  </si>
  <si>
    <t>THE MASTERS CORP.</t>
  </si>
  <si>
    <t>A100450400</t>
  </si>
  <si>
    <t>12 WEST MAIN ST</t>
  </si>
  <si>
    <t>AVON CONG. CHURCH</t>
  </si>
  <si>
    <t>A100450200</t>
  </si>
  <si>
    <t>14 WEST MAIN ST</t>
  </si>
  <si>
    <t>AVON WATER COMPANY</t>
  </si>
  <si>
    <t>A100470000</t>
  </si>
  <si>
    <t>16 WEST MAIN ST</t>
  </si>
  <si>
    <t>Mgn Co LLC</t>
  </si>
  <si>
    <t>A100450000</t>
  </si>
  <si>
    <t>17 WEST MAIN ST</t>
  </si>
  <si>
    <t>17 W MAIN ST ASSOC LLC</t>
  </si>
  <si>
    <t>A100600000</t>
  </si>
  <si>
    <t>20 WEST MAIN ST</t>
  </si>
  <si>
    <t>DOM'S COFFEE LLC</t>
  </si>
  <si>
    <t>A100600100</t>
  </si>
  <si>
    <t>21 WEST MAIN ST</t>
  </si>
  <si>
    <t>THE COFFEE TRADE INC.</t>
  </si>
  <si>
    <t>A100600200</t>
  </si>
  <si>
    <t>24 WEST MAIN ST</t>
  </si>
  <si>
    <t>FIRST &amp; LAST TAVERN, AVON</t>
  </si>
  <si>
    <t>A100600400</t>
  </si>
  <si>
    <t>24 West Main St - Prim</t>
  </si>
  <si>
    <t>A100600300</t>
  </si>
  <si>
    <t>24 West Main St - Dedu</t>
  </si>
  <si>
    <t>A100600500</t>
  </si>
  <si>
    <t>29 West Main St Bld 1</t>
  </si>
  <si>
    <t>LORENZO DICLEMENTE #3</t>
  </si>
  <si>
    <t>A100600600</t>
  </si>
  <si>
    <t>29 West Main St Bld 2</t>
  </si>
  <si>
    <t>JOSEPH &amp; IRENE GENTILE #2</t>
  </si>
  <si>
    <t>A101120000</t>
  </si>
  <si>
    <t>29 West Main St Bld. 3</t>
  </si>
  <si>
    <t>LORENZO DICLEMENTE #1</t>
  </si>
  <si>
    <t>A101660000</t>
  </si>
  <si>
    <t>29 West Main St Bldg 1</t>
  </si>
  <si>
    <t>LORENZO DICLEMENTE #4</t>
  </si>
  <si>
    <t>A101660200</t>
  </si>
  <si>
    <t>37 WEST MAIN ST</t>
  </si>
  <si>
    <t>LORENZO DICLEMENTE</t>
  </si>
  <si>
    <t>Z101720000</t>
  </si>
  <si>
    <t>43 West Main St - IRR</t>
  </si>
  <si>
    <t>0Avon Central LLC</t>
  </si>
  <si>
    <t>Z101720200</t>
  </si>
  <si>
    <t>43 West Main St - Prim</t>
  </si>
  <si>
    <t>Z101770000</t>
  </si>
  <si>
    <t>45 WEST MAIN ST</t>
  </si>
  <si>
    <t>AVON ALLIES</t>
  </si>
  <si>
    <t>47 WEST MAIN ST</t>
  </si>
  <si>
    <t>DREW &amp; MERSEREAU, PC</t>
  </si>
  <si>
    <t>A101920000</t>
  </si>
  <si>
    <t>49 WEST MAIN ST</t>
  </si>
  <si>
    <t>ACOP, LLC #49</t>
  </si>
  <si>
    <t>A100320000</t>
  </si>
  <si>
    <t>16 ENSIGN DR</t>
  </si>
  <si>
    <t>A100380200</t>
  </si>
  <si>
    <t>32 WEST MAIN ST</t>
  </si>
  <si>
    <t>60 West Main St  Bldg</t>
  </si>
  <si>
    <t>0Town of Avon</t>
  </si>
  <si>
    <t>60 West Main St</t>
  </si>
  <si>
    <t>0Public Works (green)</t>
  </si>
  <si>
    <t>60 West Main St - Poli</t>
  </si>
  <si>
    <t>0Town Of Avon</t>
  </si>
  <si>
    <t>60 West Main St Bldg 5</t>
  </si>
  <si>
    <t>0Town Of Avon (Bld 5)</t>
  </si>
  <si>
    <t>60 West Main St Bldg 6</t>
  </si>
  <si>
    <t>60 West Main St Bldg 8</t>
  </si>
  <si>
    <t>60 West Main St Bldg1</t>
  </si>
  <si>
    <t>A102100200</t>
  </si>
  <si>
    <t>112 WEST MAIN ST</t>
  </si>
  <si>
    <t>MARLENE JUNG ASSOC</t>
  </si>
  <si>
    <t>Z102100000</t>
  </si>
  <si>
    <t>166 WEST MAIN ST</t>
  </si>
  <si>
    <t>F &amp; L ASSOCIATES</t>
  </si>
  <si>
    <t>A102140000</t>
  </si>
  <si>
    <t>172 W Main St Prud Bld</t>
  </si>
  <si>
    <t>172 WEST MAIN,  LLC</t>
  </si>
  <si>
    <t>A102200000</t>
  </si>
  <si>
    <t>172 West Main St - Ded</t>
  </si>
  <si>
    <t>172 WEST MAIN, LLC</t>
  </si>
  <si>
    <t>A102210000</t>
  </si>
  <si>
    <t>177 WEST MAIN ST</t>
  </si>
  <si>
    <t>STEPHAN BROTHERS REALTY</t>
  </si>
  <si>
    <t>A102240000</t>
  </si>
  <si>
    <t>183 WEST MAIN ST</t>
  </si>
  <si>
    <t>YONG</t>
  </si>
  <si>
    <t>Z102250000</t>
  </si>
  <si>
    <t>192 WEST MAIN ST</t>
  </si>
  <si>
    <t>LEIBERT FAMILY LTD. PART.</t>
  </si>
  <si>
    <t>Z102320000</t>
  </si>
  <si>
    <t>ROSIE'S LAUNDRY</t>
  </si>
  <si>
    <t>A102400000</t>
  </si>
  <si>
    <t>195 WEST MAIN ST</t>
  </si>
  <si>
    <t>FOUR SQUARE ASSOCIATES</t>
  </si>
  <si>
    <t>200 WEST MAIN ST</t>
  </si>
  <si>
    <t>DP1 LLC</t>
  </si>
  <si>
    <t>A102550000</t>
  </si>
  <si>
    <t>200 West Main St Unit B</t>
  </si>
  <si>
    <t>E &amp; D PIZZA CO, LLC</t>
  </si>
  <si>
    <t>A102550400</t>
  </si>
  <si>
    <t>205 WEST MAIN ST</t>
  </si>
  <si>
    <t>0BNF Contractors Inc</t>
  </si>
  <si>
    <t>A102550500</t>
  </si>
  <si>
    <t>209 WEST MAIN ST</t>
  </si>
  <si>
    <t>DAVID KELLY LLC</t>
  </si>
  <si>
    <t>A102550600</t>
  </si>
  <si>
    <t>210 WEST MAIN ST</t>
  </si>
  <si>
    <t>DPI LLC</t>
  </si>
  <si>
    <t>A102550700</t>
  </si>
  <si>
    <t>DEEPWATER LOBSTER</t>
  </si>
  <si>
    <t>Z102550000</t>
  </si>
  <si>
    <t>0Rivers Edge Mediterranean Cuis</t>
  </si>
  <si>
    <t>Z102550100</t>
  </si>
  <si>
    <t>213 WEST MAIN ST</t>
  </si>
  <si>
    <t>K BROTHERS, LLC</t>
  </si>
  <si>
    <t>Z102550400</t>
  </si>
  <si>
    <t>214 WEST MAIN ST</t>
  </si>
  <si>
    <t>ROY ROUNSEVILLE</t>
  </si>
  <si>
    <t>Z102600000</t>
  </si>
  <si>
    <t>220 WEST MAIN ST</t>
  </si>
  <si>
    <t>LAWRENCE BRUNOLI</t>
  </si>
  <si>
    <t>Z102650000</t>
  </si>
  <si>
    <t>221 WEST MAIN ST</t>
  </si>
  <si>
    <t>FRED &amp; BONNIE LLC</t>
  </si>
  <si>
    <t>Z102650200</t>
  </si>
  <si>
    <t>224 WEST MAIN ST</t>
  </si>
  <si>
    <t>ENTERPRISE RENT-A-CAR</t>
  </si>
  <si>
    <t>225 WEST MAIN ST</t>
  </si>
  <si>
    <t>GREEN MOUNTAIN LLC</t>
  </si>
  <si>
    <t>232 WEST MAIN ST</t>
  </si>
  <si>
    <t>KEYBANK, NA</t>
  </si>
  <si>
    <t>Z102900000</t>
  </si>
  <si>
    <t>240 WEST MAIN ST</t>
  </si>
  <si>
    <t>BANK OF AMERICA</t>
  </si>
  <si>
    <t>Z103000000</t>
  </si>
  <si>
    <t>248 WEST MAIN ST</t>
  </si>
  <si>
    <t>TOWN FAIR TIRE CTRS OF CT</t>
  </si>
  <si>
    <t>Z103000200</t>
  </si>
  <si>
    <t>255 West Main St - IRR</t>
  </si>
  <si>
    <t>0255 West Main LLC</t>
  </si>
  <si>
    <t>Z103020000</t>
  </si>
  <si>
    <t>255 West Main St-Prima</t>
  </si>
  <si>
    <t>255 WEST MAIN ST</t>
  </si>
  <si>
    <t>0TD Bank</t>
  </si>
  <si>
    <t>A103100000</t>
  </si>
  <si>
    <t>255 West Main St - Ded</t>
  </si>
  <si>
    <t>FIVE GUYS OPERATIONS LLC #74</t>
  </si>
  <si>
    <t>B203150800</t>
  </si>
  <si>
    <t>255 West Main St</t>
  </si>
  <si>
    <t>0Walmart #01-2899</t>
  </si>
  <si>
    <t>B203150900</t>
  </si>
  <si>
    <t>BIG Y GROCERY, SITE #53</t>
  </si>
  <si>
    <t>B203151100</t>
  </si>
  <si>
    <t>255 West Main St - Pri</t>
  </si>
  <si>
    <t>0GTGCT Avon, LLC</t>
  </si>
  <si>
    <t>0Green Bamboo</t>
  </si>
  <si>
    <t>0Shu Express</t>
  </si>
  <si>
    <t>B203151400</t>
  </si>
  <si>
    <t>260 WEST MAIN ST</t>
  </si>
  <si>
    <t>SUNSET OF AVON, LLC</t>
  </si>
  <si>
    <t>B203151500</t>
  </si>
  <si>
    <t>265 West Main St - Ded</t>
  </si>
  <si>
    <t>RUSSELL SPEEDERS CAR WASH</t>
  </si>
  <si>
    <t>Z103150000</t>
  </si>
  <si>
    <t>265 West Main St - Pri</t>
  </si>
  <si>
    <t>Z103150200</t>
  </si>
  <si>
    <t>279 WEST MAIN ST</t>
  </si>
  <si>
    <t xml:space="preserve">ROTUNDO </t>
  </si>
  <si>
    <t>Z103150300</t>
  </si>
  <si>
    <t>282 WEST MAIN ST</t>
  </si>
  <si>
    <t>Z103150400</t>
  </si>
  <si>
    <t>290 WEST MAIN ST</t>
  </si>
  <si>
    <t>290 CLIPPER CENTER LLC</t>
  </si>
  <si>
    <t>Z103200000</t>
  </si>
  <si>
    <t>300 West Main St</t>
  </si>
  <si>
    <t>DP3 LLC</t>
  </si>
  <si>
    <t>300 West Main St -  IR</t>
  </si>
  <si>
    <t>302 WEST MAIN ST</t>
  </si>
  <si>
    <t>FISH ENTERPRISES</t>
  </si>
  <si>
    <t>A103320000</t>
  </si>
  <si>
    <t xml:space="preserve">304 WEST MAIN ST </t>
  </si>
  <si>
    <t>AVON RETAIL</t>
  </si>
  <si>
    <t>A103360000</t>
  </si>
  <si>
    <t>310 WEST MAIN ST</t>
  </si>
  <si>
    <t>FARMINGTON SAVINGS BANK</t>
  </si>
  <si>
    <t>Z103390000</t>
  </si>
  <si>
    <t>315 WEST MAIN ST</t>
  </si>
  <si>
    <t>LANE BRYANT LLC</t>
  </si>
  <si>
    <t>Z103470000</t>
  </si>
  <si>
    <t>NOD BROOK, LLC (BAKERDOZ)</t>
  </si>
  <si>
    <t>Z103530000</t>
  </si>
  <si>
    <t>GREAT CLIPS</t>
  </si>
  <si>
    <t>A103580000</t>
  </si>
  <si>
    <t>NOD BROOK, LLC (TOP NAIL)</t>
  </si>
  <si>
    <t>Z103580000</t>
  </si>
  <si>
    <t>LANE BRYANT #4811, LLC</t>
  </si>
  <si>
    <t>Z103690000</t>
  </si>
  <si>
    <t>443400 TJX CO, MS#1</t>
  </si>
  <si>
    <t>Z103690200</t>
  </si>
  <si>
    <t>Z103800000</t>
  </si>
  <si>
    <t>NOD BROOK LLC (PUL)</t>
  </si>
  <si>
    <t>Z103800100</t>
  </si>
  <si>
    <t>NOD BROOK LLC (MUSIC)</t>
  </si>
  <si>
    <t>Z103800200</t>
  </si>
  <si>
    <t>MICHAEL'S MS #2</t>
  </si>
  <si>
    <t>Z103800300</t>
  </si>
  <si>
    <t>COLONY GRILL</t>
  </si>
  <si>
    <t>NOD BROOK LLC</t>
  </si>
  <si>
    <t>316 WEST MAIN ST</t>
  </si>
  <si>
    <t>Z103800700</t>
  </si>
  <si>
    <t>321 WEST MAIN ST</t>
  </si>
  <si>
    <t>THE FRESH MARKET #127</t>
  </si>
  <si>
    <t>Z103800400</t>
  </si>
  <si>
    <t>320 WEST MAIN ST</t>
  </si>
  <si>
    <t>LEXHAM AVON LLC</t>
  </si>
  <si>
    <t>Z103800600</t>
  </si>
  <si>
    <t>328 WEST MAIN ST</t>
  </si>
  <si>
    <t>F. FEIBEL</t>
  </si>
  <si>
    <t>Z103850000</t>
  </si>
  <si>
    <t>332 WEST MAIN ST</t>
  </si>
  <si>
    <t>NAVE, LLC</t>
  </si>
  <si>
    <t>A103850100</t>
  </si>
  <si>
    <t>336 WEST MAIN ST</t>
  </si>
  <si>
    <t>G &amp; L AVON, LLC</t>
  </si>
  <si>
    <t>A103850000</t>
  </si>
  <si>
    <t>339 WEST MAIN ST</t>
  </si>
  <si>
    <t>A103850200</t>
  </si>
  <si>
    <t>347 WEST MAIN ST</t>
  </si>
  <si>
    <t>FRIENDLY REST#4239</t>
  </si>
  <si>
    <t>Z103850200</t>
  </si>
  <si>
    <t>353 WEST MAIN ST</t>
  </si>
  <si>
    <t>GOLD-BORG ASSOCIATES</t>
  </si>
  <si>
    <t>A103850300</t>
  </si>
  <si>
    <t>358 WEST MAIN ST</t>
  </si>
  <si>
    <t>CVS #1180</t>
  </si>
  <si>
    <t>Z103950000</t>
  </si>
  <si>
    <t>CVS #1180-02</t>
  </si>
  <si>
    <t>Z104010000</t>
  </si>
  <si>
    <t>369 West Main St - Pri</t>
  </si>
  <si>
    <t>BATTISTON'S CLEANERS</t>
  </si>
  <si>
    <t>B204110000</t>
  </si>
  <si>
    <t>369 West Main St - Ded</t>
  </si>
  <si>
    <t>DEACON DONALD BATTISTON TRUST</t>
  </si>
  <si>
    <t>W100000200</t>
  </si>
  <si>
    <t>380 WEST MAIN ST</t>
  </si>
  <si>
    <t>BERTUCCI'S</t>
  </si>
  <si>
    <t>W290000000</t>
  </si>
  <si>
    <t>VERIZON WIRELESS, SITE# 90377</t>
  </si>
  <si>
    <t>W590000000</t>
  </si>
  <si>
    <t>STARBUCKS, SITE #075</t>
  </si>
  <si>
    <t>W100000000</t>
  </si>
  <si>
    <t>AVON MARKETPLACE</t>
  </si>
  <si>
    <t>W200430000</t>
  </si>
  <si>
    <t>CASS INFORMATION SYSTEMS</t>
  </si>
  <si>
    <t>T152240000</t>
  </si>
  <si>
    <t>Z710300000</t>
  </si>
  <si>
    <t>AVON MARKETPLACE (NBAL)</t>
  </si>
  <si>
    <t>380 West Main St - Irr</t>
  </si>
  <si>
    <t>0Avon Marketplace</t>
  </si>
  <si>
    <t>385 WEST MAIN ST</t>
  </si>
  <si>
    <t>SHOPS AT DALE CORNER</t>
  </si>
  <si>
    <t>386 WEST MAIN ST</t>
  </si>
  <si>
    <t>HARTFORD HEALTH CARE</t>
  </si>
  <si>
    <t>387 WEST MAIN ST</t>
  </si>
  <si>
    <t>388 WEST MAIN ST</t>
  </si>
  <si>
    <t>SAVIN BRANDS</t>
  </si>
  <si>
    <t>SPORT CLIPS</t>
  </si>
  <si>
    <t>LIKI SUSHI</t>
  </si>
  <si>
    <t>392 West Main St</t>
  </si>
  <si>
    <t>0Webster Bank Na Site #116</t>
  </si>
  <si>
    <t>394 West Main St</t>
  </si>
  <si>
    <t>0Sovereign Bank</t>
  </si>
  <si>
    <t>395 WEST MAIN ST</t>
  </si>
  <si>
    <t>NOVA CENTER CO.</t>
  </si>
  <si>
    <t>401 WEST MAIN ST</t>
  </si>
  <si>
    <t>VRAKAS LLC</t>
  </si>
  <si>
    <t>411 WEST MAIN ST</t>
  </si>
  <si>
    <t>SMART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</si>
</sst>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4" fontId="0" fillId="2" borderId="1" xfId="0" applyNumberFormat="1" applyFill="1" applyBorder="1"/>
    <xf numFmtId="2" fontId="0" fillId="2" borderId="1" xfId="0" applyNumberFormat="1" applyFill="1" applyBorder="1"/>
    <xf numFmtId="2" fontId="2" fillId="2" borderId="1" xfId="0" applyNumberFormat="1" applyFont="1" applyFill="1" applyBorder="1"/>
    <xf numFmtId="0" fontId="0" fillId="2" borderId="1" xfId="0" applyFill="1" applyBorder="1"/>
    <xf numFmtId="0" fontId="3" fillId="4" borderId="1" xfId="0" applyFont="1" applyFill="1" applyBorder="1"/>
    <xf numFmtId="0" fontId="3" fillId="2" borderId="1" xfId="0" applyFont="1" applyFill="1" applyBorder="1"/>
    <xf numFmtId="0" fontId="3" fillId="5" borderId="1" xfId="0" applyFont="1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4" fontId="0" fillId="5" borderId="1" xfId="0" applyNumberFormat="1" applyFill="1" applyBorder="1"/>
    <xf numFmtId="2" fontId="0" fillId="5" borderId="1" xfId="0" applyNumberFormat="1" applyFill="1" applyBorder="1"/>
    <xf numFmtId="0" fontId="4" fillId="2" borderId="1" xfId="0" applyFont="1" applyFill="1" applyBorder="1"/>
    <xf numFmtId="37" fontId="3" fillId="3" borderId="1" xfId="0" applyNumberFormat="1" applyFont="1" applyFill="1" applyBorder="1"/>
    <xf numFmtId="0" fontId="3" fillId="6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0" borderId="1" xfId="0" applyBorder="1"/>
    <xf numFmtId="0" fontId="0" fillId="6" borderId="1" xfId="0" applyFill="1" applyBorder="1" applyAlignment="1">
      <alignment horizontal="center"/>
    </xf>
    <xf numFmtId="2" fontId="0" fillId="0" borderId="1" xfId="0" applyNumberFormat="1" applyBorder="1"/>
    <xf numFmtId="0" fontId="4" fillId="0" borderId="1" xfId="0" applyFont="1" applyBorder="1"/>
    <xf numFmtId="2" fontId="4" fillId="0" borderId="1" xfId="0" applyNumberFormat="1" applyFont="1" applyBorder="1"/>
    <xf numFmtId="4" fontId="0" fillId="0" borderId="1" xfId="0" applyNumberFormat="1" applyBorder="1"/>
    <xf numFmtId="0" fontId="0" fillId="4" borderId="1" xfId="0" applyFill="1" applyBorder="1"/>
    <xf numFmtId="0" fontId="3" fillId="2" borderId="1" xfId="0" applyFont="1" applyFill="1" applyBorder="1" applyAlignment="1">
      <alignment horizontal="left"/>
    </xf>
    <xf numFmtId="0" fontId="3" fillId="4" borderId="0" xfId="0" applyFont="1" applyFill="1"/>
    <xf numFmtId="0" fontId="0" fillId="5" borderId="0" xfId="0" applyFill="1"/>
    <xf numFmtId="0" fontId="3" fillId="5" borderId="0" xfId="0" applyFont="1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4" fontId="0" fillId="6" borderId="1" xfId="0" applyNumberFormat="1" applyFill="1" applyBorder="1"/>
    <xf numFmtId="0" fontId="0" fillId="7" borderId="1" xfId="0" applyFill="1" applyBorder="1"/>
    <xf numFmtId="0" fontId="0" fillId="7" borderId="1" xfId="0" applyFill="1" applyBorder="1" applyAlignment="1">
      <alignment horizontal="left"/>
    </xf>
    <xf numFmtId="4" fontId="0" fillId="7" borderId="1" xfId="0" applyNumberFormat="1" applyFill="1" applyBorder="1"/>
    <xf numFmtId="0" fontId="5" fillId="2" borderId="1" xfId="0" applyFont="1" applyFill="1" applyBorder="1"/>
    <xf numFmtId="0" fontId="0" fillId="8" borderId="1" xfId="0" applyFill="1" applyBorder="1"/>
    <xf numFmtId="0" fontId="0" fillId="8" borderId="1" xfId="0" applyFill="1" applyBorder="1" applyAlignment="1">
      <alignment horizontal="left"/>
    </xf>
    <xf numFmtId="4" fontId="0" fillId="8" borderId="1" xfId="0" applyNumberFormat="1" applyFill="1" applyBorder="1"/>
    <xf numFmtId="2" fontId="0" fillId="8" borderId="1" xfId="0" applyNumberFormat="1" applyFill="1" applyBorder="1"/>
    <xf numFmtId="2" fontId="0" fillId="7" borderId="1" xfId="0" applyNumberFormat="1" applyFill="1" applyBorder="1"/>
    <xf numFmtId="0" fontId="0" fillId="9" borderId="1" xfId="0" applyFill="1" applyBorder="1"/>
    <xf numFmtId="2" fontId="0" fillId="6" borderId="1" xfId="0" applyNumberForma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0" fillId="8" borderId="0" xfId="0" applyFill="1"/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9" borderId="0" xfId="0" applyFont="1" applyFill="1"/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0" fillId="7" borderId="0" xfId="0" applyFill="1"/>
    <xf numFmtId="0" fontId="4" fillId="2" borderId="0" xfId="0" applyFont="1" applyFill="1"/>
    <xf numFmtId="0" fontId="0" fillId="3" borderId="0" xfId="0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F4149-C29A-4C4B-B117-1C7A7FDF52C0}">
  <sheetPr filterMode="1"/>
  <dimension ref="A1:AB415"/>
  <sheetViews>
    <sheetView tabSelected="1" workbookViewId="0">
      <selection sqref="A1:XFD1048576"/>
    </sheetView>
  </sheetViews>
  <sheetFormatPr defaultRowHeight="15" x14ac:dyDescent="0.25"/>
  <cols>
    <col min="1" max="1" width="13.140625" style="25" customWidth="1"/>
    <col min="2" max="2" width="24" style="25" customWidth="1"/>
    <col min="3" max="3" width="38.28515625" style="25" customWidth="1"/>
    <col min="4" max="4" width="9.140625" style="25"/>
    <col min="5" max="5" width="11.28515625" style="9" customWidth="1"/>
    <col min="6" max="6" width="9.140625" style="9"/>
    <col min="7" max="7" width="9.140625" style="13"/>
    <col min="8" max="10" width="9.140625" style="9"/>
    <col min="11" max="15" width="9.140625" style="5"/>
    <col min="16" max="16" width="12.28515625" style="30" customWidth="1"/>
    <col min="17" max="17" width="10" style="27" bestFit="1" customWidth="1"/>
    <col min="18" max="18" width="14.28515625" style="25" customWidth="1"/>
    <col min="19" max="19" width="9.140625" style="30"/>
    <col min="20" max="20" width="9.140625" style="27"/>
    <col min="21" max="16384" width="9.140625" style="25"/>
  </cols>
  <sheetData>
    <row r="1" spans="1:27" s="9" customForma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  <c r="P1" s="6"/>
      <c r="Q1" s="7"/>
      <c r="R1" s="7"/>
      <c r="S1" s="6">
        <v>2022</v>
      </c>
      <c r="T1" s="8">
        <v>2021</v>
      </c>
    </row>
    <row r="2" spans="1:27" s="9" customFormat="1" hidden="1" x14ac:dyDescent="0.25">
      <c r="A2" s="10" t="s">
        <v>14</v>
      </c>
      <c r="B2" s="11" t="s">
        <v>15</v>
      </c>
      <c r="C2" s="11" t="s">
        <v>16</v>
      </c>
      <c r="D2" s="12">
        <v>1090011</v>
      </c>
      <c r="E2" s="11"/>
      <c r="F2" s="11"/>
      <c r="G2" s="13"/>
      <c r="H2" s="13" t="s">
        <v>17</v>
      </c>
      <c r="J2" s="14"/>
      <c r="K2" s="5">
        <v>10</v>
      </c>
      <c r="L2" s="5">
        <v>88</v>
      </c>
      <c r="M2" s="5">
        <v>61</v>
      </c>
      <c r="N2" s="5">
        <v>12</v>
      </c>
      <c r="O2" s="5">
        <v>171</v>
      </c>
      <c r="P2" s="6"/>
      <c r="Q2" s="7"/>
      <c r="R2" s="7"/>
      <c r="S2" s="6"/>
      <c r="T2" s="7"/>
    </row>
    <row r="3" spans="1:27" s="9" customFormat="1" hidden="1" x14ac:dyDescent="0.25">
      <c r="A3" s="10" t="s">
        <v>18</v>
      </c>
      <c r="B3" s="11" t="s">
        <v>15</v>
      </c>
      <c r="C3" s="11" t="s">
        <v>19</v>
      </c>
      <c r="D3" s="12">
        <v>1090011</v>
      </c>
      <c r="E3" s="11"/>
      <c r="F3" s="11"/>
      <c r="G3" s="13"/>
      <c r="H3" s="13" t="s">
        <v>17</v>
      </c>
      <c r="J3" s="14"/>
      <c r="K3" s="5">
        <v>0</v>
      </c>
      <c r="L3" s="5">
        <v>1</v>
      </c>
      <c r="M3" s="5">
        <v>0</v>
      </c>
      <c r="N3" s="5">
        <v>0</v>
      </c>
      <c r="O3" s="5">
        <v>1</v>
      </c>
      <c r="P3" s="6"/>
      <c r="Q3" s="7"/>
      <c r="R3" s="7"/>
      <c r="S3" s="6"/>
      <c r="T3" s="7"/>
    </row>
    <row r="4" spans="1:27" s="9" customFormat="1" hidden="1" x14ac:dyDescent="0.25">
      <c r="A4" s="10" t="s">
        <v>20</v>
      </c>
      <c r="B4" s="11" t="s">
        <v>15</v>
      </c>
      <c r="C4" s="11" t="s">
        <v>21</v>
      </c>
      <c r="D4" s="12">
        <v>1090011</v>
      </c>
      <c r="E4" s="15">
        <v>1090011</v>
      </c>
      <c r="F4" s="12">
        <v>1</v>
      </c>
      <c r="G4" s="16"/>
      <c r="H4" s="16" t="s">
        <v>17</v>
      </c>
      <c r="I4" s="15"/>
      <c r="J4" s="17"/>
      <c r="K4" s="15">
        <v>39</v>
      </c>
      <c r="L4" s="15">
        <v>7</v>
      </c>
      <c r="M4" s="15">
        <v>38</v>
      </c>
      <c r="N4" s="15">
        <v>62</v>
      </c>
      <c r="O4" s="15">
        <v>146</v>
      </c>
      <c r="P4" s="18">
        <f>SUM(O2:O4)*1000</f>
        <v>318000</v>
      </c>
      <c r="Q4" s="19">
        <f>SUM(P4/76650)</f>
        <v>4.1487279843444229</v>
      </c>
      <c r="R4" s="19">
        <f>SUM(Q4*600)</f>
        <v>2489.2367906066538</v>
      </c>
      <c r="S4" s="18">
        <v>1.9</v>
      </c>
      <c r="T4" s="7">
        <v>3.73</v>
      </c>
      <c r="U4" s="20" t="s">
        <v>22</v>
      </c>
    </row>
    <row r="5" spans="1:27" s="9" customFormat="1" hidden="1" x14ac:dyDescent="0.25">
      <c r="A5" s="10" t="s">
        <v>23</v>
      </c>
      <c r="B5" s="11" t="s">
        <v>24</v>
      </c>
      <c r="C5" s="11" t="s">
        <v>25</v>
      </c>
      <c r="D5" s="12">
        <v>1090021</v>
      </c>
      <c r="E5" s="9">
        <v>1090021</v>
      </c>
      <c r="F5" s="11">
        <v>2</v>
      </c>
      <c r="G5" s="13"/>
      <c r="H5" s="13" t="s">
        <v>17</v>
      </c>
      <c r="J5" s="14"/>
      <c r="K5" s="21">
        <v>8</v>
      </c>
      <c r="L5" s="21">
        <v>9</v>
      </c>
      <c r="M5" s="21">
        <v>7</v>
      </c>
      <c r="N5" s="21">
        <v>7</v>
      </c>
      <c r="O5" s="5">
        <v>76.650000000000006</v>
      </c>
      <c r="P5" s="6">
        <f>SUM(O5*1000)</f>
        <v>76650</v>
      </c>
      <c r="Q5" s="19">
        <f>SUM(P5/76650)</f>
        <v>1</v>
      </c>
      <c r="R5" s="19">
        <f>SUM(Q5*600)</f>
        <v>600</v>
      </c>
      <c r="S5" s="6">
        <v>1</v>
      </c>
      <c r="T5" s="7"/>
      <c r="U5" s="20"/>
    </row>
    <row r="6" spans="1:27" s="9" customFormat="1" hidden="1" x14ac:dyDescent="0.25">
      <c r="A6" s="10" t="s">
        <v>26</v>
      </c>
      <c r="B6" s="11" t="s">
        <v>27</v>
      </c>
      <c r="C6" s="11" t="s">
        <v>28</v>
      </c>
      <c r="D6" s="15">
        <v>2210021</v>
      </c>
      <c r="G6" s="13"/>
      <c r="H6" s="13" t="s">
        <v>17</v>
      </c>
      <c r="I6" s="14"/>
      <c r="J6" s="14"/>
      <c r="K6" s="21">
        <v>31</v>
      </c>
      <c r="L6" s="21">
        <v>43</v>
      </c>
      <c r="M6" s="21">
        <v>48</v>
      </c>
      <c r="N6" s="21">
        <v>37</v>
      </c>
      <c r="O6" s="5">
        <v>159</v>
      </c>
      <c r="P6" s="6"/>
      <c r="Q6" s="7"/>
      <c r="R6" s="7"/>
      <c r="S6" s="6"/>
      <c r="T6" s="7"/>
    </row>
    <row r="7" spans="1:27" s="9" customFormat="1" hidden="1" x14ac:dyDescent="0.25">
      <c r="A7" s="10" t="s">
        <v>29</v>
      </c>
      <c r="B7" s="11" t="s">
        <v>30</v>
      </c>
      <c r="C7" s="11" t="s">
        <v>28</v>
      </c>
      <c r="D7" s="15">
        <v>2210021</v>
      </c>
      <c r="G7" s="13"/>
      <c r="H7" s="13" t="s">
        <v>17</v>
      </c>
      <c r="I7" s="14"/>
      <c r="J7" s="14"/>
      <c r="K7" s="5">
        <v>7</v>
      </c>
      <c r="L7" s="5">
        <v>6</v>
      </c>
      <c r="M7" s="5">
        <v>5</v>
      </c>
      <c r="N7" s="5">
        <v>4</v>
      </c>
      <c r="O7" s="5">
        <v>22</v>
      </c>
      <c r="P7" s="6"/>
      <c r="Q7" s="7"/>
      <c r="R7" s="7"/>
      <c r="S7" s="6"/>
      <c r="T7" s="7"/>
    </row>
    <row r="8" spans="1:27" s="23" customFormat="1" hidden="1" x14ac:dyDescent="0.25">
      <c r="A8" s="10" t="s">
        <v>31</v>
      </c>
      <c r="B8" s="22" t="s">
        <v>30</v>
      </c>
      <c r="C8" s="22" t="s">
        <v>32</v>
      </c>
      <c r="D8" s="15">
        <v>2210021</v>
      </c>
      <c r="F8" s="22"/>
      <c r="G8" s="24" t="s">
        <v>33</v>
      </c>
      <c r="H8" s="13" t="s">
        <v>17</v>
      </c>
      <c r="K8" s="23">
        <v>9</v>
      </c>
      <c r="L8" s="23">
        <v>94</v>
      </c>
      <c r="M8" s="23">
        <v>35</v>
      </c>
      <c r="N8" s="23">
        <v>0</v>
      </c>
      <c r="O8" s="23">
        <v>138</v>
      </c>
      <c r="P8" s="6"/>
      <c r="Q8" s="7"/>
      <c r="R8" s="7"/>
      <c r="S8" s="6"/>
      <c r="T8" s="7"/>
      <c r="U8" s="9"/>
      <c r="V8" s="9"/>
      <c r="W8" s="9"/>
      <c r="X8" s="9"/>
    </row>
    <row r="9" spans="1:27" s="23" customFormat="1" hidden="1" x14ac:dyDescent="0.25">
      <c r="A9" s="10" t="s">
        <v>34</v>
      </c>
      <c r="B9" s="11" t="s">
        <v>35</v>
      </c>
      <c r="C9" s="11" t="s">
        <v>28</v>
      </c>
      <c r="D9" s="15">
        <v>2210021</v>
      </c>
      <c r="E9" s="9"/>
      <c r="F9" s="9"/>
      <c r="G9" s="13"/>
      <c r="H9" s="13" t="s">
        <v>17</v>
      </c>
      <c r="I9" s="9"/>
      <c r="J9" s="9"/>
      <c r="K9" s="25">
        <v>9</v>
      </c>
      <c r="L9" s="25">
        <v>7</v>
      </c>
      <c r="M9" s="25">
        <v>8</v>
      </c>
      <c r="N9" s="25">
        <v>8</v>
      </c>
      <c r="O9" s="25">
        <v>32</v>
      </c>
      <c r="P9" s="6"/>
      <c r="Q9" s="7"/>
      <c r="R9" s="7"/>
      <c r="S9" s="6"/>
      <c r="T9" s="7"/>
      <c r="U9" s="9"/>
      <c r="V9" s="9"/>
      <c r="W9" s="9"/>
      <c r="X9" s="9"/>
      <c r="Y9" s="9"/>
      <c r="Z9" s="9"/>
      <c r="AA9" s="9"/>
    </row>
    <row r="10" spans="1:27" s="23" customFormat="1" hidden="1" x14ac:dyDescent="0.25">
      <c r="A10" s="10" t="s">
        <v>36</v>
      </c>
      <c r="B10" s="22" t="s">
        <v>35</v>
      </c>
      <c r="C10" s="22" t="s">
        <v>37</v>
      </c>
      <c r="D10" s="15">
        <v>2210021</v>
      </c>
      <c r="G10" s="24" t="s">
        <v>33</v>
      </c>
      <c r="H10" s="13" t="s">
        <v>17</v>
      </c>
      <c r="K10" s="23">
        <v>13</v>
      </c>
      <c r="L10" s="23">
        <v>115</v>
      </c>
      <c r="M10" s="23">
        <v>21</v>
      </c>
      <c r="N10" s="23">
        <v>0</v>
      </c>
      <c r="O10" s="23">
        <v>149</v>
      </c>
      <c r="P10" s="6"/>
      <c r="Q10" s="7"/>
      <c r="R10" s="7"/>
      <c r="S10" s="6"/>
      <c r="T10" s="7"/>
      <c r="U10" s="9"/>
      <c r="V10" s="9"/>
      <c r="W10" s="9"/>
    </row>
    <row r="11" spans="1:27" s="23" customFormat="1" hidden="1" x14ac:dyDescent="0.25">
      <c r="A11" s="10" t="s">
        <v>38</v>
      </c>
      <c r="B11" s="11" t="s">
        <v>39</v>
      </c>
      <c r="C11" s="11" t="s">
        <v>28</v>
      </c>
      <c r="D11" s="15">
        <v>2210021</v>
      </c>
      <c r="E11" s="9"/>
      <c r="F11" s="9"/>
      <c r="G11" s="13"/>
      <c r="H11" s="13" t="s">
        <v>17</v>
      </c>
      <c r="I11" s="9"/>
      <c r="J11" s="9"/>
      <c r="K11" s="25">
        <v>26</v>
      </c>
      <c r="L11" s="25">
        <v>13</v>
      </c>
      <c r="M11" s="25">
        <v>12</v>
      </c>
      <c r="N11" s="25">
        <v>12</v>
      </c>
      <c r="O11" s="25">
        <v>63</v>
      </c>
      <c r="P11" s="6"/>
      <c r="Q11" s="7"/>
      <c r="R11" s="7"/>
      <c r="S11" s="6"/>
      <c r="T11" s="7"/>
      <c r="U11" s="9"/>
      <c r="V11" s="9"/>
      <c r="W11" s="9"/>
      <c r="X11" s="9"/>
      <c r="Y11" s="9"/>
    </row>
    <row r="12" spans="1:27" s="23" customFormat="1" hidden="1" x14ac:dyDescent="0.25">
      <c r="A12" s="10" t="s">
        <v>40</v>
      </c>
      <c r="B12" s="11" t="s">
        <v>41</v>
      </c>
      <c r="C12" s="11" t="s">
        <v>28</v>
      </c>
      <c r="D12" s="15">
        <v>2210021</v>
      </c>
      <c r="E12" s="9"/>
      <c r="F12" s="9"/>
      <c r="G12" s="13"/>
      <c r="H12" s="13" t="s">
        <v>17</v>
      </c>
      <c r="I12" s="9"/>
      <c r="J12" s="9"/>
      <c r="K12" s="25">
        <v>1</v>
      </c>
      <c r="L12" s="25">
        <v>0</v>
      </c>
      <c r="M12" s="25">
        <v>0</v>
      </c>
      <c r="N12" s="25">
        <v>0</v>
      </c>
      <c r="O12" s="25">
        <v>1</v>
      </c>
      <c r="P12" s="6"/>
      <c r="Q12" s="7"/>
      <c r="R12" s="7"/>
      <c r="S12" s="6"/>
      <c r="T12" s="7"/>
      <c r="U12" s="9"/>
      <c r="V12" s="9"/>
      <c r="W12" s="9"/>
      <c r="X12" s="9"/>
      <c r="Y12" s="9"/>
    </row>
    <row r="13" spans="1:27" s="23" customFormat="1" hidden="1" x14ac:dyDescent="0.25">
      <c r="A13" s="10" t="s">
        <v>42</v>
      </c>
      <c r="B13" s="11" t="s">
        <v>43</v>
      </c>
      <c r="C13" s="11" t="s">
        <v>28</v>
      </c>
      <c r="D13" s="15">
        <v>2210021</v>
      </c>
      <c r="E13" s="9"/>
      <c r="F13" s="9"/>
      <c r="G13" s="13"/>
      <c r="H13" s="13" t="s">
        <v>17</v>
      </c>
      <c r="I13" s="9"/>
      <c r="J13" s="9"/>
      <c r="K13" s="25">
        <v>0</v>
      </c>
      <c r="L13" s="25">
        <v>1</v>
      </c>
      <c r="M13" s="25">
        <v>0</v>
      </c>
      <c r="N13" s="25">
        <v>1</v>
      </c>
      <c r="O13" s="25">
        <v>2</v>
      </c>
      <c r="P13" s="6"/>
      <c r="Q13" s="7"/>
      <c r="R13" s="7"/>
      <c r="S13" s="6"/>
      <c r="T13" s="7"/>
      <c r="U13" s="9"/>
      <c r="V13" s="9"/>
      <c r="W13" s="9"/>
      <c r="X13" s="9"/>
      <c r="Y13" s="9"/>
    </row>
    <row r="14" spans="1:27" s="23" customFormat="1" hidden="1" x14ac:dyDescent="0.25">
      <c r="A14" s="10" t="s">
        <v>44</v>
      </c>
      <c r="B14" s="22" t="s">
        <v>43</v>
      </c>
      <c r="C14" s="22" t="s">
        <v>37</v>
      </c>
      <c r="D14" s="15">
        <v>2210021</v>
      </c>
      <c r="G14" s="24" t="s">
        <v>33</v>
      </c>
      <c r="H14" s="13" t="s">
        <v>17</v>
      </c>
      <c r="K14" s="23">
        <v>3</v>
      </c>
      <c r="L14" s="23">
        <v>19</v>
      </c>
      <c r="M14" s="23">
        <v>4</v>
      </c>
      <c r="N14" s="23">
        <v>0</v>
      </c>
      <c r="O14" s="23">
        <v>26</v>
      </c>
      <c r="P14" s="6"/>
      <c r="Q14" s="7"/>
      <c r="R14" s="7"/>
      <c r="S14" s="6"/>
      <c r="T14" s="7"/>
      <c r="U14" s="9"/>
      <c r="V14" s="9"/>
      <c r="W14" s="9"/>
      <c r="X14" s="9"/>
      <c r="Y14" s="9"/>
    </row>
    <row r="15" spans="1:27" s="23" customFormat="1" hidden="1" x14ac:dyDescent="0.25">
      <c r="A15" s="10" t="s">
        <v>45</v>
      </c>
      <c r="B15" s="11" t="s">
        <v>46</v>
      </c>
      <c r="C15" s="11" t="s">
        <v>28</v>
      </c>
      <c r="D15" s="15">
        <v>2210021</v>
      </c>
      <c r="E15" s="9"/>
      <c r="F15" s="9"/>
      <c r="G15" s="13"/>
      <c r="H15" s="13" t="s">
        <v>17</v>
      </c>
      <c r="I15" s="9"/>
      <c r="J15" s="9"/>
      <c r="K15" s="25">
        <v>28</v>
      </c>
      <c r="L15" s="25">
        <v>20</v>
      </c>
      <c r="M15" s="25">
        <v>13</v>
      </c>
      <c r="N15" s="25">
        <v>15</v>
      </c>
      <c r="O15" s="25">
        <v>76</v>
      </c>
      <c r="P15" s="6"/>
      <c r="Q15" s="7"/>
      <c r="R15" s="7"/>
      <c r="S15" s="6"/>
      <c r="T15" s="7"/>
      <c r="U15" s="9"/>
      <c r="V15" s="9"/>
      <c r="W15" s="9"/>
      <c r="X15" s="9"/>
      <c r="Y15" s="9"/>
    </row>
    <row r="16" spans="1:27" s="23" customFormat="1" hidden="1" x14ac:dyDescent="0.25">
      <c r="A16" s="10" t="s">
        <v>47</v>
      </c>
      <c r="B16" s="22" t="s">
        <v>46</v>
      </c>
      <c r="C16" s="22" t="s">
        <v>37</v>
      </c>
      <c r="D16" s="15">
        <v>2210021</v>
      </c>
      <c r="G16" s="24" t="s">
        <v>33</v>
      </c>
      <c r="H16" s="13" t="s">
        <v>17</v>
      </c>
      <c r="K16" s="23">
        <v>10</v>
      </c>
      <c r="L16" s="23">
        <v>81</v>
      </c>
      <c r="M16" s="23">
        <v>17</v>
      </c>
      <c r="N16" s="23">
        <v>0</v>
      </c>
      <c r="O16" s="23">
        <v>108</v>
      </c>
      <c r="P16" s="6"/>
      <c r="Q16" s="7"/>
      <c r="R16" s="7"/>
      <c r="S16" s="6"/>
      <c r="T16" s="7"/>
      <c r="U16" s="9"/>
      <c r="V16" s="9"/>
      <c r="W16" s="9"/>
      <c r="X16" s="9"/>
      <c r="Y16" s="9"/>
    </row>
    <row r="17" spans="1:28" s="23" customFormat="1" hidden="1" x14ac:dyDescent="0.25">
      <c r="A17" s="10" t="s">
        <v>48</v>
      </c>
      <c r="B17" s="11" t="s">
        <v>49</v>
      </c>
      <c r="C17" s="11" t="s">
        <v>50</v>
      </c>
      <c r="D17" s="15">
        <v>2210021</v>
      </c>
      <c r="E17" s="9"/>
      <c r="F17" s="9"/>
      <c r="G17" s="13"/>
      <c r="H17" s="13" t="s">
        <v>17</v>
      </c>
      <c r="I17" s="9"/>
      <c r="J17" s="9"/>
      <c r="K17" s="5">
        <v>1</v>
      </c>
      <c r="L17" s="5">
        <v>1</v>
      </c>
      <c r="M17" s="5">
        <v>1</v>
      </c>
      <c r="N17" s="5">
        <v>0</v>
      </c>
      <c r="O17" s="5">
        <v>3</v>
      </c>
      <c r="P17" s="6"/>
      <c r="Q17" s="7"/>
      <c r="R17" s="7"/>
      <c r="S17" s="6"/>
      <c r="T17" s="7"/>
      <c r="U17" s="9"/>
      <c r="V17" s="9"/>
      <c r="W17" s="9"/>
      <c r="X17" s="9"/>
      <c r="Y17" s="9"/>
    </row>
    <row r="18" spans="1:28" s="23" customFormat="1" hidden="1" x14ac:dyDescent="0.25">
      <c r="A18" s="10" t="s">
        <v>51</v>
      </c>
      <c r="B18" s="11" t="s">
        <v>49</v>
      </c>
      <c r="C18" s="11" t="s">
        <v>52</v>
      </c>
      <c r="D18" s="15">
        <v>2210021</v>
      </c>
      <c r="E18" s="9"/>
      <c r="F18" s="9"/>
      <c r="G18" s="13"/>
      <c r="H18" s="13" t="s">
        <v>17</v>
      </c>
      <c r="I18" s="9"/>
      <c r="J18" s="9"/>
      <c r="K18" s="25">
        <v>1</v>
      </c>
      <c r="L18" s="25">
        <v>1</v>
      </c>
      <c r="M18" s="25">
        <v>1</v>
      </c>
      <c r="N18" s="25">
        <v>0</v>
      </c>
      <c r="O18" s="25">
        <v>3</v>
      </c>
      <c r="P18" s="6"/>
      <c r="Q18" s="7"/>
      <c r="R18" s="7"/>
      <c r="S18" s="6"/>
      <c r="T18" s="7"/>
      <c r="U18" s="9"/>
      <c r="V18" s="9"/>
      <c r="W18" s="9"/>
      <c r="X18" s="9"/>
      <c r="Y18" s="9"/>
    </row>
    <row r="19" spans="1:28" s="23" customFormat="1" hidden="1" x14ac:dyDescent="0.25">
      <c r="A19" s="10" t="s">
        <v>53</v>
      </c>
      <c r="B19" s="11" t="s">
        <v>54</v>
      </c>
      <c r="C19" s="11" t="s">
        <v>55</v>
      </c>
      <c r="D19" s="15">
        <v>2210021</v>
      </c>
      <c r="E19" s="9"/>
      <c r="F19" s="9"/>
      <c r="G19" s="13"/>
      <c r="H19" s="13" t="s">
        <v>17</v>
      </c>
      <c r="I19" s="9"/>
      <c r="J19" s="9"/>
      <c r="K19" s="25">
        <v>0</v>
      </c>
      <c r="L19" s="25">
        <v>1</v>
      </c>
      <c r="M19" s="25">
        <v>0</v>
      </c>
      <c r="N19" s="25">
        <v>1</v>
      </c>
      <c r="O19" s="25">
        <v>2</v>
      </c>
      <c r="P19" s="6"/>
      <c r="Q19" s="7"/>
      <c r="R19" s="7"/>
      <c r="S19" s="6"/>
      <c r="T19" s="7"/>
      <c r="U19" s="9"/>
      <c r="V19" s="9"/>
      <c r="W19" s="9"/>
      <c r="X19" s="9"/>
      <c r="Y19" s="9"/>
      <c r="Z19" s="9"/>
      <c r="AA19" s="9"/>
      <c r="AB19" s="9"/>
    </row>
    <row r="20" spans="1:28" s="23" customFormat="1" hidden="1" x14ac:dyDescent="0.25">
      <c r="A20" s="10" t="s">
        <v>56</v>
      </c>
      <c r="B20" s="11" t="s">
        <v>57</v>
      </c>
      <c r="C20" s="11" t="s">
        <v>28</v>
      </c>
      <c r="D20" s="15">
        <v>2210021</v>
      </c>
      <c r="E20" s="15">
        <v>2210021</v>
      </c>
      <c r="F20" s="15">
        <v>3</v>
      </c>
      <c r="G20" s="16"/>
      <c r="H20" s="13" t="s">
        <v>17</v>
      </c>
      <c r="I20" s="15"/>
      <c r="J20" s="15"/>
      <c r="K20" s="15">
        <v>4</v>
      </c>
      <c r="L20" s="15">
        <v>4</v>
      </c>
      <c r="M20" s="15">
        <v>4</v>
      </c>
      <c r="N20" s="15">
        <v>3</v>
      </c>
      <c r="O20" s="15">
        <v>15</v>
      </c>
      <c r="P20" s="18">
        <f>SUM(O5+O6+O7+O9+O11+O12+O13+O15+O17+O18+O19+O20)*1000</f>
        <v>454650</v>
      </c>
      <c r="Q20" s="19">
        <f t="shared" ref="Q20" si="0">SUM(P20/76650)</f>
        <v>5.9315068493150687</v>
      </c>
      <c r="R20" s="19">
        <f t="shared" ref="R20:R22" si="1">SUM(Q20*600)</f>
        <v>3558.9041095890411</v>
      </c>
      <c r="S20" s="18">
        <v>4.93</v>
      </c>
      <c r="T20" s="7">
        <v>3.68</v>
      </c>
      <c r="U20" s="20" t="s">
        <v>58</v>
      </c>
      <c r="V20" s="9"/>
      <c r="W20" s="9"/>
      <c r="X20" s="9"/>
      <c r="Y20" s="9"/>
      <c r="Z20" s="9"/>
      <c r="AA20" s="9"/>
      <c r="AB20" s="9"/>
    </row>
    <row r="21" spans="1:28" s="9" customFormat="1" hidden="1" x14ac:dyDescent="0.25">
      <c r="A21" s="10" t="s">
        <v>59</v>
      </c>
      <c r="B21" s="11" t="s">
        <v>60</v>
      </c>
      <c r="C21" s="11" t="s">
        <v>61</v>
      </c>
      <c r="D21" s="11">
        <v>1140025</v>
      </c>
      <c r="E21" s="9">
        <v>1140025</v>
      </c>
      <c r="F21" s="9">
        <v>4</v>
      </c>
      <c r="G21" s="13"/>
      <c r="H21" s="13" t="s">
        <v>17</v>
      </c>
      <c r="J21" s="14"/>
      <c r="K21" s="9">
        <v>1</v>
      </c>
      <c r="L21" s="9">
        <v>1</v>
      </c>
      <c r="M21" s="9">
        <v>1</v>
      </c>
      <c r="N21" s="9">
        <v>1</v>
      </c>
      <c r="O21" s="9">
        <v>76.650000000000006</v>
      </c>
      <c r="P21" s="6">
        <f>SUM(O21)*1000</f>
        <v>76650</v>
      </c>
      <c r="Q21" s="7">
        <f t="shared" ref="Q21:Q82" si="2">SUM(P21/76650)</f>
        <v>1</v>
      </c>
      <c r="R21" s="7">
        <f t="shared" si="1"/>
        <v>600</v>
      </c>
      <c r="S21" s="6">
        <v>1</v>
      </c>
      <c r="T21" s="7">
        <v>1</v>
      </c>
      <c r="U21" s="20" t="s">
        <v>62</v>
      </c>
    </row>
    <row r="22" spans="1:28" s="9" customFormat="1" hidden="1" x14ac:dyDescent="0.25">
      <c r="A22" s="10" t="s">
        <v>63</v>
      </c>
      <c r="B22" s="11" t="s">
        <v>64</v>
      </c>
      <c r="C22" s="11" t="s">
        <v>61</v>
      </c>
      <c r="D22" s="11">
        <v>1140027</v>
      </c>
      <c r="E22" s="9">
        <v>1140027</v>
      </c>
      <c r="F22" s="11">
        <v>5</v>
      </c>
      <c r="G22" s="13"/>
      <c r="H22" s="13" t="s">
        <v>17</v>
      </c>
      <c r="J22" s="14"/>
      <c r="K22" s="9">
        <v>29</v>
      </c>
      <c r="L22" s="9">
        <v>22</v>
      </c>
      <c r="M22" s="9">
        <v>17</v>
      </c>
      <c r="N22" s="9">
        <v>22</v>
      </c>
      <c r="O22" s="9">
        <v>90</v>
      </c>
      <c r="P22" s="6">
        <f>SUM(O22)*1000</f>
        <v>90000</v>
      </c>
      <c r="Q22" s="7">
        <f t="shared" si="2"/>
        <v>1.1741682974559686</v>
      </c>
      <c r="R22" s="7">
        <f t="shared" si="1"/>
        <v>704.5009784735812</v>
      </c>
      <c r="S22" s="6">
        <v>1.17</v>
      </c>
      <c r="T22" s="7">
        <v>1.17</v>
      </c>
      <c r="U22" s="20" t="s">
        <v>62</v>
      </c>
    </row>
    <row r="23" spans="1:28" s="9" customFormat="1" hidden="1" x14ac:dyDescent="0.25">
      <c r="A23" s="10" t="s">
        <v>65</v>
      </c>
      <c r="B23" s="11" t="s">
        <v>66</v>
      </c>
      <c r="C23" s="11" t="s">
        <v>67</v>
      </c>
      <c r="D23" s="11">
        <v>1161010</v>
      </c>
      <c r="E23" s="9">
        <v>1161010</v>
      </c>
      <c r="G23" s="13"/>
      <c r="H23" s="13" t="s">
        <v>17</v>
      </c>
      <c r="J23" s="14"/>
      <c r="K23" s="9">
        <v>12</v>
      </c>
      <c r="L23" s="9">
        <v>19</v>
      </c>
      <c r="M23" s="9">
        <v>63</v>
      </c>
      <c r="N23" s="9">
        <v>57</v>
      </c>
      <c r="O23" s="9">
        <v>151</v>
      </c>
      <c r="P23" s="6">
        <f>SUM(O23)*1000</f>
        <v>151000</v>
      </c>
      <c r="Q23" s="7">
        <f t="shared" si="2"/>
        <v>1.9699934768427918</v>
      </c>
      <c r="R23" s="7">
        <f t="shared" ref="R23:R82" si="3">SUM(Q23*600)</f>
        <v>1181.996086105675</v>
      </c>
      <c r="S23" s="6">
        <v>1.97</v>
      </c>
      <c r="T23" s="7">
        <v>1.82</v>
      </c>
      <c r="U23" s="20" t="s">
        <v>58</v>
      </c>
    </row>
    <row r="24" spans="1:28" s="23" customFormat="1" hidden="1" x14ac:dyDescent="0.25">
      <c r="A24" s="10" t="s">
        <v>68</v>
      </c>
      <c r="B24" s="22" t="s">
        <v>66</v>
      </c>
      <c r="C24" s="22" t="s">
        <v>69</v>
      </c>
      <c r="D24" s="22">
        <v>1162010</v>
      </c>
      <c r="E24" s="23">
        <v>1162010</v>
      </c>
      <c r="F24" s="22"/>
      <c r="G24" s="24" t="s">
        <v>33</v>
      </c>
      <c r="H24" s="24" t="s">
        <v>17</v>
      </c>
      <c r="J24" s="26"/>
      <c r="K24" s="23">
        <v>89</v>
      </c>
      <c r="L24" s="23">
        <v>1980</v>
      </c>
      <c r="M24" s="23">
        <v>207</v>
      </c>
      <c r="N24" s="23">
        <v>0</v>
      </c>
      <c r="O24" s="23">
        <v>2276</v>
      </c>
      <c r="P24" s="6"/>
      <c r="Q24" s="7"/>
      <c r="R24" s="7"/>
      <c r="S24" s="6"/>
      <c r="T24" s="7"/>
      <c r="U24" s="9"/>
      <c r="V24" s="9"/>
      <c r="W24" s="9"/>
      <c r="X24" s="9"/>
      <c r="Y24" s="9"/>
      <c r="Z24" s="9"/>
      <c r="AA24" s="9"/>
      <c r="AB24" s="9"/>
    </row>
    <row r="25" spans="1:28" hidden="1" x14ac:dyDescent="0.25">
      <c r="A25" s="10" t="s">
        <v>70</v>
      </c>
      <c r="B25" s="11" t="s">
        <v>71</v>
      </c>
      <c r="C25" s="11" t="s">
        <v>72</v>
      </c>
      <c r="D25" s="11">
        <v>1162020</v>
      </c>
      <c r="E25" s="9">
        <v>1162020</v>
      </c>
      <c r="F25" s="9">
        <v>6</v>
      </c>
      <c r="H25" s="13" t="s">
        <v>17</v>
      </c>
      <c r="K25" s="25">
        <v>11</v>
      </c>
      <c r="L25" s="25">
        <v>13</v>
      </c>
      <c r="M25" s="25">
        <v>10</v>
      </c>
      <c r="N25" s="25">
        <v>18</v>
      </c>
      <c r="O25" s="25">
        <v>76.650000000000006</v>
      </c>
      <c r="P25" s="6">
        <f t="shared" ref="P25:P32" si="4">SUM(O25)*1000</f>
        <v>76650</v>
      </c>
      <c r="Q25" s="7">
        <f t="shared" si="2"/>
        <v>1</v>
      </c>
      <c r="R25" s="7">
        <f t="shared" si="3"/>
        <v>600</v>
      </c>
      <c r="S25" s="6">
        <v>1</v>
      </c>
      <c r="T25" s="27">
        <v>1</v>
      </c>
      <c r="U25" s="28" t="s">
        <v>62</v>
      </c>
      <c r="X25" s="9"/>
      <c r="Y25" s="9"/>
      <c r="Z25" s="9"/>
      <c r="AA25" s="9"/>
      <c r="AB25" s="9"/>
    </row>
    <row r="26" spans="1:28" hidden="1" x14ac:dyDescent="0.25">
      <c r="A26" s="10" t="s">
        <v>73</v>
      </c>
      <c r="B26" s="11" t="s">
        <v>74</v>
      </c>
      <c r="C26" s="11" t="s">
        <v>75</v>
      </c>
      <c r="D26" s="11">
        <v>1160030</v>
      </c>
      <c r="E26" s="9">
        <v>1160030</v>
      </c>
      <c r="F26" s="11">
        <v>7</v>
      </c>
      <c r="H26" s="13" t="s">
        <v>17</v>
      </c>
      <c r="K26" s="25">
        <v>25</v>
      </c>
      <c r="L26" s="25">
        <v>31</v>
      </c>
      <c r="M26" s="25">
        <v>28</v>
      </c>
      <c r="N26" s="25">
        <v>22</v>
      </c>
      <c r="O26" s="25">
        <v>106</v>
      </c>
      <c r="P26" s="6">
        <f t="shared" si="4"/>
        <v>106000</v>
      </c>
      <c r="Q26" s="7">
        <f t="shared" si="2"/>
        <v>1.3829093281148075</v>
      </c>
      <c r="R26" s="7">
        <f t="shared" si="3"/>
        <v>829.74559686888449</v>
      </c>
      <c r="S26" s="6">
        <v>1.38</v>
      </c>
      <c r="T26" s="27">
        <v>1.0900000000000001</v>
      </c>
      <c r="U26" s="28" t="s">
        <v>58</v>
      </c>
      <c r="X26" s="9"/>
      <c r="Y26" s="9"/>
      <c r="Z26" s="9"/>
      <c r="AA26" s="9"/>
      <c r="AB26" s="9"/>
    </row>
    <row r="27" spans="1:28" hidden="1" x14ac:dyDescent="0.25">
      <c r="A27" s="10" t="s">
        <v>76</v>
      </c>
      <c r="B27" s="11" t="s">
        <v>77</v>
      </c>
      <c r="C27" s="11" t="s">
        <v>78</v>
      </c>
      <c r="D27" s="11">
        <v>1161040</v>
      </c>
      <c r="E27" s="9">
        <v>1161040</v>
      </c>
      <c r="F27" s="9">
        <v>8</v>
      </c>
      <c r="H27" s="13" t="s">
        <v>17</v>
      </c>
      <c r="K27" s="25">
        <v>10</v>
      </c>
      <c r="L27" s="25">
        <v>32</v>
      </c>
      <c r="M27" s="25">
        <v>9</v>
      </c>
      <c r="N27" s="25">
        <v>8</v>
      </c>
      <c r="O27" s="25">
        <v>76.650000000000006</v>
      </c>
      <c r="P27" s="6">
        <f t="shared" si="4"/>
        <v>76650</v>
      </c>
      <c r="Q27" s="7">
        <f t="shared" si="2"/>
        <v>1</v>
      </c>
      <c r="R27" s="7">
        <f t="shared" si="3"/>
        <v>600</v>
      </c>
      <c r="S27" s="6">
        <v>1</v>
      </c>
      <c r="T27" s="27">
        <v>1</v>
      </c>
      <c r="U27" s="29" t="s">
        <v>62</v>
      </c>
      <c r="X27" s="9"/>
      <c r="Y27" s="9"/>
      <c r="Z27" s="9"/>
      <c r="AA27" s="9"/>
      <c r="AB27" s="9"/>
    </row>
    <row r="28" spans="1:28" hidden="1" x14ac:dyDescent="0.25">
      <c r="A28" s="10" t="s">
        <v>79</v>
      </c>
      <c r="B28" s="11" t="s">
        <v>80</v>
      </c>
      <c r="C28" s="11" t="s">
        <v>81</v>
      </c>
      <c r="D28" s="11">
        <v>1161050</v>
      </c>
      <c r="E28" s="9">
        <v>1161050</v>
      </c>
      <c r="F28" s="11">
        <v>9</v>
      </c>
      <c r="H28" s="13" t="s">
        <v>17</v>
      </c>
      <c r="K28" s="25">
        <v>10</v>
      </c>
      <c r="L28" s="25">
        <v>9</v>
      </c>
      <c r="M28" s="25">
        <v>5</v>
      </c>
      <c r="N28" s="25">
        <v>2</v>
      </c>
      <c r="O28" s="25">
        <v>76.650000000000006</v>
      </c>
      <c r="P28" s="6">
        <f t="shared" si="4"/>
        <v>76650</v>
      </c>
      <c r="Q28" s="7">
        <f t="shared" si="2"/>
        <v>1</v>
      </c>
      <c r="R28" s="7">
        <f t="shared" si="3"/>
        <v>600</v>
      </c>
      <c r="S28" s="6">
        <v>1</v>
      </c>
      <c r="T28" s="27">
        <v>1</v>
      </c>
      <c r="U28" s="29" t="s">
        <v>62</v>
      </c>
      <c r="X28" s="9"/>
      <c r="Y28" s="9"/>
      <c r="Z28" s="9"/>
      <c r="AA28" s="9"/>
      <c r="AB28" s="9"/>
    </row>
    <row r="29" spans="1:28" hidden="1" x14ac:dyDescent="0.25">
      <c r="A29" s="10" t="s">
        <v>82</v>
      </c>
      <c r="B29" s="11" t="s">
        <v>83</v>
      </c>
      <c r="C29" s="11" t="s">
        <v>84</v>
      </c>
      <c r="D29" s="11">
        <v>1160060</v>
      </c>
      <c r="E29" s="9">
        <v>1160060</v>
      </c>
      <c r="F29" s="9">
        <v>10</v>
      </c>
      <c r="H29" s="13" t="s">
        <v>17</v>
      </c>
      <c r="K29" s="25">
        <v>5</v>
      </c>
      <c r="L29" s="25">
        <v>5</v>
      </c>
      <c r="M29" s="25">
        <v>6</v>
      </c>
      <c r="N29" s="25">
        <v>4</v>
      </c>
      <c r="O29" s="25">
        <v>76.650000000000006</v>
      </c>
      <c r="P29" s="6">
        <f t="shared" si="4"/>
        <v>76650</v>
      </c>
      <c r="Q29" s="7">
        <f t="shared" si="2"/>
        <v>1</v>
      </c>
      <c r="R29" s="7">
        <f t="shared" si="3"/>
        <v>600</v>
      </c>
      <c r="S29" s="6">
        <v>1</v>
      </c>
      <c r="T29" s="27">
        <v>1</v>
      </c>
      <c r="U29" s="29" t="s">
        <v>62</v>
      </c>
      <c r="X29" s="9"/>
      <c r="Y29" s="9"/>
      <c r="Z29" s="9"/>
      <c r="AA29" s="9"/>
      <c r="AB29" s="9"/>
    </row>
    <row r="30" spans="1:28" hidden="1" x14ac:dyDescent="0.25">
      <c r="A30" s="10" t="s">
        <v>85</v>
      </c>
      <c r="B30" s="11" t="s">
        <v>86</v>
      </c>
      <c r="C30" s="11" t="s">
        <v>87</v>
      </c>
      <c r="D30" s="11">
        <v>1162070</v>
      </c>
      <c r="E30" s="9">
        <v>1162070</v>
      </c>
      <c r="F30" s="11">
        <v>11</v>
      </c>
      <c r="H30" s="13" t="s">
        <v>17</v>
      </c>
      <c r="K30" s="25">
        <v>13</v>
      </c>
      <c r="L30" s="25">
        <v>17</v>
      </c>
      <c r="M30" s="25">
        <v>11</v>
      </c>
      <c r="N30" s="25">
        <v>7</v>
      </c>
      <c r="O30" s="25">
        <v>76.650000000000006</v>
      </c>
      <c r="P30" s="6">
        <f t="shared" si="4"/>
        <v>76650</v>
      </c>
      <c r="Q30" s="7">
        <f t="shared" si="2"/>
        <v>1</v>
      </c>
      <c r="R30" s="7">
        <f t="shared" si="3"/>
        <v>600</v>
      </c>
      <c r="S30" s="6">
        <v>1</v>
      </c>
      <c r="T30" s="27">
        <v>1</v>
      </c>
      <c r="U30" s="29" t="s">
        <v>62</v>
      </c>
      <c r="X30" s="9"/>
      <c r="Y30" s="9"/>
      <c r="Z30" s="9"/>
      <c r="AA30" s="9"/>
      <c r="AB30" s="9"/>
    </row>
    <row r="31" spans="1:28" hidden="1" x14ac:dyDescent="0.25">
      <c r="A31" s="10" t="s">
        <v>88</v>
      </c>
      <c r="B31" s="11" t="s">
        <v>89</v>
      </c>
      <c r="C31" s="11" t="s">
        <v>90</v>
      </c>
      <c r="D31" s="11">
        <v>1162090</v>
      </c>
      <c r="E31" s="9">
        <v>1162090</v>
      </c>
      <c r="F31" s="9">
        <v>12</v>
      </c>
      <c r="H31" s="13" t="s">
        <v>17</v>
      </c>
      <c r="K31" s="25">
        <v>2</v>
      </c>
      <c r="L31" s="25">
        <v>2</v>
      </c>
      <c r="M31" s="25">
        <v>2</v>
      </c>
      <c r="N31" s="25">
        <v>1</v>
      </c>
      <c r="O31" s="25">
        <v>76.650000000000006</v>
      </c>
      <c r="P31" s="6">
        <f t="shared" si="4"/>
        <v>76650</v>
      </c>
      <c r="Q31" s="7">
        <f t="shared" si="2"/>
        <v>1</v>
      </c>
      <c r="R31" s="7">
        <f t="shared" si="3"/>
        <v>600</v>
      </c>
      <c r="S31" s="6">
        <v>1</v>
      </c>
      <c r="T31" s="27">
        <v>1</v>
      </c>
      <c r="U31" s="29" t="s">
        <v>62</v>
      </c>
      <c r="X31" s="9"/>
      <c r="Y31" s="9"/>
      <c r="Z31" s="9"/>
      <c r="AA31" s="9"/>
      <c r="AB31" s="9"/>
    </row>
    <row r="32" spans="1:28" hidden="1" x14ac:dyDescent="0.25">
      <c r="A32" s="10" t="s">
        <v>91</v>
      </c>
      <c r="B32" s="11" t="s">
        <v>92</v>
      </c>
      <c r="C32" s="11" t="s">
        <v>93</v>
      </c>
      <c r="D32" s="11">
        <v>1160100</v>
      </c>
      <c r="E32" s="9">
        <v>1160100</v>
      </c>
      <c r="F32" s="11">
        <v>13</v>
      </c>
      <c r="H32" s="13" t="s">
        <v>17</v>
      </c>
      <c r="K32" s="25">
        <v>18</v>
      </c>
      <c r="L32" s="25">
        <v>17</v>
      </c>
      <c r="M32" s="25">
        <v>18</v>
      </c>
      <c r="N32" s="25">
        <v>12</v>
      </c>
      <c r="O32" s="25">
        <v>76.650000000000006</v>
      </c>
      <c r="P32" s="6">
        <f t="shared" si="4"/>
        <v>76650</v>
      </c>
      <c r="Q32" s="7">
        <f t="shared" si="2"/>
        <v>1</v>
      </c>
      <c r="R32" s="7">
        <f t="shared" si="3"/>
        <v>600</v>
      </c>
      <c r="S32" s="6">
        <v>1</v>
      </c>
      <c r="T32" s="27">
        <v>1</v>
      </c>
      <c r="U32" s="28" t="s">
        <v>62</v>
      </c>
      <c r="X32" s="9"/>
      <c r="Y32" s="9"/>
      <c r="Z32" s="9"/>
      <c r="AA32" s="9"/>
      <c r="AB32" s="9"/>
    </row>
    <row r="33" spans="1:28" hidden="1" x14ac:dyDescent="0.25">
      <c r="A33" s="10" t="s">
        <v>94</v>
      </c>
      <c r="B33" s="11" t="s">
        <v>95</v>
      </c>
      <c r="C33" s="11" t="s">
        <v>96</v>
      </c>
      <c r="D33" s="15">
        <v>1170279</v>
      </c>
      <c r="H33" s="13" t="s">
        <v>17</v>
      </c>
      <c r="K33" s="25">
        <v>197</v>
      </c>
      <c r="L33" s="25">
        <v>467</v>
      </c>
      <c r="M33" s="25">
        <v>249</v>
      </c>
      <c r="N33" s="25">
        <v>191</v>
      </c>
      <c r="O33" s="25">
        <v>1104</v>
      </c>
      <c r="P33" s="6"/>
      <c r="Q33" s="7"/>
      <c r="R33" s="7"/>
      <c r="X33" s="9"/>
      <c r="Y33" s="9"/>
      <c r="Z33" s="9"/>
      <c r="AA33" s="9"/>
      <c r="AB33" s="9"/>
    </row>
    <row r="34" spans="1:28" s="23" customFormat="1" hidden="1" x14ac:dyDescent="0.25">
      <c r="A34" s="10" t="s">
        <v>97</v>
      </c>
      <c r="B34" s="22" t="s">
        <v>95</v>
      </c>
      <c r="C34" s="22" t="s">
        <v>96</v>
      </c>
      <c r="D34" s="15">
        <v>1170279</v>
      </c>
      <c r="G34" s="24" t="s">
        <v>33</v>
      </c>
      <c r="H34" s="24" t="s">
        <v>17</v>
      </c>
      <c r="K34" s="23">
        <v>132</v>
      </c>
      <c r="L34" s="23">
        <v>229</v>
      </c>
      <c r="M34" s="23">
        <v>377</v>
      </c>
      <c r="N34" s="23">
        <v>0</v>
      </c>
      <c r="O34" s="23">
        <v>738</v>
      </c>
      <c r="P34" s="6"/>
      <c r="Q34" s="7"/>
      <c r="R34" s="7"/>
      <c r="S34" s="6"/>
      <c r="T34" s="7"/>
      <c r="U34" s="9"/>
      <c r="V34" s="9"/>
      <c r="W34" s="9"/>
      <c r="X34" s="9"/>
      <c r="Y34" s="9"/>
      <c r="Z34" s="9"/>
      <c r="AA34" s="9"/>
      <c r="AB34" s="9"/>
    </row>
    <row r="35" spans="1:28" hidden="1" x14ac:dyDescent="0.25">
      <c r="A35" s="10" t="s">
        <v>98</v>
      </c>
      <c r="B35" s="11" t="s">
        <v>95</v>
      </c>
      <c r="C35" s="11" t="s">
        <v>96</v>
      </c>
      <c r="D35" s="15">
        <v>1170279</v>
      </c>
      <c r="H35" s="13" t="s">
        <v>17</v>
      </c>
      <c r="K35" s="25">
        <v>526</v>
      </c>
      <c r="L35" s="25">
        <v>899</v>
      </c>
      <c r="M35" s="25">
        <v>700</v>
      </c>
      <c r="N35" s="25">
        <v>103</v>
      </c>
      <c r="O35" s="25">
        <v>2228</v>
      </c>
      <c r="P35" s="6"/>
      <c r="Q35" s="7"/>
      <c r="R35" s="7"/>
      <c r="X35" s="9"/>
      <c r="Y35" s="9"/>
    </row>
    <row r="36" spans="1:28" hidden="1" x14ac:dyDescent="0.25">
      <c r="A36" s="10"/>
      <c r="B36" s="11" t="s">
        <v>95</v>
      </c>
      <c r="C36" s="11" t="s">
        <v>96</v>
      </c>
      <c r="D36" s="15">
        <v>1170279</v>
      </c>
      <c r="E36" s="15">
        <v>1170279</v>
      </c>
      <c r="F36" s="15">
        <v>14</v>
      </c>
      <c r="G36" s="16"/>
      <c r="H36" s="16" t="s">
        <v>17</v>
      </c>
      <c r="I36" s="15"/>
      <c r="J36" s="15"/>
      <c r="K36" s="15">
        <v>5</v>
      </c>
      <c r="L36" s="15">
        <v>36</v>
      </c>
      <c r="M36" s="15">
        <v>18</v>
      </c>
      <c r="N36" s="15">
        <v>0</v>
      </c>
      <c r="O36" s="15">
        <v>59</v>
      </c>
      <c r="P36" s="18">
        <f>+SUM(O33+O35+O36)*1000</f>
        <v>3391000</v>
      </c>
      <c r="Q36" s="19">
        <f t="shared" si="2"/>
        <v>44.240052185257667</v>
      </c>
      <c r="R36" s="19">
        <f t="shared" si="3"/>
        <v>26544.031311154602</v>
      </c>
      <c r="S36" s="18">
        <v>45.13</v>
      </c>
      <c r="T36" s="19">
        <v>49.31</v>
      </c>
      <c r="U36" s="28" t="s">
        <v>22</v>
      </c>
      <c r="X36" s="9"/>
      <c r="Y36" s="9"/>
    </row>
    <row r="37" spans="1:28" hidden="1" x14ac:dyDescent="0.25">
      <c r="A37" s="10" t="s">
        <v>99</v>
      </c>
      <c r="B37" s="11" t="s">
        <v>100</v>
      </c>
      <c r="C37" s="11" t="s">
        <v>101</v>
      </c>
      <c r="D37" s="9">
        <v>1170280</v>
      </c>
      <c r="E37" s="9">
        <v>1170280</v>
      </c>
      <c r="F37" s="9">
        <v>15</v>
      </c>
      <c r="H37" s="13" t="s">
        <v>17</v>
      </c>
      <c r="K37" s="25">
        <v>188</v>
      </c>
      <c r="L37" s="25">
        <v>157</v>
      </c>
      <c r="M37" s="25">
        <v>152</v>
      </c>
      <c r="N37" s="25">
        <v>90</v>
      </c>
      <c r="O37" s="25">
        <v>587</v>
      </c>
      <c r="P37" s="6">
        <f>SUM(O37*1000)</f>
        <v>587000</v>
      </c>
      <c r="Q37" s="7">
        <f t="shared" si="2"/>
        <v>7.6581865622961516</v>
      </c>
      <c r="R37" s="7">
        <f t="shared" si="3"/>
        <v>4594.9119373776912</v>
      </c>
      <c r="S37" s="30">
        <v>7.66</v>
      </c>
      <c r="T37" s="27">
        <v>5.57</v>
      </c>
      <c r="U37" s="28" t="s">
        <v>58</v>
      </c>
    </row>
    <row r="38" spans="1:28" hidden="1" x14ac:dyDescent="0.25">
      <c r="A38" s="10" t="s">
        <v>102</v>
      </c>
      <c r="B38" s="11" t="s">
        <v>103</v>
      </c>
      <c r="C38" s="11" t="s">
        <v>104</v>
      </c>
      <c r="D38" s="9">
        <v>1240004</v>
      </c>
      <c r="E38" s="9">
        <v>1240004</v>
      </c>
      <c r="F38" s="9">
        <v>16</v>
      </c>
      <c r="H38" s="13" t="s">
        <v>17</v>
      </c>
      <c r="K38" s="25">
        <v>58</v>
      </c>
      <c r="L38" s="25">
        <v>97</v>
      </c>
      <c r="M38" s="25">
        <v>70</v>
      </c>
      <c r="N38" s="25">
        <v>21</v>
      </c>
      <c r="O38" s="25">
        <v>246</v>
      </c>
      <c r="P38" s="6">
        <f>SUM(O38*1000)</f>
        <v>246000</v>
      </c>
      <c r="Q38" s="7">
        <f t="shared" si="2"/>
        <v>3.2093933463796476</v>
      </c>
      <c r="R38" s="7">
        <f t="shared" si="3"/>
        <v>1925.6360078277885</v>
      </c>
      <c r="S38" s="30">
        <v>3.21</v>
      </c>
      <c r="T38" s="27">
        <v>2.62</v>
      </c>
      <c r="U38" s="28" t="s">
        <v>58</v>
      </c>
    </row>
    <row r="39" spans="1:28" hidden="1" x14ac:dyDescent="0.25">
      <c r="A39" s="10" t="s">
        <v>105</v>
      </c>
      <c r="B39" s="11" t="s">
        <v>106</v>
      </c>
      <c r="C39" s="11" t="s">
        <v>107</v>
      </c>
      <c r="D39" s="9">
        <v>1300101</v>
      </c>
      <c r="E39" s="9">
        <v>1300101</v>
      </c>
      <c r="F39" s="9">
        <v>17</v>
      </c>
      <c r="H39" s="13" t="s">
        <v>17</v>
      </c>
      <c r="K39" s="25">
        <v>1131</v>
      </c>
      <c r="L39" s="25">
        <v>1398</v>
      </c>
      <c r="M39" s="25">
        <v>1142</v>
      </c>
      <c r="N39" s="25">
        <v>833</v>
      </c>
      <c r="O39" s="25">
        <v>4504</v>
      </c>
      <c r="P39" s="6">
        <f>SUM(O39*1000)</f>
        <v>4504000</v>
      </c>
      <c r="Q39" s="7">
        <f t="shared" si="2"/>
        <v>58.760600130463146</v>
      </c>
      <c r="R39" s="7">
        <f t="shared" si="3"/>
        <v>35256.360078277889</v>
      </c>
      <c r="S39" s="30">
        <v>58.76</v>
      </c>
      <c r="T39" s="27">
        <v>47.91</v>
      </c>
      <c r="U39" s="28" t="s">
        <v>58</v>
      </c>
    </row>
    <row r="40" spans="1:28" hidden="1" x14ac:dyDescent="0.25">
      <c r="A40" s="31"/>
      <c r="B40" s="11" t="s">
        <v>108</v>
      </c>
      <c r="C40" s="11" t="s">
        <v>109</v>
      </c>
      <c r="D40" s="9">
        <v>5980030</v>
      </c>
      <c r="E40" s="9">
        <v>5980030</v>
      </c>
      <c r="F40" s="11">
        <v>18</v>
      </c>
      <c r="G40" s="32"/>
      <c r="H40" s="13" t="s">
        <v>110</v>
      </c>
      <c r="K40" s="25">
        <v>0</v>
      </c>
      <c r="L40" s="25">
        <v>0</v>
      </c>
      <c r="M40" s="25">
        <v>0</v>
      </c>
      <c r="N40" s="25">
        <v>0</v>
      </c>
      <c r="O40" s="25">
        <v>76.650000000000006</v>
      </c>
      <c r="P40" s="6">
        <v>76650</v>
      </c>
      <c r="Q40" s="7">
        <f t="shared" si="2"/>
        <v>1</v>
      </c>
      <c r="R40" s="7">
        <f t="shared" si="3"/>
        <v>600</v>
      </c>
      <c r="S40" s="30">
        <v>1</v>
      </c>
      <c r="T40" s="27">
        <v>1</v>
      </c>
      <c r="U40" s="28" t="s">
        <v>62</v>
      </c>
    </row>
    <row r="41" spans="1:28" s="9" customFormat="1" hidden="1" x14ac:dyDescent="0.25">
      <c r="A41" s="31"/>
      <c r="B41" s="11" t="s">
        <v>111</v>
      </c>
      <c r="C41" s="11" t="s">
        <v>112</v>
      </c>
      <c r="D41" s="15">
        <v>1610200</v>
      </c>
      <c r="G41" s="13"/>
      <c r="H41" s="13" t="s">
        <v>110</v>
      </c>
      <c r="K41" s="25">
        <v>353</v>
      </c>
      <c r="L41" s="25">
        <v>310</v>
      </c>
      <c r="M41" s="25">
        <v>215</v>
      </c>
      <c r="N41" s="25">
        <v>200</v>
      </c>
      <c r="O41" s="25">
        <v>1078</v>
      </c>
      <c r="P41" s="6">
        <f>SUM(O41)*1000</f>
        <v>1078000</v>
      </c>
      <c r="Q41" s="7">
        <f t="shared" si="2"/>
        <v>14.06392694063927</v>
      </c>
      <c r="R41" s="7">
        <f t="shared" si="3"/>
        <v>8438.3561643835619</v>
      </c>
      <c r="S41" s="30">
        <v>14.06</v>
      </c>
      <c r="T41" s="7">
        <v>14.49</v>
      </c>
      <c r="U41" s="28" t="s">
        <v>22</v>
      </c>
    </row>
    <row r="42" spans="1:28" hidden="1" x14ac:dyDescent="0.25">
      <c r="A42" s="31"/>
      <c r="B42" s="11" t="s">
        <v>113</v>
      </c>
      <c r="C42" s="11" t="s">
        <v>112</v>
      </c>
      <c r="D42" s="15">
        <v>1610150</v>
      </c>
      <c r="H42" s="13" t="s">
        <v>110</v>
      </c>
      <c r="K42" s="5">
        <v>2</v>
      </c>
      <c r="L42" s="5">
        <v>1</v>
      </c>
      <c r="M42" s="5">
        <v>0</v>
      </c>
      <c r="N42" s="5">
        <v>0</v>
      </c>
      <c r="O42" s="5">
        <v>3</v>
      </c>
      <c r="P42" s="6"/>
      <c r="Q42" s="7"/>
      <c r="R42" s="7"/>
    </row>
    <row r="43" spans="1:28" hidden="1" x14ac:dyDescent="0.25">
      <c r="A43" s="31"/>
      <c r="B43" s="11" t="s">
        <v>114</v>
      </c>
      <c r="C43" s="11" t="s">
        <v>112</v>
      </c>
      <c r="D43" s="15">
        <v>1610150</v>
      </c>
      <c r="H43" s="13" t="s">
        <v>110</v>
      </c>
      <c r="K43" s="5">
        <v>1</v>
      </c>
      <c r="L43" s="5">
        <v>1</v>
      </c>
      <c r="M43" s="5">
        <v>0</v>
      </c>
      <c r="N43" s="5">
        <v>0</v>
      </c>
      <c r="O43" s="5">
        <v>2</v>
      </c>
      <c r="P43" s="6"/>
      <c r="Q43" s="7"/>
      <c r="R43" s="7"/>
    </row>
    <row r="44" spans="1:28" hidden="1" x14ac:dyDescent="0.25">
      <c r="A44" s="31"/>
      <c r="B44" s="11" t="s">
        <v>115</v>
      </c>
      <c r="C44" s="11" t="s">
        <v>112</v>
      </c>
      <c r="D44" s="15">
        <v>1610150</v>
      </c>
      <c r="H44" s="13" t="s">
        <v>110</v>
      </c>
      <c r="K44" s="5">
        <v>3</v>
      </c>
      <c r="L44" s="5">
        <v>7</v>
      </c>
      <c r="M44" s="5">
        <v>0</v>
      </c>
      <c r="N44" s="5">
        <v>0</v>
      </c>
      <c r="O44" s="5">
        <v>10</v>
      </c>
      <c r="P44" s="6"/>
      <c r="Q44" s="7"/>
      <c r="R44" s="7"/>
    </row>
    <row r="45" spans="1:28" hidden="1" x14ac:dyDescent="0.25">
      <c r="A45" s="31"/>
      <c r="B45" s="11" t="s">
        <v>116</v>
      </c>
      <c r="C45" s="11" t="s">
        <v>112</v>
      </c>
      <c r="D45" s="15">
        <v>1610150</v>
      </c>
      <c r="H45" s="13" t="s">
        <v>110</v>
      </c>
      <c r="K45" s="5">
        <v>60</v>
      </c>
      <c r="L45" s="5">
        <v>185</v>
      </c>
      <c r="M45" s="5">
        <v>15</v>
      </c>
      <c r="N45" s="5">
        <v>0</v>
      </c>
      <c r="O45" s="5">
        <v>260</v>
      </c>
      <c r="P45" s="6"/>
      <c r="Q45" s="7"/>
      <c r="R45" s="7"/>
    </row>
    <row r="46" spans="1:28" hidden="1" x14ac:dyDescent="0.25">
      <c r="A46" s="31"/>
      <c r="B46" s="11" t="s">
        <v>117</v>
      </c>
      <c r="C46" s="11" t="s">
        <v>112</v>
      </c>
      <c r="D46" s="15">
        <v>1610150</v>
      </c>
      <c r="H46" s="13" t="s">
        <v>110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6"/>
      <c r="Q46" s="7"/>
      <c r="R46" s="7"/>
    </row>
    <row r="47" spans="1:28" hidden="1" x14ac:dyDescent="0.25">
      <c r="A47" s="31"/>
      <c r="B47" s="9" t="s">
        <v>118</v>
      </c>
      <c r="C47" s="11" t="s">
        <v>112</v>
      </c>
      <c r="D47" s="15">
        <v>1610150</v>
      </c>
      <c r="H47" s="13" t="s">
        <v>110</v>
      </c>
      <c r="K47" s="5">
        <v>28</v>
      </c>
      <c r="L47" s="5">
        <v>45</v>
      </c>
      <c r="M47" s="5">
        <v>0</v>
      </c>
      <c r="N47" s="5">
        <v>0</v>
      </c>
      <c r="O47" s="5">
        <v>73</v>
      </c>
      <c r="P47" s="6"/>
      <c r="Q47" s="7"/>
      <c r="R47" s="7"/>
    </row>
    <row r="48" spans="1:28" hidden="1" x14ac:dyDescent="0.25">
      <c r="A48" s="31"/>
      <c r="B48" s="11" t="s">
        <v>119</v>
      </c>
      <c r="C48" s="11" t="s">
        <v>112</v>
      </c>
      <c r="D48" s="15">
        <v>1610150</v>
      </c>
      <c r="H48" s="13" t="s">
        <v>110</v>
      </c>
      <c r="K48" s="25">
        <v>37</v>
      </c>
      <c r="L48" s="25">
        <v>27</v>
      </c>
      <c r="M48" s="25">
        <v>0</v>
      </c>
      <c r="N48" s="25">
        <v>1</v>
      </c>
      <c r="O48" s="25">
        <v>65</v>
      </c>
      <c r="P48" s="6"/>
      <c r="Q48" s="7"/>
      <c r="R48" s="7"/>
    </row>
    <row r="49" spans="1:24" hidden="1" x14ac:dyDescent="0.25">
      <c r="A49" s="31"/>
      <c r="B49" s="11" t="s">
        <v>120</v>
      </c>
      <c r="C49" s="11" t="s">
        <v>112</v>
      </c>
      <c r="D49" s="15">
        <v>1610150</v>
      </c>
      <c r="H49" s="13" t="s">
        <v>110</v>
      </c>
      <c r="K49" s="25">
        <v>237</v>
      </c>
      <c r="L49" s="25">
        <v>209</v>
      </c>
      <c r="M49" s="25">
        <v>127</v>
      </c>
      <c r="N49" s="25">
        <v>127</v>
      </c>
      <c r="O49" s="25">
        <v>700</v>
      </c>
      <c r="P49" s="6"/>
      <c r="Q49" s="7"/>
      <c r="R49" s="7"/>
    </row>
    <row r="50" spans="1:24" hidden="1" x14ac:dyDescent="0.25">
      <c r="A50" s="31"/>
      <c r="B50" s="9" t="s">
        <v>121</v>
      </c>
      <c r="C50" s="11" t="s">
        <v>112</v>
      </c>
      <c r="D50" s="15">
        <v>1610150</v>
      </c>
      <c r="E50" s="15">
        <v>1610150</v>
      </c>
      <c r="F50" s="15">
        <v>19</v>
      </c>
      <c r="G50" s="16"/>
      <c r="H50" s="16" t="s">
        <v>110</v>
      </c>
      <c r="I50" s="15"/>
      <c r="J50" s="15"/>
      <c r="K50" s="15">
        <v>0</v>
      </c>
      <c r="L50" s="15">
        <v>2</v>
      </c>
      <c r="M50" s="15">
        <v>0</v>
      </c>
      <c r="N50" s="15">
        <v>0</v>
      </c>
      <c r="O50" s="15">
        <v>2</v>
      </c>
      <c r="P50" s="18">
        <f>SUM(O42:O50)*1000</f>
        <v>1115000</v>
      </c>
      <c r="Q50" s="19">
        <f t="shared" si="2"/>
        <v>14.546640574037834</v>
      </c>
      <c r="R50" s="19">
        <f t="shared" si="3"/>
        <v>8727.9843444227008</v>
      </c>
      <c r="S50" s="18">
        <v>14.55</v>
      </c>
    </row>
    <row r="51" spans="1:24" s="15" customFormat="1" x14ac:dyDescent="0.25">
      <c r="A51" s="33"/>
      <c r="B51" s="34" t="s">
        <v>122</v>
      </c>
      <c r="C51" s="35" t="s">
        <v>123</v>
      </c>
      <c r="D51" s="34">
        <v>1780003</v>
      </c>
      <c r="E51" s="34">
        <v>1780003</v>
      </c>
      <c r="F51" s="34">
        <v>20</v>
      </c>
      <c r="G51" s="36"/>
      <c r="H51" s="37" t="s">
        <v>17</v>
      </c>
      <c r="P51" s="18">
        <v>400000</v>
      </c>
      <c r="Q51" s="19">
        <f t="shared" si="2"/>
        <v>5.2185257664709717</v>
      </c>
      <c r="R51" s="19">
        <f t="shared" si="3"/>
        <v>3131.1154598825829</v>
      </c>
      <c r="S51" s="18">
        <v>5.22</v>
      </c>
      <c r="T51" s="19"/>
    </row>
    <row r="52" spans="1:24" hidden="1" x14ac:dyDescent="0.25">
      <c r="A52" s="10" t="s">
        <v>124</v>
      </c>
      <c r="B52" s="9" t="s">
        <v>125</v>
      </c>
      <c r="C52" s="11" t="s">
        <v>126</v>
      </c>
      <c r="D52" s="9">
        <v>1830005</v>
      </c>
      <c r="E52" s="9">
        <v>1830005</v>
      </c>
      <c r="F52" s="9">
        <v>21</v>
      </c>
      <c r="H52" s="9" t="s">
        <v>17</v>
      </c>
      <c r="K52" s="25">
        <v>8</v>
      </c>
      <c r="L52" s="25">
        <v>35</v>
      </c>
      <c r="M52" s="25">
        <v>13</v>
      </c>
      <c r="N52" s="25">
        <v>2</v>
      </c>
      <c r="O52" s="25">
        <v>76.650000000000006</v>
      </c>
      <c r="P52" s="6">
        <v>76650</v>
      </c>
      <c r="Q52" s="7">
        <f>SUM(P52/76650)</f>
        <v>1</v>
      </c>
      <c r="R52" s="19">
        <f t="shared" si="3"/>
        <v>600</v>
      </c>
      <c r="S52" s="30">
        <v>1</v>
      </c>
      <c r="T52" s="27">
        <v>3.25</v>
      </c>
      <c r="U52" s="28" t="s">
        <v>22</v>
      </c>
    </row>
    <row r="53" spans="1:24" hidden="1" x14ac:dyDescent="0.25">
      <c r="A53" s="10"/>
      <c r="B53" s="25" t="s">
        <v>127</v>
      </c>
      <c r="C53" s="25" t="s">
        <v>128</v>
      </c>
      <c r="D53" s="15">
        <v>1830050</v>
      </c>
      <c r="H53" s="9" t="s">
        <v>17</v>
      </c>
      <c r="K53" s="25">
        <v>1</v>
      </c>
      <c r="L53" s="25">
        <v>11</v>
      </c>
      <c r="M53" s="25">
        <v>0</v>
      </c>
      <c r="N53" s="25">
        <v>0</v>
      </c>
      <c r="O53" s="25">
        <v>12</v>
      </c>
      <c r="P53" s="6"/>
      <c r="Q53" s="7"/>
      <c r="R53" s="7"/>
    </row>
    <row r="54" spans="1:24" hidden="1" x14ac:dyDescent="0.25">
      <c r="A54" s="10"/>
      <c r="B54" s="25" t="s">
        <v>129</v>
      </c>
      <c r="C54" s="25" t="s">
        <v>130</v>
      </c>
      <c r="D54" s="15">
        <v>1830050</v>
      </c>
      <c r="H54" s="9" t="s">
        <v>17</v>
      </c>
      <c r="K54" s="25">
        <v>2</v>
      </c>
      <c r="L54" s="25">
        <v>12</v>
      </c>
      <c r="M54" s="25">
        <v>0</v>
      </c>
      <c r="N54" s="25">
        <v>0</v>
      </c>
      <c r="O54" s="25">
        <v>14</v>
      </c>
      <c r="P54" s="6"/>
      <c r="Q54" s="7"/>
      <c r="R54" s="7"/>
    </row>
    <row r="55" spans="1:24" hidden="1" x14ac:dyDescent="0.25">
      <c r="A55" s="31"/>
      <c r="B55" s="9" t="s">
        <v>131</v>
      </c>
      <c r="C55" s="25" t="s">
        <v>132</v>
      </c>
      <c r="D55" s="15">
        <v>1830050</v>
      </c>
      <c r="H55" s="9" t="s">
        <v>17</v>
      </c>
      <c r="K55" s="25">
        <v>0</v>
      </c>
      <c r="L55" s="25">
        <v>0</v>
      </c>
      <c r="M55" s="25">
        <v>81</v>
      </c>
      <c r="N55" s="25">
        <v>6</v>
      </c>
      <c r="O55" s="25">
        <v>87</v>
      </c>
      <c r="P55" s="6"/>
      <c r="Q55" s="7"/>
      <c r="R55" s="7"/>
    </row>
    <row r="56" spans="1:24" hidden="1" x14ac:dyDescent="0.25">
      <c r="A56" s="10"/>
      <c r="B56" s="9" t="s">
        <v>131</v>
      </c>
      <c r="C56" s="11" t="s">
        <v>133</v>
      </c>
      <c r="D56" s="15">
        <v>1830050</v>
      </c>
      <c r="E56" s="9">
        <v>1830050</v>
      </c>
      <c r="F56" s="9">
        <v>22</v>
      </c>
      <c r="H56" s="13" t="s">
        <v>17</v>
      </c>
      <c r="K56" s="25">
        <v>410</v>
      </c>
      <c r="L56" s="25">
        <v>243</v>
      </c>
      <c r="M56" s="25">
        <v>0</v>
      </c>
      <c r="N56" s="25">
        <v>0</v>
      </c>
      <c r="O56" s="25">
        <v>653</v>
      </c>
      <c r="P56" s="6"/>
      <c r="Q56" s="7"/>
      <c r="R56" s="7"/>
    </row>
    <row r="57" spans="1:24" hidden="1" x14ac:dyDescent="0.25">
      <c r="A57" s="31"/>
      <c r="B57" s="9" t="s">
        <v>134</v>
      </c>
      <c r="C57" s="9" t="s">
        <v>135</v>
      </c>
      <c r="D57" s="15">
        <v>1830050</v>
      </c>
      <c r="H57" s="13" t="s">
        <v>17</v>
      </c>
      <c r="K57" s="9">
        <v>52</v>
      </c>
      <c r="L57" s="9">
        <v>1359</v>
      </c>
      <c r="M57" s="9">
        <v>771</v>
      </c>
      <c r="N57" s="9">
        <v>0</v>
      </c>
      <c r="O57" s="9">
        <v>2182</v>
      </c>
      <c r="P57" s="6"/>
      <c r="Q57" s="7"/>
      <c r="R57" s="7"/>
    </row>
    <row r="58" spans="1:24" hidden="1" x14ac:dyDescent="0.25">
      <c r="A58" s="31"/>
      <c r="B58" s="9" t="s">
        <v>134</v>
      </c>
      <c r="C58" s="9" t="s">
        <v>135</v>
      </c>
      <c r="D58" s="15">
        <v>1830050</v>
      </c>
      <c r="H58" s="13" t="s">
        <v>17</v>
      </c>
      <c r="K58" s="9">
        <v>0</v>
      </c>
      <c r="L58" s="9">
        <v>0</v>
      </c>
      <c r="M58" s="9">
        <v>1</v>
      </c>
      <c r="N58" s="9">
        <v>0</v>
      </c>
      <c r="O58" s="9">
        <v>1</v>
      </c>
      <c r="P58" s="6"/>
      <c r="Q58" s="7"/>
      <c r="R58" s="7"/>
    </row>
    <row r="59" spans="1:24" hidden="1" x14ac:dyDescent="0.25">
      <c r="A59" s="31"/>
      <c r="B59" s="9" t="s">
        <v>136</v>
      </c>
      <c r="C59" s="9" t="s">
        <v>135</v>
      </c>
      <c r="D59" s="15">
        <v>1830050</v>
      </c>
      <c r="E59" s="15"/>
      <c r="F59" s="15"/>
      <c r="G59" s="16"/>
      <c r="H59" s="16" t="s">
        <v>17</v>
      </c>
      <c r="I59" s="15"/>
      <c r="J59" s="15"/>
      <c r="K59" s="15">
        <v>1</v>
      </c>
      <c r="L59" s="15">
        <v>1</v>
      </c>
      <c r="M59" s="15">
        <v>0</v>
      </c>
      <c r="N59" s="15">
        <v>0</v>
      </c>
      <c r="O59" s="15">
        <v>2</v>
      </c>
      <c r="P59" s="18">
        <f>SUM(O53:O59)*1000</f>
        <v>2951000</v>
      </c>
      <c r="Q59" s="19">
        <f t="shared" si="2"/>
        <v>38.499673842139593</v>
      </c>
      <c r="R59" s="19">
        <f t="shared" si="3"/>
        <v>23099.804305283757</v>
      </c>
      <c r="S59" s="18">
        <v>38.5</v>
      </c>
      <c r="U59" s="28" t="s">
        <v>62</v>
      </c>
    </row>
    <row r="60" spans="1:24" hidden="1" x14ac:dyDescent="0.25">
      <c r="A60" s="10" t="s">
        <v>137</v>
      </c>
      <c r="B60" s="11" t="s">
        <v>138</v>
      </c>
      <c r="C60" s="11" t="s">
        <v>139</v>
      </c>
      <c r="D60" s="9">
        <v>1940160</v>
      </c>
      <c r="E60" s="9">
        <v>1940160</v>
      </c>
      <c r="F60" s="9">
        <v>23</v>
      </c>
      <c r="H60" s="13" t="s">
        <v>17</v>
      </c>
      <c r="K60" s="25">
        <v>183</v>
      </c>
      <c r="L60" s="25">
        <v>464</v>
      </c>
      <c r="M60" s="25">
        <v>631</v>
      </c>
      <c r="N60" s="25">
        <v>186</v>
      </c>
      <c r="O60" s="25">
        <v>1464</v>
      </c>
      <c r="P60" s="30">
        <v>1464000</v>
      </c>
      <c r="Q60" s="19">
        <f t="shared" si="2"/>
        <v>19.099804305283758</v>
      </c>
      <c r="R60" s="19">
        <f t="shared" si="3"/>
        <v>11459.882583170254</v>
      </c>
      <c r="S60" s="30">
        <v>19.100000000000001</v>
      </c>
      <c r="T60" s="27">
        <v>18.559999999999999</v>
      </c>
      <c r="U60" s="28" t="s">
        <v>58</v>
      </c>
    </row>
    <row r="61" spans="1:24" hidden="1" x14ac:dyDescent="0.25">
      <c r="A61" s="10" t="s">
        <v>140</v>
      </c>
      <c r="B61" s="11" t="s">
        <v>141</v>
      </c>
      <c r="C61" s="11" t="s">
        <v>142</v>
      </c>
      <c r="D61" s="9">
        <v>1940301</v>
      </c>
      <c r="H61" s="13" t="s">
        <v>17</v>
      </c>
      <c r="K61" s="25">
        <v>153</v>
      </c>
      <c r="L61" s="25">
        <v>292</v>
      </c>
      <c r="M61" s="25">
        <v>71</v>
      </c>
      <c r="N61" s="25">
        <v>0</v>
      </c>
      <c r="O61" s="25">
        <v>516</v>
      </c>
      <c r="Q61" s="19"/>
      <c r="R61" s="19"/>
    </row>
    <row r="62" spans="1:24" s="23" customFormat="1" hidden="1" x14ac:dyDescent="0.25">
      <c r="A62" s="10" t="s">
        <v>143</v>
      </c>
      <c r="B62" s="22" t="s">
        <v>141</v>
      </c>
      <c r="C62" s="22" t="s">
        <v>144</v>
      </c>
      <c r="D62" s="23">
        <v>1940301</v>
      </c>
      <c r="G62" s="24" t="s">
        <v>33</v>
      </c>
      <c r="H62" s="24" t="s">
        <v>17</v>
      </c>
      <c r="K62" s="23">
        <v>167</v>
      </c>
      <c r="L62" s="23">
        <v>305</v>
      </c>
      <c r="M62" s="23">
        <v>81</v>
      </c>
      <c r="N62" s="23">
        <v>12</v>
      </c>
      <c r="O62" s="23">
        <v>565</v>
      </c>
      <c r="P62" s="6"/>
      <c r="Q62" s="19"/>
      <c r="R62" s="19"/>
      <c r="S62" s="30"/>
      <c r="T62" s="7"/>
      <c r="U62" s="9"/>
      <c r="V62" s="9"/>
      <c r="W62" s="9"/>
      <c r="X62" s="9"/>
    </row>
    <row r="63" spans="1:24" s="23" customFormat="1" hidden="1" x14ac:dyDescent="0.25">
      <c r="A63" s="10"/>
      <c r="B63" s="9" t="s">
        <v>145</v>
      </c>
      <c r="C63" s="11" t="s">
        <v>142</v>
      </c>
      <c r="D63" s="9">
        <v>1940301</v>
      </c>
      <c r="E63" s="9"/>
      <c r="F63" s="9">
        <v>24</v>
      </c>
      <c r="G63" s="13"/>
      <c r="H63" s="24" t="s">
        <v>17</v>
      </c>
      <c r="I63" s="9"/>
      <c r="J63" s="9"/>
      <c r="K63" s="25">
        <v>13</v>
      </c>
      <c r="L63" s="25">
        <v>15</v>
      </c>
      <c r="M63" s="25">
        <v>15</v>
      </c>
      <c r="N63" s="25">
        <v>12</v>
      </c>
      <c r="O63" s="25">
        <v>55</v>
      </c>
      <c r="P63" s="6">
        <f>SUM(O61+O63)*1000</f>
        <v>571000</v>
      </c>
      <c r="Q63" s="19">
        <f t="shared" si="2"/>
        <v>7.4494455316373127</v>
      </c>
      <c r="R63" s="19">
        <f t="shared" si="3"/>
        <v>4469.6673189823878</v>
      </c>
      <c r="S63" s="30">
        <v>7.45</v>
      </c>
      <c r="T63" s="7">
        <v>10.06</v>
      </c>
      <c r="U63" s="28" t="s">
        <v>22</v>
      </c>
      <c r="V63" s="9"/>
      <c r="W63" s="9"/>
      <c r="X63" s="9"/>
    </row>
    <row r="64" spans="1:24" hidden="1" x14ac:dyDescent="0.25">
      <c r="A64" s="31"/>
      <c r="B64" s="11" t="s">
        <v>146</v>
      </c>
      <c r="C64" s="11" t="s">
        <v>147</v>
      </c>
      <c r="D64" s="9">
        <v>2020022</v>
      </c>
      <c r="E64" s="14">
        <v>2020022</v>
      </c>
      <c r="F64" s="9">
        <v>25</v>
      </c>
      <c r="H64" s="13" t="s">
        <v>17</v>
      </c>
      <c r="K64" s="25">
        <v>9</v>
      </c>
      <c r="L64" s="25">
        <v>7</v>
      </c>
      <c r="M64" s="25">
        <v>6</v>
      </c>
      <c r="N64" s="25">
        <v>6</v>
      </c>
      <c r="O64" s="25">
        <v>28</v>
      </c>
      <c r="P64" s="6">
        <v>76650</v>
      </c>
      <c r="Q64" s="19">
        <f t="shared" si="2"/>
        <v>1</v>
      </c>
      <c r="R64" s="19">
        <f t="shared" si="3"/>
        <v>600</v>
      </c>
      <c r="S64" s="6">
        <v>1</v>
      </c>
      <c r="T64" s="7">
        <v>5.34</v>
      </c>
      <c r="U64" s="28" t="s">
        <v>22</v>
      </c>
      <c r="V64" s="9"/>
      <c r="W64" s="9"/>
      <c r="X64" s="9"/>
    </row>
    <row r="65" spans="1:24" hidden="1" x14ac:dyDescent="0.25">
      <c r="A65" s="10" t="s">
        <v>148</v>
      </c>
      <c r="B65" s="11" t="s">
        <v>149</v>
      </c>
      <c r="C65" s="11" t="s">
        <v>150</v>
      </c>
      <c r="D65" s="15">
        <v>2020027</v>
      </c>
      <c r="H65" s="13" t="s">
        <v>17</v>
      </c>
      <c r="K65" s="25">
        <v>4</v>
      </c>
      <c r="L65" s="25">
        <v>36</v>
      </c>
      <c r="M65" s="25">
        <v>1</v>
      </c>
      <c r="N65" s="25">
        <v>0</v>
      </c>
      <c r="O65" s="25">
        <v>41</v>
      </c>
      <c r="P65" s="6"/>
      <c r="Q65" s="19"/>
      <c r="R65" s="19"/>
      <c r="S65" s="6"/>
      <c r="T65" s="7"/>
      <c r="U65" s="9"/>
      <c r="V65" s="9"/>
      <c r="W65" s="9"/>
      <c r="X65" s="9"/>
    </row>
    <row r="66" spans="1:24" s="23" customFormat="1" hidden="1" x14ac:dyDescent="0.25">
      <c r="A66" s="10" t="s">
        <v>151</v>
      </c>
      <c r="B66" s="22" t="s">
        <v>149</v>
      </c>
      <c r="C66" s="22" t="s">
        <v>152</v>
      </c>
      <c r="D66" s="15">
        <v>2020027</v>
      </c>
      <c r="G66" s="24" t="s">
        <v>33</v>
      </c>
      <c r="H66" s="24" t="s">
        <v>17</v>
      </c>
      <c r="K66" s="23">
        <v>7</v>
      </c>
      <c r="L66" s="23">
        <v>39</v>
      </c>
      <c r="M66" s="23">
        <v>5</v>
      </c>
      <c r="N66" s="23">
        <v>4</v>
      </c>
      <c r="O66" s="23">
        <v>55</v>
      </c>
      <c r="P66" s="6"/>
      <c r="Q66" s="19"/>
      <c r="R66" s="19"/>
      <c r="S66" s="6"/>
      <c r="T66" s="7"/>
      <c r="U66" s="9"/>
      <c r="V66" s="9"/>
      <c r="W66" s="9"/>
      <c r="X66" s="9"/>
    </row>
    <row r="67" spans="1:24" hidden="1" x14ac:dyDescent="0.25">
      <c r="A67" s="10" t="s">
        <v>153</v>
      </c>
      <c r="B67" s="11" t="s">
        <v>154</v>
      </c>
      <c r="C67" s="11" t="s">
        <v>155</v>
      </c>
      <c r="D67" s="15">
        <v>2020027</v>
      </c>
      <c r="H67" s="13" t="s">
        <v>17</v>
      </c>
      <c r="K67" s="25">
        <v>7</v>
      </c>
      <c r="L67" s="25">
        <v>53</v>
      </c>
      <c r="M67" s="25">
        <v>50</v>
      </c>
      <c r="N67" s="25">
        <v>20</v>
      </c>
      <c r="O67" s="25">
        <v>130</v>
      </c>
      <c r="P67" s="6"/>
      <c r="Q67" s="19"/>
      <c r="R67" s="19"/>
      <c r="S67" s="6"/>
      <c r="T67" s="7"/>
      <c r="U67" s="9"/>
      <c r="V67" s="9"/>
      <c r="W67" s="9"/>
      <c r="X67" s="9"/>
    </row>
    <row r="68" spans="1:24" hidden="1" x14ac:dyDescent="0.25">
      <c r="A68" s="10" t="s">
        <v>156</v>
      </c>
      <c r="B68" s="11" t="s">
        <v>154</v>
      </c>
      <c r="C68" s="11" t="s">
        <v>157</v>
      </c>
      <c r="D68" s="15">
        <v>2020027</v>
      </c>
      <c r="H68" s="13" t="s">
        <v>17</v>
      </c>
      <c r="K68" s="25">
        <v>4</v>
      </c>
      <c r="L68" s="25">
        <v>2</v>
      </c>
      <c r="M68" s="25">
        <v>11</v>
      </c>
      <c r="N68" s="25">
        <v>28</v>
      </c>
      <c r="O68" s="25">
        <v>45</v>
      </c>
      <c r="P68" s="6"/>
      <c r="Q68" s="19"/>
      <c r="R68" s="19"/>
      <c r="S68" s="6"/>
      <c r="T68" s="7"/>
      <c r="U68" s="9"/>
      <c r="V68" s="9"/>
      <c r="W68" s="9"/>
      <c r="X68" s="9"/>
    </row>
    <row r="69" spans="1:24" s="23" customFormat="1" hidden="1" x14ac:dyDescent="0.25">
      <c r="A69" s="10" t="s">
        <v>158</v>
      </c>
      <c r="B69" s="22" t="s">
        <v>154</v>
      </c>
      <c r="C69" s="22" t="s">
        <v>159</v>
      </c>
      <c r="D69" s="15">
        <v>2020027</v>
      </c>
      <c r="E69" s="15">
        <v>2020027</v>
      </c>
      <c r="F69" s="15">
        <v>26</v>
      </c>
      <c r="G69" s="16" t="s">
        <v>33</v>
      </c>
      <c r="H69" s="16" t="s">
        <v>17</v>
      </c>
      <c r="I69" s="15"/>
      <c r="J69" s="15"/>
      <c r="K69" s="15">
        <v>37</v>
      </c>
      <c r="L69" s="15">
        <v>32</v>
      </c>
      <c r="M69" s="15">
        <v>12</v>
      </c>
      <c r="N69" s="15">
        <v>0</v>
      </c>
      <c r="O69" s="15">
        <v>81</v>
      </c>
      <c r="P69" s="18">
        <f>SUM(O68+O67+O65)*1000</f>
        <v>216000</v>
      </c>
      <c r="Q69" s="19">
        <f t="shared" si="2"/>
        <v>2.8180039138943247</v>
      </c>
      <c r="R69" s="19">
        <f t="shared" si="3"/>
        <v>1690.8023483365948</v>
      </c>
      <c r="S69" s="6">
        <v>2.82</v>
      </c>
      <c r="T69" s="7">
        <v>2.1</v>
      </c>
      <c r="U69" s="28" t="s">
        <v>58</v>
      </c>
      <c r="V69" s="9"/>
      <c r="W69" s="9"/>
      <c r="X69" s="9"/>
    </row>
    <row r="70" spans="1:24" hidden="1" x14ac:dyDescent="0.25">
      <c r="A70" s="10" t="s">
        <v>160</v>
      </c>
      <c r="B70" s="11" t="s">
        <v>161</v>
      </c>
      <c r="C70" s="11" t="s">
        <v>162</v>
      </c>
      <c r="D70" s="9">
        <v>2020034</v>
      </c>
      <c r="E70" s="9">
        <v>2020034</v>
      </c>
      <c r="F70" s="9">
        <v>26</v>
      </c>
      <c r="H70" s="13" t="s">
        <v>17</v>
      </c>
      <c r="K70" s="25">
        <v>99</v>
      </c>
      <c r="L70" s="25">
        <v>118</v>
      </c>
      <c r="M70" s="25">
        <v>100</v>
      </c>
      <c r="N70" s="25">
        <v>85</v>
      </c>
      <c r="O70" s="25">
        <v>402</v>
      </c>
      <c r="P70" s="30">
        <v>402000</v>
      </c>
      <c r="Q70" s="19">
        <f t="shared" si="2"/>
        <v>5.244618395303327</v>
      </c>
      <c r="R70" s="19">
        <f t="shared" si="3"/>
        <v>3146.7710371819962</v>
      </c>
      <c r="S70" s="30">
        <v>5.24</v>
      </c>
      <c r="T70" s="27">
        <v>3.52</v>
      </c>
      <c r="U70" s="28" t="s">
        <v>58</v>
      </c>
    </row>
    <row r="71" spans="1:24" hidden="1" x14ac:dyDescent="0.25">
      <c r="A71" s="10" t="s">
        <v>163</v>
      </c>
      <c r="B71" s="11" t="s">
        <v>164</v>
      </c>
      <c r="C71" s="11" t="s">
        <v>165</v>
      </c>
      <c r="D71" s="9">
        <v>2020040</v>
      </c>
      <c r="E71" s="9">
        <v>2020040</v>
      </c>
      <c r="F71" s="9">
        <v>27</v>
      </c>
      <c r="H71" s="13" t="s">
        <v>17</v>
      </c>
      <c r="K71" s="25">
        <v>75</v>
      </c>
      <c r="L71" s="25">
        <v>110</v>
      </c>
      <c r="M71" s="25">
        <v>96</v>
      </c>
      <c r="N71" s="25">
        <v>82</v>
      </c>
      <c r="O71" s="25">
        <v>363</v>
      </c>
      <c r="P71" s="30">
        <v>363000</v>
      </c>
      <c r="Q71" s="19">
        <f t="shared" si="2"/>
        <v>4.7358121330724074</v>
      </c>
      <c r="R71" s="19">
        <f t="shared" si="3"/>
        <v>2841.4872798434444</v>
      </c>
      <c r="S71" s="30">
        <v>4.74</v>
      </c>
      <c r="T71" s="27">
        <v>4.53</v>
      </c>
      <c r="U71" s="28" t="s">
        <v>22</v>
      </c>
    </row>
    <row r="72" spans="1:24" hidden="1" x14ac:dyDescent="0.25">
      <c r="A72" s="10" t="s">
        <v>166</v>
      </c>
      <c r="B72" s="11" t="s">
        <v>167</v>
      </c>
      <c r="C72" s="11" t="s">
        <v>168</v>
      </c>
      <c r="D72" s="9">
        <v>2020044</v>
      </c>
      <c r="E72" s="9">
        <v>2020044</v>
      </c>
      <c r="F72" s="9">
        <v>28</v>
      </c>
      <c r="H72" s="13" t="s">
        <v>17</v>
      </c>
      <c r="K72" s="25">
        <v>149</v>
      </c>
      <c r="L72" s="25">
        <v>211</v>
      </c>
      <c r="M72" s="25">
        <v>219</v>
      </c>
      <c r="N72" s="25">
        <v>127</v>
      </c>
      <c r="O72" s="25">
        <v>706</v>
      </c>
      <c r="P72" s="30">
        <v>706000</v>
      </c>
      <c r="Q72" s="19">
        <f t="shared" si="2"/>
        <v>9.2106979778212654</v>
      </c>
      <c r="R72" s="19">
        <f t="shared" si="3"/>
        <v>5526.4187866927596</v>
      </c>
      <c r="S72" s="30">
        <v>9.2100000000000009</v>
      </c>
      <c r="T72" s="27">
        <v>7.8</v>
      </c>
      <c r="U72" s="28" t="s">
        <v>58</v>
      </c>
    </row>
    <row r="73" spans="1:24" hidden="1" x14ac:dyDescent="0.25">
      <c r="A73" s="10" t="s">
        <v>169</v>
      </c>
      <c r="B73" s="25" t="s">
        <v>170</v>
      </c>
      <c r="C73" s="11" t="s">
        <v>171</v>
      </c>
      <c r="D73" s="15">
        <v>2030055</v>
      </c>
      <c r="H73" s="13" t="s">
        <v>17</v>
      </c>
      <c r="K73" s="25">
        <v>20</v>
      </c>
      <c r="L73" s="25">
        <v>80</v>
      </c>
      <c r="M73" s="25">
        <v>28</v>
      </c>
      <c r="N73" s="25">
        <v>0</v>
      </c>
      <c r="O73" s="25">
        <v>128</v>
      </c>
      <c r="Q73" s="19"/>
      <c r="R73" s="19"/>
    </row>
    <row r="74" spans="1:24" hidden="1" x14ac:dyDescent="0.25">
      <c r="A74" s="10" t="s">
        <v>172</v>
      </c>
      <c r="B74" s="25" t="s">
        <v>173</v>
      </c>
      <c r="C74" s="11" t="s">
        <v>171</v>
      </c>
      <c r="D74" s="15">
        <v>2030055</v>
      </c>
      <c r="E74" s="15"/>
      <c r="F74" s="15"/>
      <c r="G74" s="16"/>
      <c r="H74" s="16" t="s">
        <v>17</v>
      </c>
      <c r="I74" s="15"/>
      <c r="J74" s="15"/>
      <c r="K74" s="15">
        <v>176</v>
      </c>
      <c r="L74" s="15">
        <v>639</v>
      </c>
      <c r="M74" s="15">
        <v>296</v>
      </c>
      <c r="N74" s="15">
        <v>108</v>
      </c>
      <c r="O74" s="15">
        <v>1219</v>
      </c>
      <c r="P74" s="18">
        <f>SUM(O74-O73)*1000</f>
        <v>1091000</v>
      </c>
      <c r="Q74" s="19">
        <f t="shared" si="2"/>
        <v>14.233529028049576</v>
      </c>
      <c r="R74" s="19">
        <f t="shared" si="3"/>
        <v>8540.1174168297457</v>
      </c>
      <c r="S74" s="30">
        <v>14.23</v>
      </c>
      <c r="T74" s="27">
        <v>19.16</v>
      </c>
      <c r="U74" s="28" t="s">
        <v>22</v>
      </c>
    </row>
    <row r="75" spans="1:24" s="23" customFormat="1" hidden="1" x14ac:dyDescent="0.25">
      <c r="A75" s="10" t="s">
        <v>174</v>
      </c>
      <c r="B75" s="23" t="s">
        <v>175</v>
      </c>
      <c r="C75" s="22" t="s">
        <v>171</v>
      </c>
      <c r="D75" s="15">
        <v>2030055</v>
      </c>
      <c r="E75" s="23">
        <v>2030055</v>
      </c>
      <c r="F75" s="23">
        <v>29</v>
      </c>
      <c r="G75" s="24" t="s">
        <v>33</v>
      </c>
      <c r="H75" s="24" t="s">
        <v>17</v>
      </c>
      <c r="K75" s="23">
        <v>12</v>
      </c>
      <c r="L75" s="23">
        <v>406</v>
      </c>
      <c r="M75" s="23">
        <v>155</v>
      </c>
      <c r="N75" s="23">
        <v>3</v>
      </c>
      <c r="O75" s="23">
        <v>576</v>
      </c>
      <c r="P75" s="38"/>
      <c r="Q75" s="19"/>
      <c r="R75" s="19"/>
      <c r="S75" s="6"/>
      <c r="T75" s="7"/>
      <c r="U75" s="9"/>
      <c r="V75" s="9"/>
      <c r="W75" s="9"/>
    </row>
    <row r="76" spans="1:24" s="9" customFormat="1" hidden="1" x14ac:dyDescent="0.25">
      <c r="A76" s="10"/>
      <c r="B76" s="9" t="s">
        <v>176</v>
      </c>
      <c r="C76" s="9" t="s">
        <v>177</v>
      </c>
      <c r="D76" s="9">
        <v>2030060</v>
      </c>
      <c r="E76" s="9">
        <v>2030060</v>
      </c>
      <c r="F76" s="9">
        <v>29</v>
      </c>
      <c r="G76" s="13"/>
      <c r="H76" s="24" t="s">
        <v>17</v>
      </c>
      <c r="K76" s="9">
        <v>1</v>
      </c>
      <c r="L76" s="9">
        <v>1</v>
      </c>
      <c r="M76" s="9">
        <v>1</v>
      </c>
      <c r="N76" s="9">
        <v>1</v>
      </c>
      <c r="O76" s="9">
        <v>76.650000000000006</v>
      </c>
      <c r="P76" s="6">
        <f>SUM(O76)*1000</f>
        <v>76650</v>
      </c>
      <c r="Q76" s="19">
        <f t="shared" si="2"/>
        <v>1</v>
      </c>
      <c r="R76" s="19">
        <f t="shared" si="3"/>
        <v>600</v>
      </c>
      <c r="S76" s="6">
        <v>1</v>
      </c>
      <c r="T76" s="7">
        <v>1</v>
      </c>
      <c r="U76" s="28" t="s">
        <v>62</v>
      </c>
    </row>
    <row r="77" spans="1:24" hidden="1" x14ac:dyDescent="0.25">
      <c r="A77" s="10" t="s">
        <v>178</v>
      </c>
      <c r="B77" s="11" t="s">
        <v>179</v>
      </c>
      <c r="C77" s="11" t="s">
        <v>180</v>
      </c>
      <c r="D77" s="9">
        <v>2030080</v>
      </c>
      <c r="E77" s="9">
        <v>2030080</v>
      </c>
      <c r="F77" s="9">
        <v>30</v>
      </c>
      <c r="H77" s="13" t="s">
        <v>17</v>
      </c>
      <c r="K77" s="25">
        <v>166</v>
      </c>
      <c r="L77" s="25">
        <v>292</v>
      </c>
      <c r="M77" s="25">
        <v>213</v>
      </c>
      <c r="N77" s="25">
        <v>110</v>
      </c>
      <c r="O77" s="25">
        <v>781</v>
      </c>
      <c r="P77" s="30">
        <v>781000</v>
      </c>
      <c r="Q77" s="19">
        <f t="shared" si="2"/>
        <v>10.189171559034573</v>
      </c>
      <c r="R77" s="19">
        <f t="shared" si="3"/>
        <v>6113.5029354207436</v>
      </c>
      <c r="S77" s="30">
        <v>10.19</v>
      </c>
      <c r="T77" s="27">
        <v>7.98</v>
      </c>
      <c r="U77" s="28" t="s">
        <v>58</v>
      </c>
    </row>
    <row r="78" spans="1:24" hidden="1" x14ac:dyDescent="0.25">
      <c r="A78" s="10" t="s">
        <v>181</v>
      </c>
      <c r="B78" s="11" t="s">
        <v>182</v>
      </c>
      <c r="C78" s="11" t="s">
        <v>183</v>
      </c>
      <c r="D78" s="9">
        <v>2030105</v>
      </c>
      <c r="E78" s="9">
        <v>2030105</v>
      </c>
      <c r="F78" s="9">
        <v>31</v>
      </c>
      <c r="H78" s="13" t="s">
        <v>17</v>
      </c>
      <c r="K78" s="25">
        <v>37</v>
      </c>
      <c r="L78" s="25">
        <v>35</v>
      </c>
      <c r="M78" s="25">
        <v>63</v>
      </c>
      <c r="N78" s="25">
        <v>26</v>
      </c>
      <c r="O78" s="25">
        <v>161</v>
      </c>
      <c r="P78" s="30">
        <v>161000</v>
      </c>
      <c r="Q78" s="19">
        <f t="shared" si="2"/>
        <v>2.1004566210045663</v>
      </c>
      <c r="R78" s="19">
        <f t="shared" si="3"/>
        <v>1260.2739726027398</v>
      </c>
      <c r="S78" s="30">
        <v>2.1</v>
      </c>
      <c r="T78" s="27">
        <v>1.78</v>
      </c>
      <c r="U78" s="28" t="s">
        <v>22</v>
      </c>
    </row>
    <row r="79" spans="1:24" hidden="1" x14ac:dyDescent="0.25">
      <c r="A79" s="10" t="s">
        <v>184</v>
      </c>
      <c r="B79" s="5" t="s">
        <v>185</v>
      </c>
      <c r="C79" s="11" t="s">
        <v>186</v>
      </c>
      <c r="D79" s="15">
        <v>2030120</v>
      </c>
      <c r="H79" s="13" t="s">
        <v>17</v>
      </c>
      <c r="K79" s="25">
        <v>235</v>
      </c>
      <c r="L79" s="25">
        <v>1092</v>
      </c>
      <c r="M79" s="25">
        <v>482</v>
      </c>
      <c r="N79" s="25">
        <v>136</v>
      </c>
      <c r="O79" s="25">
        <v>1945</v>
      </c>
      <c r="Q79" s="19"/>
      <c r="R79" s="19"/>
    </row>
    <row r="80" spans="1:24" hidden="1" x14ac:dyDescent="0.25">
      <c r="A80" s="10" t="s">
        <v>187</v>
      </c>
      <c r="B80" s="5" t="s">
        <v>188</v>
      </c>
      <c r="C80" s="11" t="s">
        <v>189</v>
      </c>
      <c r="D80" s="15">
        <v>2030120</v>
      </c>
      <c r="H80" s="13" t="s">
        <v>17</v>
      </c>
      <c r="K80" s="25">
        <v>0</v>
      </c>
      <c r="L80" s="25">
        <v>392</v>
      </c>
      <c r="M80" s="25">
        <v>201</v>
      </c>
      <c r="N80" s="25">
        <v>0</v>
      </c>
      <c r="O80" s="25">
        <v>593</v>
      </c>
      <c r="Q80" s="19"/>
      <c r="R80" s="19"/>
    </row>
    <row r="81" spans="1:21" hidden="1" x14ac:dyDescent="0.25">
      <c r="A81" s="10" t="s">
        <v>190</v>
      </c>
      <c r="B81" s="5" t="s">
        <v>191</v>
      </c>
      <c r="C81" s="11" t="s">
        <v>192</v>
      </c>
      <c r="D81" s="15">
        <v>2030120</v>
      </c>
      <c r="E81" s="15">
        <v>2030120</v>
      </c>
      <c r="F81" s="15">
        <v>32</v>
      </c>
      <c r="G81" s="16"/>
      <c r="H81" s="16" t="s">
        <v>17</v>
      </c>
      <c r="I81" s="15"/>
      <c r="J81" s="15"/>
      <c r="K81" s="15">
        <v>237</v>
      </c>
      <c r="L81" s="15">
        <v>623</v>
      </c>
      <c r="M81" s="15">
        <v>438</v>
      </c>
      <c r="N81" s="15">
        <v>238</v>
      </c>
      <c r="O81" s="15">
        <v>1536</v>
      </c>
      <c r="P81" s="18">
        <f>SUM(O81-O80+O79)*1000</f>
        <v>2888000</v>
      </c>
      <c r="Q81" s="19">
        <f t="shared" si="2"/>
        <v>37.677756033920417</v>
      </c>
      <c r="R81" s="19">
        <f t="shared" si="3"/>
        <v>22606.653620352252</v>
      </c>
      <c r="S81" s="30">
        <v>37.68</v>
      </c>
      <c r="T81" s="27">
        <v>39.65</v>
      </c>
      <c r="U81" s="28" t="s">
        <v>22</v>
      </c>
    </row>
    <row r="82" spans="1:21" hidden="1" x14ac:dyDescent="0.25">
      <c r="A82" s="10" t="s">
        <v>193</v>
      </c>
      <c r="B82" s="11" t="s">
        <v>194</v>
      </c>
      <c r="C82" s="11" t="s">
        <v>195</v>
      </c>
      <c r="D82" s="9">
        <v>2030135</v>
      </c>
      <c r="E82" s="9">
        <v>2030135</v>
      </c>
      <c r="F82" s="9">
        <v>33</v>
      </c>
      <c r="H82" s="13" t="s">
        <v>17</v>
      </c>
      <c r="K82" s="25">
        <v>16</v>
      </c>
      <c r="L82" s="25">
        <v>4</v>
      </c>
      <c r="M82" s="25">
        <v>16</v>
      </c>
      <c r="N82" s="25">
        <v>10</v>
      </c>
      <c r="O82" s="25">
        <v>76.650000000000006</v>
      </c>
      <c r="P82" s="30">
        <v>76650</v>
      </c>
      <c r="Q82" s="19">
        <f t="shared" si="2"/>
        <v>1</v>
      </c>
      <c r="R82" s="19">
        <f t="shared" si="3"/>
        <v>600</v>
      </c>
      <c r="S82" s="30">
        <v>1</v>
      </c>
    </row>
    <row r="83" spans="1:21" hidden="1" x14ac:dyDescent="0.25">
      <c r="A83" s="10" t="s">
        <v>196</v>
      </c>
      <c r="B83" s="11" t="s">
        <v>197</v>
      </c>
      <c r="C83" s="11" t="s">
        <v>198</v>
      </c>
      <c r="D83" s="15">
        <v>2140001</v>
      </c>
      <c r="H83" s="13" t="s">
        <v>17</v>
      </c>
      <c r="K83" s="25">
        <v>368</v>
      </c>
      <c r="L83" s="25">
        <v>373</v>
      </c>
      <c r="M83" s="25">
        <v>273</v>
      </c>
      <c r="N83" s="25">
        <v>193</v>
      </c>
      <c r="O83" s="25">
        <v>1207</v>
      </c>
      <c r="Q83" s="19"/>
      <c r="R83" s="19"/>
    </row>
    <row r="84" spans="1:21" hidden="1" x14ac:dyDescent="0.25">
      <c r="A84" s="10"/>
      <c r="B84" s="11" t="s">
        <v>199</v>
      </c>
      <c r="C84" s="11" t="s">
        <v>200</v>
      </c>
      <c r="D84" s="15">
        <v>2140001</v>
      </c>
      <c r="H84" s="13" t="s">
        <v>17</v>
      </c>
      <c r="K84" s="25">
        <v>3</v>
      </c>
      <c r="L84" s="25">
        <v>3</v>
      </c>
      <c r="M84" s="25">
        <v>3</v>
      </c>
      <c r="N84" s="25">
        <v>3</v>
      </c>
      <c r="O84" s="25">
        <v>12</v>
      </c>
      <c r="Q84" s="19"/>
      <c r="R84" s="19"/>
    </row>
    <row r="85" spans="1:21" hidden="1" x14ac:dyDescent="0.25">
      <c r="A85" s="10" t="s">
        <v>201</v>
      </c>
      <c r="B85" s="11" t="s">
        <v>202</v>
      </c>
      <c r="C85" s="11" t="s">
        <v>203</v>
      </c>
      <c r="D85" s="15">
        <v>2140001</v>
      </c>
      <c r="H85" s="13" t="s">
        <v>17</v>
      </c>
      <c r="K85" s="25">
        <v>0</v>
      </c>
      <c r="L85" s="25">
        <v>1</v>
      </c>
      <c r="M85" s="25">
        <v>0</v>
      </c>
      <c r="N85" s="25">
        <v>1</v>
      </c>
      <c r="O85" s="25">
        <v>2</v>
      </c>
      <c r="Q85" s="19"/>
      <c r="R85" s="19"/>
    </row>
    <row r="86" spans="1:21" hidden="1" x14ac:dyDescent="0.25">
      <c r="A86" s="10" t="s">
        <v>204</v>
      </c>
      <c r="B86" s="11" t="s">
        <v>205</v>
      </c>
      <c r="C86" s="11" t="s">
        <v>203</v>
      </c>
      <c r="D86" s="15">
        <v>2140001</v>
      </c>
      <c r="H86" s="13" t="s">
        <v>17</v>
      </c>
      <c r="K86" s="25">
        <v>2</v>
      </c>
      <c r="L86" s="25">
        <v>3</v>
      </c>
      <c r="M86" s="25">
        <v>2</v>
      </c>
      <c r="N86" s="25">
        <v>1</v>
      </c>
      <c r="O86" s="25">
        <v>8</v>
      </c>
      <c r="Q86" s="19"/>
      <c r="R86" s="19"/>
    </row>
    <row r="87" spans="1:21" hidden="1" x14ac:dyDescent="0.25">
      <c r="A87" s="10" t="s">
        <v>206</v>
      </c>
      <c r="B87" s="11" t="s">
        <v>207</v>
      </c>
      <c r="C87" s="11" t="s">
        <v>203</v>
      </c>
      <c r="D87" s="15">
        <v>2140001</v>
      </c>
      <c r="H87" s="13" t="s">
        <v>17</v>
      </c>
      <c r="K87" s="25">
        <v>10</v>
      </c>
      <c r="L87" s="25">
        <v>13</v>
      </c>
      <c r="M87" s="25">
        <v>13</v>
      </c>
      <c r="N87" s="25">
        <v>5</v>
      </c>
      <c r="O87" s="25">
        <v>41</v>
      </c>
      <c r="Q87" s="19"/>
      <c r="R87" s="19"/>
    </row>
    <row r="88" spans="1:21" hidden="1" x14ac:dyDescent="0.25">
      <c r="A88" s="10" t="s">
        <v>208</v>
      </c>
      <c r="B88" s="11" t="s">
        <v>209</v>
      </c>
      <c r="C88" s="11" t="s">
        <v>203</v>
      </c>
      <c r="D88" s="15">
        <v>2140001</v>
      </c>
      <c r="H88" s="13" t="s">
        <v>17</v>
      </c>
      <c r="K88" s="25">
        <v>2</v>
      </c>
      <c r="L88" s="25">
        <v>1</v>
      </c>
      <c r="M88" s="25">
        <v>2</v>
      </c>
      <c r="N88" s="25">
        <v>2</v>
      </c>
      <c r="O88" s="25">
        <v>7</v>
      </c>
      <c r="Q88" s="19"/>
      <c r="R88" s="19"/>
    </row>
    <row r="89" spans="1:21" hidden="1" x14ac:dyDescent="0.25">
      <c r="A89" s="10" t="s">
        <v>210</v>
      </c>
      <c r="B89" s="11" t="s">
        <v>211</v>
      </c>
      <c r="C89" s="11" t="s">
        <v>203</v>
      </c>
      <c r="D89" s="15">
        <v>2140001</v>
      </c>
      <c r="E89" s="15">
        <v>2140001</v>
      </c>
      <c r="F89" s="15">
        <v>34</v>
      </c>
      <c r="G89" s="16"/>
      <c r="H89" s="16" t="s">
        <v>17</v>
      </c>
      <c r="I89" s="15"/>
      <c r="J89" s="15"/>
      <c r="K89" s="15">
        <v>0</v>
      </c>
      <c r="L89" s="15">
        <v>0</v>
      </c>
      <c r="M89" s="15">
        <v>0</v>
      </c>
      <c r="N89" s="15">
        <v>1</v>
      </c>
      <c r="O89" s="15">
        <v>1</v>
      </c>
      <c r="P89" s="18">
        <f>SUM(O83:O89)*1000</f>
        <v>1278000</v>
      </c>
      <c r="Q89" s="19">
        <f t="shared" ref="Q89:Q111" si="5">SUM(P89/76650)</f>
        <v>16.673189823874754</v>
      </c>
      <c r="R89" s="19">
        <f t="shared" ref="R89:R111" si="6">SUM(Q89*600)</f>
        <v>10003.913894324853</v>
      </c>
      <c r="S89" s="30">
        <v>16.670000000000002</v>
      </c>
      <c r="T89" s="27">
        <v>13.22</v>
      </c>
      <c r="U89" s="28" t="s">
        <v>58</v>
      </c>
    </row>
    <row r="90" spans="1:21" hidden="1" x14ac:dyDescent="0.25">
      <c r="A90" s="10" t="s">
        <v>212</v>
      </c>
      <c r="B90" s="11" t="s">
        <v>213</v>
      </c>
      <c r="C90" s="11" t="s">
        <v>203</v>
      </c>
      <c r="D90" s="15">
        <v>2140033</v>
      </c>
      <c r="H90" s="13" t="s">
        <v>17</v>
      </c>
      <c r="K90" s="25">
        <v>2</v>
      </c>
      <c r="L90" s="25">
        <v>1</v>
      </c>
      <c r="M90" s="25">
        <v>0</v>
      </c>
      <c r="N90" s="25">
        <v>1</v>
      </c>
      <c r="O90" s="25">
        <v>4</v>
      </c>
      <c r="Q90" s="19"/>
      <c r="R90" s="19"/>
    </row>
    <row r="91" spans="1:21" hidden="1" x14ac:dyDescent="0.25">
      <c r="A91" s="10" t="s">
        <v>214</v>
      </c>
      <c r="B91" s="11" t="s">
        <v>215</v>
      </c>
      <c r="C91" s="11" t="s">
        <v>203</v>
      </c>
      <c r="D91" s="15">
        <v>2140033</v>
      </c>
      <c r="H91" s="13" t="s">
        <v>17</v>
      </c>
      <c r="K91" s="25">
        <v>22</v>
      </c>
      <c r="L91" s="25">
        <v>13</v>
      </c>
      <c r="M91" s="25">
        <v>5</v>
      </c>
      <c r="N91" s="25">
        <v>5</v>
      </c>
      <c r="O91" s="25">
        <v>45</v>
      </c>
      <c r="Q91" s="19"/>
      <c r="R91" s="19"/>
    </row>
    <row r="92" spans="1:21" hidden="1" x14ac:dyDescent="0.25">
      <c r="A92" s="10" t="s">
        <v>216</v>
      </c>
      <c r="B92" s="11" t="s">
        <v>217</v>
      </c>
      <c r="C92" s="11" t="s">
        <v>203</v>
      </c>
      <c r="D92" s="15">
        <v>2140033</v>
      </c>
      <c r="H92" s="13" t="s">
        <v>17</v>
      </c>
      <c r="K92" s="25">
        <v>11</v>
      </c>
      <c r="L92" s="25">
        <v>15</v>
      </c>
      <c r="M92" s="25">
        <v>12</v>
      </c>
      <c r="N92" s="25">
        <v>12</v>
      </c>
      <c r="O92" s="25">
        <v>50</v>
      </c>
      <c r="Q92" s="19"/>
      <c r="R92" s="19"/>
    </row>
    <row r="93" spans="1:21" hidden="1" x14ac:dyDescent="0.25">
      <c r="A93" s="10" t="s">
        <v>218</v>
      </c>
      <c r="B93" s="11" t="s">
        <v>219</v>
      </c>
      <c r="C93" s="11" t="s">
        <v>203</v>
      </c>
      <c r="D93" s="15">
        <v>2140033</v>
      </c>
      <c r="H93" s="13" t="s">
        <v>17</v>
      </c>
      <c r="K93" s="25">
        <v>85</v>
      </c>
      <c r="L93" s="25">
        <v>36</v>
      </c>
      <c r="M93" s="25">
        <v>28</v>
      </c>
      <c r="N93" s="25">
        <v>26</v>
      </c>
      <c r="O93" s="25">
        <v>175</v>
      </c>
      <c r="Q93" s="19"/>
      <c r="R93" s="19"/>
    </row>
    <row r="94" spans="1:21" hidden="1" x14ac:dyDescent="0.25">
      <c r="A94" s="10" t="s">
        <v>220</v>
      </c>
      <c r="B94" s="11" t="s">
        <v>221</v>
      </c>
      <c r="C94" s="11" t="s">
        <v>203</v>
      </c>
      <c r="D94" s="15">
        <v>2140033</v>
      </c>
      <c r="H94" s="13" t="s">
        <v>17</v>
      </c>
      <c r="K94" s="25">
        <v>21</v>
      </c>
      <c r="L94" s="25">
        <v>33</v>
      </c>
      <c r="M94" s="25">
        <v>20</v>
      </c>
      <c r="N94" s="25">
        <v>11</v>
      </c>
      <c r="O94" s="25">
        <v>85</v>
      </c>
      <c r="Q94" s="19"/>
      <c r="R94" s="19"/>
    </row>
    <row r="95" spans="1:21" hidden="1" x14ac:dyDescent="0.25">
      <c r="A95" s="10" t="s">
        <v>222</v>
      </c>
      <c r="B95" s="11" t="s">
        <v>223</v>
      </c>
      <c r="C95" s="11" t="s">
        <v>203</v>
      </c>
      <c r="D95" s="15">
        <v>2140033</v>
      </c>
      <c r="H95" s="13" t="s">
        <v>17</v>
      </c>
      <c r="K95" s="25">
        <v>483</v>
      </c>
      <c r="L95" s="25">
        <v>0</v>
      </c>
      <c r="M95" s="25">
        <v>87</v>
      </c>
      <c r="N95" s="25">
        <v>86</v>
      </c>
      <c r="O95" s="25">
        <v>656</v>
      </c>
      <c r="Q95" s="19"/>
      <c r="R95" s="19"/>
    </row>
    <row r="96" spans="1:21" hidden="1" x14ac:dyDescent="0.25">
      <c r="A96" s="10" t="s">
        <v>224</v>
      </c>
      <c r="B96" s="11" t="s">
        <v>225</v>
      </c>
      <c r="C96" s="11" t="s">
        <v>203</v>
      </c>
      <c r="D96" s="15">
        <v>2140033</v>
      </c>
      <c r="H96" s="13" t="s">
        <v>17</v>
      </c>
      <c r="K96" s="25">
        <v>22</v>
      </c>
      <c r="L96" s="25">
        <v>32</v>
      </c>
      <c r="M96" s="25">
        <v>35</v>
      </c>
      <c r="N96" s="25">
        <v>41</v>
      </c>
      <c r="O96" s="25">
        <v>130</v>
      </c>
      <c r="Q96" s="19"/>
      <c r="R96" s="19"/>
    </row>
    <row r="97" spans="1:21" hidden="1" x14ac:dyDescent="0.25">
      <c r="A97" s="10" t="s">
        <v>226</v>
      </c>
      <c r="B97" s="11" t="s">
        <v>227</v>
      </c>
      <c r="C97" s="11" t="s">
        <v>203</v>
      </c>
      <c r="D97" s="15">
        <v>2140033</v>
      </c>
      <c r="E97" s="15">
        <v>2140033</v>
      </c>
      <c r="F97" s="15">
        <v>35</v>
      </c>
      <c r="G97" s="16"/>
      <c r="H97" s="16" t="s">
        <v>17</v>
      </c>
      <c r="I97" s="15"/>
      <c r="J97" s="15"/>
      <c r="K97" s="15">
        <v>6</v>
      </c>
      <c r="L97" s="15">
        <v>5</v>
      </c>
      <c r="M97" s="15">
        <v>7</v>
      </c>
      <c r="N97" s="15">
        <v>6</v>
      </c>
      <c r="O97" s="15">
        <v>24</v>
      </c>
      <c r="P97" s="18">
        <f>SUM(O90:O97)*1000</f>
        <v>1169000</v>
      </c>
      <c r="Q97" s="19">
        <f t="shared" si="5"/>
        <v>15.251141552511415</v>
      </c>
      <c r="R97" s="19">
        <f t="shared" si="6"/>
        <v>9150.6849315068484</v>
      </c>
      <c r="S97" s="30">
        <v>15.25</v>
      </c>
      <c r="T97" s="27">
        <v>9.23</v>
      </c>
      <c r="U97" s="28" t="s">
        <v>58</v>
      </c>
    </row>
    <row r="98" spans="1:21" s="9" customFormat="1" hidden="1" x14ac:dyDescent="0.25">
      <c r="A98" s="10" t="s">
        <v>228</v>
      </c>
      <c r="B98" s="9" t="s">
        <v>229</v>
      </c>
      <c r="C98" s="11" t="s">
        <v>230</v>
      </c>
      <c r="D98" s="15">
        <v>2140051</v>
      </c>
      <c r="G98" s="13"/>
      <c r="H98" s="13" t="s">
        <v>17</v>
      </c>
      <c r="K98" s="9">
        <v>220</v>
      </c>
      <c r="L98" s="9">
        <v>365</v>
      </c>
      <c r="M98" s="9">
        <v>170</v>
      </c>
      <c r="N98" s="9">
        <v>162</v>
      </c>
      <c r="O98" s="9">
        <v>917</v>
      </c>
      <c r="P98" s="6"/>
      <c r="Q98" s="19"/>
      <c r="R98" s="19"/>
      <c r="S98" s="6"/>
      <c r="T98" s="7"/>
    </row>
    <row r="99" spans="1:21" hidden="1" x14ac:dyDescent="0.25">
      <c r="A99" s="10" t="s">
        <v>231</v>
      </c>
      <c r="B99" s="25" t="s">
        <v>232</v>
      </c>
      <c r="C99" s="11" t="s">
        <v>230</v>
      </c>
      <c r="D99" s="15">
        <v>2140051</v>
      </c>
      <c r="E99" s="15"/>
      <c r="F99" s="15"/>
      <c r="G99" s="16"/>
      <c r="H99" s="16" t="s">
        <v>17</v>
      </c>
      <c r="I99" s="15"/>
      <c r="J99" s="15"/>
      <c r="K99" s="15">
        <v>1</v>
      </c>
      <c r="L99" s="15">
        <v>212</v>
      </c>
      <c r="M99" s="15">
        <v>41</v>
      </c>
      <c r="N99" s="15">
        <v>0</v>
      </c>
      <c r="O99" s="15">
        <v>254</v>
      </c>
      <c r="P99" s="18">
        <f>SUM(O98-O99+O100)*1000</f>
        <v>667000</v>
      </c>
      <c r="Q99" s="19">
        <f t="shared" si="5"/>
        <v>8.7018917155903459</v>
      </c>
      <c r="R99" s="19">
        <f t="shared" si="6"/>
        <v>5221.1350293542073</v>
      </c>
      <c r="S99" s="30">
        <v>8.6999999999999993</v>
      </c>
      <c r="T99" s="27">
        <v>15.18</v>
      </c>
      <c r="U99" s="28" t="s">
        <v>22</v>
      </c>
    </row>
    <row r="100" spans="1:21" hidden="1" x14ac:dyDescent="0.25">
      <c r="A100" s="10" t="s">
        <v>233</v>
      </c>
      <c r="B100" s="11" t="s">
        <v>234</v>
      </c>
      <c r="C100" s="11" t="s">
        <v>230</v>
      </c>
      <c r="D100" s="15">
        <v>2140051</v>
      </c>
      <c r="E100" s="9">
        <v>2140051</v>
      </c>
      <c r="F100" s="9">
        <v>36</v>
      </c>
      <c r="H100" s="13" t="s">
        <v>17</v>
      </c>
      <c r="K100" s="25">
        <v>1</v>
      </c>
      <c r="L100" s="25">
        <v>2</v>
      </c>
      <c r="M100" s="25">
        <v>1</v>
      </c>
      <c r="N100" s="25">
        <v>0</v>
      </c>
      <c r="O100" s="25">
        <v>4</v>
      </c>
      <c r="Q100" s="19"/>
      <c r="R100" s="19"/>
    </row>
    <row r="101" spans="1:21" hidden="1" x14ac:dyDescent="0.25">
      <c r="A101" s="10" t="s">
        <v>235</v>
      </c>
      <c r="B101" s="11" t="s">
        <v>236</v>
      </c>
      <c r="C101" s="11" t="s">
        <v>237</v>
      </c>
      <c r="D101" s="9">
        <v>2140085</v>
      </c>
      <c r="E101" s="9">
        <v>2140085</v>
      </c>
      <c r="F101" s="9">
        <v>37</v>
      </c>
      <c r="H101" s="13" t="s">
        <v>17</v>
      </c>
      <c r="K101" s="25">
        <v>75</v>
      </c>
      <c r="L101" s="25">
        <v>98</v>
      </c>
      <c r="M101" s="25">
        <v>84</v>
      </c>
      <c r="N101" s="25">
        <v>65</v>
      </c>
      <c r="O101" s="25">
        <v>322</v>
      </c>
      <c r="P101" s="30">
        <v>322000</v>
      </c>
      <c r="Q101" s="19">
        <f t="shared" si="5"/>
        <v>4.2009132420091326</v>
      </c>
      <c r="R101" s="19">
        <f t="shared" si="6"/>
        <v>2520.5479452054797</v>
      </c>
      <c r="S101" s="30">
        <v>4.2</v>
      </c>
      <c r="T101" s="27">
        <v>3.44</v>
      </c>
      <c r="U101" s="28" t="s">
        <v>58</v>
      </c>
    </row>
    <row r="102" spans="1:21" hidden="1" x14ac:dyDescent="0.25">
      <c r="A102" s="10" t="s">
        <v>238</v>
      </c>
      <c r="B102" s="11" t="s">
        <v>239</v>
      </c>
      <c r="C102" s="11" t="s">
        <v>240</v>
      </c>
      <c r="D102" s="9">
        <v>2140010</v>
      </c>
      <c r="E102" s="9">
        <v>2140010</v>
      </c>
      <c r="F102" s="9">
        <v>40</v>
      </c>
      <c r="H102" s="13" t="s">
        <v>17</v>
      </c>
      <c r="K102" s="25">
        <v>7</v>
      </c>
      <c r="L102" s="25">
        <v>9</v>
      </c>
      <c r="M102" s="25">
        <v>2</v>
      </c>
      <c r="N102" s="25">
        <v>10</v>
      </c>
      <c r="O102" s="25">
        <v>76.650000000000006</v>
      </c>
      <c r="P102" s="30">
        <f>SUM(O102)*1000</f>
        <v>76650</v>
      </c>
      <c r="Q102" s="19">
        <f t="shared" si="5"/>
        <v>1</v>
      </c>
      <c r="R102" s="19">
        <f t="shared" si="6"/>
        <v>600</v>
      </c>
      <c r="S102" s="30">
        <v>1</v>
      </c>
      <c r="T102" s="27">
        <v>1</v>
      </c>
      <c r="U102" s="28" t="s">
        <v>62</v>
      </c>
    </row>
    <row r="103" spans="1:21" hidden="1" x14ac:dyDescent="0.25">
      <c r="A103" s="10" t="s">
        <v>241</v>
      </c>
      <c r="B103" s="11" t="s">
        <v>242</v>
      </c>
      <c r="C103" s="11" t="s">
        <v>243</v>
      </c>
      <c r="D103" s="9">
        <v>2140020</v>
      </c>
      <c r="E103" s="9">
        <v>2140020</v>
      </c>
      <c r="F103" s="9">
        <v>41</v>
      </c>
      <c r="H103" s="13" t="s">
        <v>17</v>
      </c>
      <c r="K103" s="25">
        <v>10</v>
      </c>
      <c r="L103" s="25">
        <v>26</v>
      </c>
      <c r="M103" s="25">
        <v>18</v>
      </c>
      <c r="N103" s="25">
        <v>4</v>
      </c>
      <c r="O103" s="25">
        <v>76.650000000000006</v>
      </c>
      <c r="P103" s="30">
        <f t="shared" ref="P103:P105" si="7">SUM(O103)*1000</f>
        <v>76650</v>
      </c>
      <c r="Q103" s="19">
        <f t="shared" si="5"/>
        <v>1</v>
      </c>
      <c r="R103" s="19">
        <f t="shared" si="6"/>
        <v>600</v>
      </c>
      <c r="S103" s="30">
        <v>1</v>
      </c>
      <c r="T103" s="27">
        <v>1</v>
      </c>
      <c r="U103" s="28" t="s">
        <v>62</v>
      </c>
    </row>
    <row r="104" spans="1:21" hidden="1" x14ac:dyDescent="0.25">
      <c r="A104" s="10" t="s">
        <v>244</v>
      </c>
      <c r="B104" s="11" t="s">
        <v>245</v>
      </c>
      <c r="C104" s="11" t="s">
        <v>246</v>
      </c>
      <c r="D104" s="9">
        <v>2140022</v>
      </c>
      <c r="E104" s="9">
        <v>2140022</v>
      </c>
      <c r="F104" s="9">
        <v>42</v>
      </c>
      <c r="H104" s="13" t="s">
        <v>17</v>
      </c>
      <c r="K104" s="25">
        <v>8</v>
      </c>
      <c r="L104" s="25">
        <v>26</v>
      </c>
      <c r="M104" s="25">
        <v>2</v>
      </c>
      <c r="N104" s="25">
        <v>2</v>
      </c>
      <c r="O104" s="25">
        <v>76.650000000000006</v>
      </c>
      <c r="P104" s="30">
        <f t="shared" si="7"/>
        <v>76650</v>
      </c>
      <c r="Q104" s="19">
        <f t="shared" si="5"/>
        <v>1</v>
      </c>
      <c r="R104" s="19">
        <f t="shared" si="6"/>
        <v>600</v>
      </c>
      <c r="S104" s="30">
        <v>1</v>
      </c>
      <c r="T104" s="27">
        <v>1</v>
      </c>
      <c r="U104" s="28" t="s">
        <v>62</v>
      </c>
    </row>
    <row r="105" spans="1:21" hidden="1" x14ac:dyDescent="0.25">
      <c r="A105" s="10" t="s">
        <v>247</v>
      </c>
      <c r="B105" s="11" t="s">
        <v>248</v>
      </c>
      <c r="C105" s="11" t="s">
        <v>249</v>
      </c>
      <c r="D105" s="9">
        <v>2140024</v>
      </c>
      <c r="E105" s="9">
        <v>2140024</v>
      </c>
      <c r="F105" s="9">
        <v>43</v>
      </c>
      <c r="H105" s="13" t="s">
        <v>17</v>
      </c>
      <c r="K105" s="25">
        <v>2</v>
      </c>
      <c r="L105" s="25">
        <v>38</v>
      </c>
      <c r="M105" s="25">
        <v>12</v>
      </c>
      <c r="N105" s="25">
        <v>0</v>
      </c>
      <c r="O105" s="25">
        <v>76.650000000000006</v>
      </c>
      <c r="P105" s="30">
        <f t="shared" si="7"/>
        <v>76650</v>
      </c>
      <c r="Q105" s="19">
        <f t="shared" si="5"/>
        <v>1</v>
      </c>
      <c r="R105" s="19">
        <f t="shared" si="6"/>
        <v>600</v>
      </c>
      <c r="S105" s="30">
        <v>1</v>
      </c>
      <c r="T105" s="27">
        <v>1</v>
      </c>
      <c r="U105" s="28" t="s">
        <v>62</v>
      </c>
    </row>
    <row r="106" spans="1:21" hidden="1" x14ac:dyDescent="0.25">
      <c r="A106" s="10" t="s">
        <v>250</v>
      </c>
      <c r="B106" s="11" t="s">
        <v>251</v>
      </c>
      <c r="C106" s="25" t="s">
        <v>252</v>
      </c>
      <c r="D106" s="9">
        <v>2140028</v>
      </c>
      <c r="E106" s="9">
        <v>2140028</v>
      </c>
      <c r="H106" s="13" t="s">
        <v>17</v>
      </c>
      <c r="K106" s="25">
        <v>0</v>
      </c>
      <c r="L106" s="25">
        <v>0</v>
      </c>
      <c r="M106" s="25">
        <v>1</v>
      </c>
      <c r="N106" s="25">
        <v>3</v>
      </c>
      <c r="O106" s="25">
        <v>4</v>
      </c>
      <c r="Q106" s="19"/>
      <c r="R106" s="19"/>
    </row>
    <row r="107" spans="1:21" hidden="1" x14ac:dyDescent="0.25">
      <c r="A107" s="10"/>
      <c r="B107" s="11" t="s">
        <v>251</v>
      </c>
      <c r="C107" s="25" t="s">
        <v>253</v>
      </c>
      <c r="D107" s="9">
        <v>2140028</v>
      </c>
      <c r="E107" s="9">
        <v>2140028</v>
      </c>
      <c r="F107" s="9">
        <v>44</v>
      </c>
      <c r="H107" s="13" t="s">
        <v>17</v>
      </c>
      <c r="K107" s="25">
        <v>2</v>
      </c>
      <c r="L107" s="25">
        <v>2</v>
      </c>
      <c r="M107" s="25">
        <v>1</v>
      </c>
      <c r="N107" s="25">
        <v>0</v>
      </c>
      <c r="O107" s="25">
        <v>76.650000000000006</v>
      </c>
      <c r="P107" s="30">
        <f>SUM(O106:O107)*1000</f>
        <v>80650</v>
      </c>
      <c r="Q107" s="19">
        <f t="shared" si="5"/>
        <v>1.0521852576647097</v>
      </c>
      <c r="R107" s="19">
        <f t="shared" si="6"/>
        <v>631.31115459882585</v>
      </c>
      <c r="S107" s="30">
        <v>1.05</v>
      </c>
      <c r="T107" s="27">
        <v>1</v>
      </c>
      <c r="U107" s="28" t="s">
        <v>58</v>
      </c>
    </row>
    <row r="108" spans="1:21" hidden="1" x14ac:dyDescent="0.25">
      <c r="A108" s="10" t="s">
        <v>254</v>
      </c>
      <c r="B108" s="11" t="s">
        <v>255</v>
      </c>
      <c r="C108" s="11" t="s">
        <v>256</v>
      </c>
      <c r="D108" s="9">
        <v>2140030</v>
      </c>
      <c r="E108" s="9">
        <v>2140030</v>
      </c>
      <c r="F108" s="9">
        <v>45</v>
      </c>
      <c r="H108" s="13" t="s">
        <v>17</v>
      </c>
      <c r="K108" s="25">
        <v>10</v>
      </c>
      <c r="L108" s="25">
        <v>50</v>
      </c>
      <c r="M108" s="25">
        <v>18</v>
      </c>
      <c r="N108" s="25">
        <v>2</v>
      </c>
      <c r="O108" s="25">
        <v>80</v>
      </c>
      <c r="P108" s="30">
        <v>80000</v>
      </c>
      <c r="Q108" s="19">
        <f t="shared" si="5"/>
        <v>1.0437051532941943</v>
      </c>
      <c r="R108" s="19">
        <f t="shared" si="6"/>
        <v>626.22309197651657</v>
      </c>
      <c r="S108" s="30">
        <v>1.04</v>
      </c>
    </row>
    <row r="109" spans="1:21" hidden="1" x14ac:dyDescent="0.25">
      <c r="A109" s="10" t="s">
        <v>257</v>
      </c>
      <c r="B109" s="11" t="s">
        <v>258</v>
      </c>
      <c r="C109" s="11" t="s">
        <v>259</v>
      </c>
      <c r="D109" s="9">
        <v>2140032</v>
      </c>
      <c r="E109" s="9">
        <v>2140032</v>
      </c>
      <c r="F109" s="9">
        <v>46</v>
      </c>
      <c r="H109" s="13" t="s">
        <v>17</v>
      </c>
      <c r="K109" s="25">
        <v>61</v>
      </c>
      <c r="L109" s="25">
        <v>96</v>
      </c>
      <c r="M109" s="25">
        <v>63</v>
      </c>
      <c r="N109" s="25">
        <v>45</v>
      </c>
      <c r="O109" s="25">
        <v>265</v>
      </c>
      <c r="P109" s="30">
        <v>265000</v>
      </c>
      <c r="Q109" s="19">
        <f t="shared" si="5"/>
        <v>3.4572733202870189</v>
      </c>
      <c r="R109" s="19">
        <f t="shared" si="6"/>
        <v>2074.3639921722115</v>
      </c>
      <c r="S109" s="30">
        <v>3.46</v>
      </c>
      <c r="T109" s="27">
        <v>3.14</v>
      </c>
      <c r="U109" s="28" t="s">
        <v>58</v>
      </c>
    </row>
    <row r="110" spans="1:21" hidden="1" x14ac:dyDescent="0.25">
      <c r="A110" s="10" t="s">
        <v>260</v>
      </c>
      <c r="B110" s="11" t="s">
        <v>261</v>
      </c>
      <c r="C110" s="11" t="s">
        <v>262</v>
      </c>
      <c r="D110" s="9">
        <v>2140034</v>
      </c>
      <c r="E110" s="9">
        <v>2140034</v>
      </c>
      <c r="F110" s="9">
        <v>47</v>
      </c>
      <c r="H110" s="13" t="s">
        <v>17</v>
      </c>
      <c r="K110" s="25">
        <v>11</v>
      </c>
      <c r="L110" s="25">
        <v>42</v>
      </c>
      <c r="M110" s="25">
        <v>9</v>
      </c>
      <c r="N110" s="25">
        <v>7</v>
      </c>
      <c r="O110" s="25">
        <v>76.650000000000006</v>
      </c>
      <c r="P110" s="30">
        <f>SUM(O110)*1000</f>
        <v>76650</v>
      </c>
      <c r="Q110" s="19">
        <f t="shared" si="5"/>
        <v>1</v>
      </c>
      <c r="R110" s="19">
        <f t="shared" si="6"/>
        <v>600</v>
      </c>
      <c r="S110" s="30">
        <v>1</v>
      </c>
      <c r="T110" s="27">
        <v>1</v>
      </c>
      <c r="U110" s="28" t="s">
        <v>62</v>
      </c>
    </row>
    <row r="111" spans="1:21" hidden="1" x14ac:dyDescent="0.25">
      <c r="A111" s="10" t="s">
        <v>263</v>
      </c>
      <c r="B111" s="11" t="s">
        <v>264</v>
      </c>
      <c r="C111" s="9" t="s">
        <v>265</v>
      </c>
      <c r="D111" s="9">
        <v>2140036</v>
      </c>
      <c r="E111" s="9">
        <v>2140036</v>
      </c>
      <c r="F111" s="9">
        <v>48</v>
      </c>
      <c r="H111" s="13" t="s">
        <v>17</v>
      </c>
      <c r="K111" s="25">
        <v>15</v>
      </c>
      <c r="L111" s="25">
        <v>69</v>
      </c>
      <c r="M111" s="25">
        <v>40</v>
      </c>
      <c r="N111" s="25">
        <v>15</v>
      </c>
      <c r="O111" s="25">
        <v>139</v>
      </c>
      <c r="P111" s="30">
        <v>139000</v>
      </c>
      <c r="Q111" s="19">
        <f t="shared" si="5"/>
        <v>1.8134377038486627</v>
      </c>
      <c r="R111" s="19">
        <f t="shared" si="6"/>
        <v>1088.0626223091976</v>
      </c>
      <c r="S111" s="30">
        <v>1.81</v>
      </c>
      <c r="T111" s="27">
        <v>2.14</v>
      </c>
      <c r="U111" s="28" t="s">
        <v>22</v>
      </c>
    </row>
    <row r="112" spans="1:21" hidden="1" x14ac:dyDescent="0.25">
      <c r="A112" s="10" t="s">
        <v>266</v>
      </c>
      <c r="B112" s="11" t="s">
        <v>267</v>
      </c>
      <c r="C112" s="11" t="s">
        <v>268</v>
      </c>
      <c r="D112" s="15">
        <v>2140056</v>
      </c>
      <c r="H112" s="13" t="s">
        <v>17</v>
      </c>
      <c r="K112" s="25">
        <v>44</v>
      </c>
      <c r="L112" s="25">
        <v>48</v>
      </c>
      <c r="M112" s="25">
        <v>38</v>
      </c>
      <c r="N112" s="25">
        <v>30</v>
      </c>
      <c r="O112" s="25">
        <v>160</v>
      </c>
      <c r="Q112" s="19"/>
      <c r="R112" s="19"/>
    </row>
    <row r="113" spans="1:21" hidden="1" x14ac:dyDescent="0.25">
      <c r="A113" s="10" t="s">
        <v>269</v>
      </c>
      <c r="B113" s="11" t="s">
        <v>270</v>
      </c>
      <c r="C113" s="11" t="s">
        <v>268</v>
      </c>
      <c r="D113" s="15">
        <v>2140056</v>
      </c>
      <c r="H113" s="13" t="s">
        <v>17</v>
      </c>
      <c r="K113" s="25">
        <v>3</v>
      </c>
      <c r="L113" s="25">
        <v>1</v>
      </c>
      <c r="M113" s="25">
        <v>0</v>
      </c>
      <c r="N113" s="25">
        <v>1</v>
      </c>
      <c r="O113" s="25">
        <v>5</v>
      </c>
      <c r="Q113" s="19"/>
      <c r="R113" s="19"/>
    </row>
    <row r="114" spans="1:21" hidden="1" x14ac:dyDescent="0.25">
      <c r="A114" s="10" t="s">
        <v>271</v>
      </c>
      <c r="B114" s="25" t="s">
        <v>272</v>
      </c>
      <c r="C114" s="11" t="s">
        <v>273</v>
      </c>
      <c r="D114" s="15">
        <v>2140056</v>
      </c>
      <c r="H114" s="13" t="s">
        <v>17</v>
      </c>
      <c r="K114" s="25">
        <v>353</v>
      </c>
      <c r="L114" s="25">
        <v>402</v>
      </c>
      <c r="M114" s="25">
        <v>388</v>
      </c>
      <c r="N114" s="25">
        <v>283</v>
      </c>
      <c r="O114" s="25">
        <v>1426</v>
      </c>
      <c r="Q114" s="19"/>
      <c r="R114" s="19"/>
    </row>
    <row r="115" spans="1:21" hidden="1" x14ac:dyDescent="0.25">
      <c r="A115" s="10" t="s">
        <v>274</v>
      </c>
      <c r="B115" s="25" t="s">
        <v>275</v>
      </c>
      <c r="C115" s="11" t="s">
        <v>268</v>
      </c>
      <c r="D115" s="15">
        <v>2140056</v>
      </c>
      <c r="H115" s="13" t="s">
        <v>17</v>
      </c>
      <c r="K115" s="25">
        <v>9</v>
      </c>
      <c r="L115" s="25">
        <v>9</v>
      </c>
      <c r="M115" s="25">
        <v>8</v>
      </c>
      <c r="N115" s="25">
        <v>13</v>
      </c>
      <c r="O115" s="25">
        <v>39</v>
      </c>
      <c r="Q115" s="19"/>
      <c r="R115" s="19"/>
    </row>
    <row r="116" spans="1:21" x14ac:dyDescent="0.25">
      <c r="A116" s="10" t="s">
        <v>276</v>
      </c>
      <c r="B116" s="11" t="s">
        <v>277</v>
      </c>
      <c r="C116" s="11" t="s">
        <v>278</v>
      </c>
      <c r="D116" s="15">
        <v>2140056</v>
      </c>
      <c r="H116" s="13" t="s">
        <v>17</v>
      </c>
      <c r="Q116" s="19"/>
      <c r="R116" s="19"/>
    </row>
    <row r="117" spans="1:21" hidden="1" x14ac:dyDescent="0.25">
      <c r="A117" s="10" t="s">
        <v>279</v>
      </c>
      <c r="B117" s="11" t="s">
        <v>277</v>
      </c>
      <c r="C117" s="11" t="s">
        <v>280</v>
      </c>
      <c r="D117" s="15">
        <v>2140056</v>
      </c>
      <c r="E117" s="15">
        <v>2140056</v>
      </c>
      <c r="F117" s="15">
        <v>49</v>
      </c>
      <c r="G117" s="16"/>
      <c r="H117" s="16" t="s">
        <v>17</v>
      </c>
      <c r="I117" s="15"/>
      <c r="J117" s="15"/>
      <c r="K117" s="15">
        <v>203</v>
      </c>
      <c r="L117" s="15">
        <v>246</v>
      </c>
      <c r="M117" s="15">
        <v>264</v>
      </c>
      <c r="N117" s="15">
        <v>193</v>
      </c>
      <c r="O117" s="15">
        <v>906</v>
      </c>
      <c r="P117" s="18">
        <f>SUM(O112+O113+O114-O115+O117)*1000</f>
        <v>2458000</v>
      </c>
      <c r="Q117" s="27">
        <f>SUM(P117/76650)</f>
        <v>32.067840834964123</v>
      </c>
      <c r="R117" s="19">
        <f>SUM(Q117*600)</f>
        <v>19240.704500978474</v>
      </c>
      <c r="S117" s="30">
        <v>32.07</v>
      </c>
      <c r="T117" s="27">
        <v>29.28</v>
      </c>
      <c r="U117" s="28" t="s">
        <v>58</v>
      </c>
    </row>
    <row r="118" spans="1:21" hidden="1" x14ac:dyDescent="0.25">
      <c r="A118" s="10" t="s">
        <v>281</v>
      </c>
      <c r="B118" s="11" t="s">
        <v>282</v>
      </c>
      <c r="C118" s="11" t="s">
        <v>283</v>
      </c>
      <c r="D118" s="9">
        <v>2140080</v>
      </c>
      <c r="E118" s="9">
        <v>2140080</v>
      </c>
      <c r="F118" s="9">
        <v>50</v>
      </c>
      <c r="H118" s="13" t="s">
        <v>17</v>
      </c>
      <c r="K118" s="25">
        <v>25</v>
      </c>
      <c r="L118" s="25">
        <v>78</v>
      </c>
      <c r="M118" s="25">
        <v>71</v>
      </c>
      <c r="N118" s="25">
        <v>75</v>
      </c>
      <c r="O118" s="25">
        <v>249</v>
      </c>
      <c r="P118" s="30">
        <v>249000</v>
      </c>
      <c r="Q118" s="19">
        <f>SUM(P118/76650)</f>
        <v>3.2485322896281801</v>
      </c>
      <c r="R118" s="19">
        <f>SUM(Q118*600)</f>
        <v>1949.1193737769081</v>
      </c>
      <c r="S118" s="30">
        <v>3.25</v>
      </c>
      <c r="T118" s="27">
        <v>3.48</v>
      </c>
      <c r="U118" s="28" t="s">
        <v>22</v>
      </c>
    </row>
    <row r="119" spans="1:21" hidden="1" x14ac:dyDescent="0.25">
      <c r="A119" s="10" t="s">
        <v>284</v>
      </c>
      <c r="B119" s="11" t="s">
        <v>285</v>
      </c>
      <c r="C119" s="11" t="s">
        <v>286</v>
      </c>
      <c r="D119" s="9">
        <v>2200015</v>
      </c>
      <c r="E119" s="9">
        <v>2200015</v>
      </c>
      <c r="F119" s="9">
        <v>51</v>
      </c>
      <c r="H119" s="13" t="s">
        <v>17</v>
      </c>
      <c r="K119" s="25">
        <v>20</v>
      </c>
      <c r="L119" s="25">
        <v>26</v>
      </c>
      <c r="M119" s="25">
        <v>20</v>
      </c>
      <c r="N119" s="25">
        <v>20</v>
      </c>
      <c r="O119" s="25">
        <v>86</v>
      </c>
      <c r="P119" s="30">
        <v>86000</v>
      </c>
      <c r="Q119" s="19">
        <f>SUM(P119/76650)</f>
        <v>1.1219830397912589</v>
      </c>
      <c r="R119" s="19">
        <f>SUM(Q119*600)</f>
        <v>673.18982387475535</v>
      </c>
      <c r="S119" s="30">
        <v>1.1200000000000001</v>
      </c>
      <c r="T119" s="27">
        <v>1.89</v>
      </c>
      <c r="U119" s="28" t="s">
        <v>22</v>
      </c>
    </row>
    <row r="120" spans="1:21" hidden="1" x14ac:dyDescent="0.25">
      <c r="A120" s="10" t="s">
        <v>287</v>
      </c>
      <c r="B120" s="11" t="s">
        <v>288</v>
      </c>
      <c r="C120" s="11" t="s">
        <v>28</v>
      </c>
      <c r="D120" s="15">
        <v>2210016</v>
      </c>
      <c r="G120" s="14"/>
      <c r="H120" s="13" t="s">
        <v>17</v>
      </c>
      <c r="K120" s="25">
        <v>1</v>
      </c>
      <c r="L120" s="25">
        <v>14</v>
      </c>
      <c r="M120" s="25">
        <v>27</v>
      </c>
      <c r="N120" s="25">
        <v>27</v>
      </c>
      <c r="O120" s="25">
        <v>69</v>
      </c>
      <c r="P120" s="30">
        <v>69000</v>
      </c>
      <c r="Q120" s="19"/>
      <c r="R120" s="19"/>
    </row>
    <row r="121" spans="1:21" hidden="1" x14ac:dyDescent="0.25">
      <c r="A121" s="10"/>
      <c r="B121" s="25" t="s">
        <v>289</v>
      </c>
      <c r="C121" s="11"/>
      <c r="D121" s="15">
        <v>2210016</v>
      </c>
      <c r="H121" s="13"/>
      <c r="K121" s="25">
        <v>0</v>
      </c>
      <c r="L121" s="25">
        <v>2</v>
      </c>
      <c r="M121" s="25">
        <v>2</v>
      </c>
      <c r="N121" s="25">
        <v>1</v>
      </c>
      <c r="O121" s="25">
        <v>5</v>
      </c>
      <c r="P121" s="30">
        <v>5000</v>
      </c>
      <c r="Q121" s="19"/>
      <c r="R121" s="19"/>
    </row>
    <row r="122" spans="1:21" hidden="1" x14ac:dyDescent="0.25">
      <c r="A122" s="10" t="s">
        <v>290</v>
      </c>
      <c r="B122" s="25" t="s">
        <v>291</v>
      </c>
      <c r="C122" s="11" t="s">
        <v>28</v>
      </c>
      <c r="D122" s="15">
        <v>2210016</v>
      </c>
      <c r="G122" s="14"/>
      <c r="H122" s="13" t="s">
        <v>17</v>
      </c>
      <c r="K122" s="25">
        <v>10</v>
      </c>
      <c r="L122" s="25">
        <v>58</v>
      </c>
      <c r="M122" s="25">
        <v>17</v>
      </c>
      <c r="N122" s="25">
        <v>0</v>
      </c>
      <c r="O122" s="25">
        <v>85</v>
      </c>
      <c r="P122" s="30">
        <v>85000</v>
      </c>
      <c r="Q122" s="19"/>
      <c r="R122" s="19"/>
    </row>
    <row r="123" spans="1:21" s="9" customFormat="1" hidden="1" x14ac:dyDescent="0.25">
      <c r="A123" s="10" t="s">
        <v>292</v>
      </c>
      <c r="B123" s="9" t="s">
        <v>293</v>
      </c>
      <c r="C123" s="11" t="s">
        <v>28</v>
      </c>
      <c r="D123" s="9">
        <v>2210016</v>
      </c>
      <c r="E123" s="9">
        <v>2210016</v>
      </c>
      <c r="G123" s="14"/>
      <c r="H123" s="13" t="s">
        <v>17</v>
      </c>
      <c r="K123" s="9">
        <v>26</v>
      </c>
      <c r="L123" s="9">
        <v>80</v>
      </c>
      <c r="M123" s="9">
        <v>25</v>
      </c>
      <c r="N123" s="9">
        <v>7</v>
      </c>
      <c r="O123" s="9">
        <v>138</v>
      </c>
      <c r="P123" s="6">
        <f>SUM(O120:O123)*1000</f>
        <v>297000</v>
      </c>
      <c r="Q123" s="7">
        <f t="shared" ref="Q123:Q179" si="8">SUM(P123/76650)</f>
        <v>3.8747553816046967</v>
      </c>
      <c r="R123" s="7">
        <f t="shared" ref="R123:R179" si="9">SUM(Q123*600)</f>
        <v>2324.8532289628179</v>
      </c>
      <c r="S123" s="6">
        <v>3.87</v>
      </c>
      <c r="T123" s="7">
        <v>3.17</v>
      </c>
      <c r="U123" s="20" t="s">
        <v>58</v>
      </c>
    </row>
    <row r="124" spans="1:21" hidden="1" x14ac:dyDescent="0.25">
      <c r="A124" s="10" t="s">
        <v>294</v>
      </c>
      <c r="B124" s="25" t="s">
        <v>295</v>
      </c>
      <c r="C124" s="11" t="s">
        <v>296</v>
      </c>
      <c r="D124" s="9">
        <v>2280080</v>
      </c>
      <c r="H124" s="13" t="s">
        <v>17</v>
      </c>
      <c r="K124" s="25">
        <v>136</v>
      </c>
      <c r="L124" s="25">
        <v>486</v>
      </c>
      <c r="M124" s="25">
        <v>415</v>
      </c>
      <c r="N124" s="25">
        <v>35</v>
      </c>
      <c r="O124" s="25">
        <v>1072</v>
      </c>
      <c r="Q124" s="19"/>
      <c r="R124" s="19"/>
    </row>
    <row r="125" spans="1:21" s="9" customFormat="1" hidden="1" x14ac:dyDescent="0.25">
      <c r="A125" s="10" t="s">
        <v>297</v>
      </c>
      <c r="B125" s="11" t="s">
        <v>298</v>
      </c>
      <c r="C125" s="11" t="s">
        <v>296</v>
      </c>
      <c r="D125" s="9">
        <v>2280080</v>
      </c>
      <c r="E125" s="9">
        <v>2280080</v>
      </c>
      <c r="F125" s="9">
        <v>52</v>
      </c>
      <c r="G125" s="13"/>
      <c r="H125" s="13" t="s">
        <v>17</v>
      </c>
      <c r="K125" s="9">
        <v>109</v>
      </c>
      <c r="L125" s="9">
        <v>464</v>
      </c>
      <c r="M125" s="9">
        <v>384</v>
      </c>
      <c r="N125" s="9">
        <v>0</v>
      </c>
      <c r="O125" s="9">
        <v>957</v>
      </c>
      <c r="P125" s="6">
        <f>SUM(O124-O125)*1000</f>
        <v>115000</v>
      </c>
      <c r="Q125" s="19">
        <f t="shared" si="8"/>
        <v>1.5003261578604044</v>
      </c>
      <c r="R125" s="19">
        <f t="shared" si="9"/>
        <v>900.19569471624266</v>
      </c>
      <c r="S125" s="6">
        <v>1.5</v>
      </c>
      <c r="T125" s="7">
        <v>9.9499999999999993</v>
      </c>
      <c r="U125" s="28" t="s">
        <v>22</v>
      </c>
    </row>
    <row r="126" spans="1:21" hidden="1" x14ac:dyDescent="0.25">
      <c r="A126" s="10"/>
      <c r="B126" s="11" t="s">
        <v>299</v>
      </c>
      <c r="C126" s="11" t="s">
        <v>300</v>
      </c>
      <c r="D126" s="9">
        <v>2280100</v>
      </c>
      <c r="H126" s="13" t="s">
        <v>17</v>
      </c>
      <c r="K126" s="25">
        <v>378</v>
      </c>
      <c r="L126" s="25">
        <v>521</v>
      </c>
      <c r="M126" s="25">
        <v>420</v>
      </c>
      <c r="N126" s="25">
        <v>215</v>
      </c>
      <c r="O126" s="25">
        <v>1534</v>
      </c>
      <c r="Q126" s="19"/>
      <c r="R126" s="19"/>
    </row>
    <row r="127" spans="1:21" hidden="1" x14ac:dyDescent="0.25">
      <c r="A127" s="10"/>
      <c r="B127" s="11" t="s">
        <v>299</v>
      </c>
      <c r="C127" s="11" t="s">
        <v>300</v>
      </c>
      <c r="D127" s="9">
        <v>2280100</v>
      </c>
      <c r="E127" s="9">
        <v>2280100</v>
      </c>
      <c r="F127" s="9">
        <v>53</v>
      </c>
      <c r="H127" s="13" t="s">
        <v>17</v>
      </c>
      <c r="K127" s="25">
        <v>376</v>
      </c>
      <c r="L127" s="25">
        <v>539</v>
      </c>
      <c r="M127" s="25">
        <v>353</v>
      </c>
      <c r="N127" s="25">
        <v>179</v>
      </c>
      <c r="O127" s="25">
        <v>1447</v>
      </c>
      <c r="P127" s="30">
        <f>SUM(O126:O127)*1000</f>
        <v>2981000</v>
      </c>
      <c r="Q127" s="19">
        <f t="shared" si="8"/>
        <v>38.891063274624919</v>
      </c>
      <c r="R127" s="19">
        <f t="shared" si="9"/>
        <v>23334.637964774953</v>
      </c>
      <c r="S127" s="30">
        <v>38.89</v>
      </c>
      <c r="T127" s="27">
        <v>20.39</v>
      </c>
      <c r="U127" s="28" t="s">
        <v>58</v>
      </c>
    </row>
    <row r="128" spans="1:21" hidden="1" x14ac:dyDescent="0.25">
      <c r="A128" s="10" t="s">
        <v>301</v>
      </c>
      <c r="B128" s="25" t="s">
        <v>302</v>
      </c>
      <c r="C128" s="11" t="s">
        <v>303</v>
      </c>
      <c r="D128" s="9">
        <v>2280150</v>
      </c>
      <c r="H128" s="13" t="s">
        <v>17</v>
      </c>
      <c r="K128" s="25">
        <v>73</v>
      </c>
      <c r="L128" s="25">
        <v>311</v>
      </c>
      <c r="M128" s="25">
        <v>61</v>
      </c>
      <c r="N128" s="25">
        <v>0</v>
      </c>
      <c r="O128" s="25">
        <v>445</v>
      </c>
      <c r="Q128" s="19"/>
      <c r="R128" s="19"/>
    </row>
    <row r="129" spans="1:21" s="9" customFormat="1" hidden="1" x14ac:dyDescent="0.25">
      <c r="A129" s="10" t="s">
        <v>304</v>
      </c>
      <c r="B129" s="9" t="s">
        <v>305</v>
      </c>
      <c r="C129" s="11" t="s">
        <v>303</v>
      </c>
      <c r="D129" s="9">
        <v>2280150</v>
      </c>
      <c r="E129" s="9">
        <v>2280150</v>
      </c>
      <c r="F129" s="9">
        <v>54</v>
      </c>
      <c r="G129" s="13"/>
      <c r="H129" s="13" t="s">
        <v>17</v>
      </c>
      <c r="K129" s="9">
        <v>132</v>
      </c>
      <c r="L129" s="9">
        <v>358</v>
      </c>
      <c r="M129" s="9">
        <v>132</v>
      </c>
      <c r="N129" s="9">
        <v>46</v>
      </c>
      <c r="O129" s="9">
        <v>668</v>
      </c>
      <c r="P129" s="6">
        <f>SUM(O129-O128)*1000</f>
        <v>223000</v>
      </c>
      <c r="Q129" s="7">
        <f t="shared" si="8"/>
        <v>2.9093281148075669</v>
      </c>
      <c r="R129" s="7">
        <f t="shared" si="9"/>
        <v>1745.5968688845401</v>
      </c>
      <c r="S129" s="6">
        <v>2.91</v>
      </c>
      <c r="T129" s="7">
        <v>12.6</v>
      </c>
      <c r="U129" s="20" t="s">
        <v>22</v>
      </c>
    </row>
    <row r="130" spans="1:21" hidden="1" x14ac:dyDescent="0.25">
      <c r="A130" s="10"/>
      <c r="B130" s="11" t="s">
        <v>306</v>
      </c>
      <c r="C130" s="11" t="s">
        <v>307</v>
      </c>
      <c r="D130" s="9">
        <v>2280200</v>
      </c>
      <c r="E130" s="9">
        <v>2280200</v>
      </c>
      <c r="F130" s="9">
        <v>55</v>
      </c>
      <c r="H130" s="13" t="s">
        <v>17</v>
      </c>
      <c r="K130" s="25">
        <v>14</v>
      </c>
      <c r="L130" s="25">
        <v>131</v>
      </c>
      <c r="M130" s="25">
        <v>116</v>
      </c>
      <c r="N130" s="25">
        <v>17</v>
      </c>
      <c r="O130" s="25">
        <v>278</v>
      </c>
      <c r="P130" s="30">
        <v>278000</v>
      </c>
      <c r="Q130" s="19">
        <f t="shared" si="8"/>
        <v>3.6268754076973253</v>
      </c>
      <c r="R130" s="19">
        <f t="shared" si="9"/>
        <v>2176.1252446183953</v>
      </c>
      <c r="S130" s="6">
        <v>5.09</v>
      </c>
      <c r="T130" s="27">
        <v>3.1</v>
      </c>
      <c r="U130" s="28" t="s">
        <v>58</v>
      </c>
    </row>
    <row r="131" spans="1:21" x14ac:dyDescent="0.25">
      <c r="A131" s="10" t="s">
        <v>308</v>
      </c>
      <c r="B131" s="11" t="s">
        <v>309</v>
      </c>
      <c r="C131" s="9"/>
      <c r="D131" s="20">
        <v>2810335</v>
      </c>
      <c r="E131" s="20">
        <v>2810335</v>
      </c>
      <c r="F131" s="9">
        <v>56</v>
      </c>
      <c r="H131" s="13" t="s">
        <v>110</v>
      </c>
      <c r="O131" s="5">
        <v>76650</v>
      </c>
      <c r="P131" s="30">
        <v>76650</v>
      </c>
      <c r="Q131" s="19">
        <f t="shared" si="8"/>
        <v>1</v>
      </c>
      <c r="R131" s="19">
        <f t="shared" si="9"/>
        <v>600</v>
      </c>
      <c r="S131" s="30">
        <v>1</v>
      </c>
      <c r="T131" s="27">
        <v>1</v>
      </c>
      <c r="U131" s="28" t="s">
        <v>62</v>
      </c>
    </row>
    <row r="132" spans="1:21" hidden="1" x14ac:dyDescent="0.25">
      <c r="A132" s="10" t="s">
        <v>310</v>
      </c>
      <c r="B132" s="11" t="s">
        <v>311</v>
      </c>
      <c r="C132" s="11" t="s">
        <v>312</v>
      </c>
      <c r="D132" s="20">
        <v>2810365</v>
      </c>
      <c r="E132" s="20">
        <v>2810365</v>
      </c>
      <c r="F132" s="9">
        <v>57</v>
      </c>
      <c r="H132" s="13" t="s">
        <v>110</v>
      </c>
      <c r="K132" s="25">
        <v>2</v>
      </c>
      <c r="L132" s="25">
        <v>1</v>
      </c>
      <c r="M132" s="25">
        <v>1</v>
      </c>
      <c r="N132" s="25">
        <v>2</v>
      </c>
      <c r="O132" s="25">
        <v>76.650000000000006</v>
      </c>
      <c r="P132" s="30">
        <v>76650</v>
      </c>
      <c r="Q132" s="19">
        <f t="shared" si="8"/>
        <v>1</v>
      </c>
      <c r="R132" s="19">
        <f t="shared" si="9"/>
        <v>600</v>
      </c>
      <c r="S132" s="30">
        <v>1</v>
      </c>
      <c r="T132" s="27">
        <v>1</v>
      </c>
      <c r="U132" s="28" t="s">
        <v>62</v>
      </c>
    </row>
    <row r="133" spans="1:21" hidden="1" x14ac:dyDescent="0.25">
      <c r="A133" s="10" t="s">
        <v>313</v>
      </c>
      <c r="B133" s="11" t="s">
        <v>314</v>
      </c>
      <c r="C133" s="11" t="s">
        <v>315</v>
      </c>
      <c r="D133" s="9">
        <v>2840001</v>
      </c>
      <c r="H133" s="13" t="s">
        <v>17</v>
      </c>
      <c r="K133" s="25">
        <v>17</v>
      </c>
      <c r="L133" s="25">
        <v>11</v>
      </c>
      <c r="M133" s="25">
        <v>11</v>
      </c>
      <c r="N133" s="25">
        <v>11</v>
      </c>
      <c r="O133" s="25">
        <v>50</v>
      </c>
      <c r="Q133" s="19">
        <f t="shared" si="8"/>
        <v>0</v>
      </c>
      <c r="R133" s="19">
        <f t="shared" si="9"/>
        <v>0</v>
      </c>
      <c r="U133" s="28" t="s">
        <v>62</v>
      </c>
    </row>
    <row r="134" spans="1:21" hidden="1" x14ac:dyDescent="0.25">
      <c r="A134" s="10" t="s">
        <v>316</v>
      </c>
      <c r="B134" s="11" t="s">
        <v>317</v>
      </c>
      <c r="C134" s="11" t="s">
        <v>315</v>
      </c>
      <c r="D134" s="9">
        <v>2840001</v>
      </c>
      <c r="E134" s="9">
        <v>2840001</v>
      </c>
      <c r="F134" s="9">
        <v>58</v>
      </c>
      <c r="H134" s="13" t="s">
        <v>17</v>
      </c>
      <c r="K134" s="25">
        <v>1</v>
      </c>
      <c r="L134" s="25">
        <v>103</v>
      </c>
      <c r="M134" s="25">
        <v>9</v>
      </c>
      <c r="N134" s="25">
        <v>0</v>
      </c>
      <c r="O134" s="25">
        <v>113</v>
      </c>
      <c r="P134" s="30">
        <f>SUM(O133:O134)*1000</f>
        <v>163000</v>
      </c>
      <c r="Q134" s="19">
        <f t="shared" si="8"/>
        <v>2.1265492498369212</v>
      </c>
      <c r="R134" s="19">
        <f t="shared" si="9"/>
        <v>1275.9295499021528</v>
      </c>
      <c r="S134" s="30">
        <v>2.4700000000000002</v>
      </c>
      <c r="T134" s="27">
        <v>4.26</v>
      </c>
      <c r="U134" s="28" t="s">
        <v>22</v>
      </c>
    </row>
    <row r="135" spans="1:21" x14ac:dyDescent="0.25">
      <c r="A135" s="10"/>
      <c r="B135" s="11"/>
      <c r="C135" s="11"/>
      <c r="D135" s="9">
        <v>3060224</v>
      </c>
      <c r="E135" s="9">
        <v>3060224</v>
      </c>
      <c r="H135" s="13" t="s">
        <v>110</v>
      </c>
      <c r="K135" s="25"/>
      <c r="L135" s="25"/>
      <c r="M135" s="25"/>
      <c r="N135" s="25"/>
      <c r="O135" s="25">
        <v>76.650000000000006</v>
      </c>
      <c r="P135" s="30">
        <f>SUM(O135*1000)</f>
        <v>76650</v>
      </c>
      <c r="Q135" s="19">
        <f t="shared" si="8"/>
        <v>1</v>
      </c>
      <c r="R135" s="19">
        <f t="shared" si="9"/>
        <v>600</v>
      </c>
      <c r="S135" s="30">
        <v>1</v>
      </c>
      <c r="U135" s="28"/>
    </row>
    <row r="136" spans="1:21" hidden="1" x14ac:dyDescent="0.25">
      <c r="A136" s="10" t="s">
        <v>318</v>
      </c>
      <c r="B136" s="11" t="s">
        <v>319</v>
      </c>
      <c r="C136" s="11" t="s">
        <v>320</v>
      </c>
      <c r="D136" s="39">
        <v>3290027</v>
      </c>
      <c r="H136" s="13" t="s">
        <v>17</v>
      </c>
      <c r="K136" s="25">
        <v>0</v>
      </c>
      <c r="L136" s="25">
        <v>0</v>
      </c>
      <c r="M136" s="25">
        <v>0</v>
      </c>
      <c r="N136" s="25">
        <v>0</v>
      </c>
      <c r="O136" s="25">
        <v>0</v>
      </c>
      <c r="Q136" s="7"/>
      <c r="R136" s="7"/>
    </row>
    <row r="137" spans="1:21" hidden="1" x14ac:dyDescent="0.25">
      <c r="A137" s="10" t="s">
        <v>321</v>
      </c>
      <c r="B137" s="11" t="s">
        <v>322</v>
      </c>
      <c r="C137" s="11" t="s">
        <v>323</v>
      </c>
      <c r="D137" s="39">
        <v>3290027</v>
      </c>
      <c r="H137" s="13" t="s">
        <v>17</v>
      </c>
      <c r="K137" s="25">
        <v>92</v>
      </c>
      <c r="L137" s="25">
        <v>225</v>
      </c>
      <c r="M137" s="25">
        <v>321</v>
      </c>
      <c r="N137" s="25">
        <v>192</v>
      </c>
      <c r="O137" s="25">
        <v>830</v>
      </c>
      <c r="Q137" s="7"/>
      <c r="R137" s="7"/>
    </row>
    <row r="138" spans="1:21" hidden="1" x14ac:dyDescent="0.25">
      <c r="A138" s="10" t="s">
        <v>324</v>
      </c>
      <c r="B138" s="25" t="s">
        <v>325</v>
      </c>
      <c r="C138" s="11" t="s">
        <v>323</v>
      </c>
      <c r="D138" s="39">
        <v>3290027</v>
      </c>
      <c r="H138" s="13" t="s">
        <v>17</v>
      </c>
      <c r="K138" s="25">
        <v>31</v>
      </c>
      <c r="L138" s="25">
        <v>303</v>
      </c>
      <c r="M138" s="25">
        <v>115</v>
      </c>
      <c r="N138" s="25">
        <v>0</v>
      </c>
      <c r="O138" s="25">
        <v>449</v>
      </c>
      <c r="Q138" s="7"/>
      <c r="R138" s="7"/>
    </row>
    <row r="139" spans="1:21" s="9" customFormat="1" hidden="1" x14ac:dyDescent="0.25">
      <c r="A139" s="10" t="s">
        <v>326</v>
      </c>
      <c r="B139" s="9" t="s">
        <v>327</v>
      </c>
      <c r="C139" s="11" t="s">
        <v>328</v>
      </c>
      <c r="D139" s="9">
        <v>3290027</v>
      </c>
      <c r="G139" s="13"/>
      <c r="H139" s="13" t="s">
        <v>17</v>
      </c>
      <c r="K139" s="9">
        <v>38</v>
      </c>
      <c r="L139" s="9">
        <v>310</v>
      </c>
      <c r="M139" s="9">
        <v>119</v>
      </c>
      <c r="N139" s="9">
        <v>12</v>
      </c>
      <c r="O139" s="9">
        <v>479</v>
      </c>
      <c r="P139" s="6"/>
      <c r="Q139" s="7"/>
      <c r="R139" s="7"/>
      <c r="S139" s="30"/>
      <c r="T139" s="7"/>
    </row>
    <row r="140" spans="1:21" s="9" customFormat="1" hidden="1" x14ac:dyDescent="0.25">
      <c r="A140" s="10" t="s">
        <v>329</v>
      </c>
      <c r="B140" s="9" t="s">
        <v>330</v>
      </c>
      <c r="C140" s="11" t="s">
        <v>331</v>
      </c>
      <c r="D140" s="9">
        <v>3290027</v>
      </c>
      <c r="G140" s="13"/>
      <c r="H140" s="13" t="s">
        <v>17</v>
      </c>
      <c r="K140" s="9">
        <v>86</v>
      </c>
      <c r="L140" s="9">
        <v>825</v>
      </c>
      <c r="M140" s="9">
        <v>83</v>
      </c>
      <c r="N140" s="9">
        <v>0</v>
      </c>
      <c r="O140" s="9">
        <v>994</v>
      </c>
      <c r="P140" s="6"/>
      <c r="Q140" s="7"/>
      <c r="R140" s="7"/>
      <c r="S140" s="30"/>
      <c r="T140" s="7"/>
    </row>
    <row r="141" spans="1:21" s="9" customFormat="1" hidden="1" x14ac:dyDescent="0.25">
      <c r="A141" s="10" t="s">
        <v>332</v>
      </c>
      <c r="B141" s="9" t="s">
        <v>333</v>
      </c>
      <c r="C141" s="11" t="s">
        <v>331</v>
      </c>
      <c r="D141" s="9">
        <v>3290027</v>
      </c>
      <c r="E141" s="9">
        <v>3290027</v>
      </c>
      <c r="F141" s="9">
        <v>59</v>
      </c>
      <c r="G141" s="13"/>
      <c r="H141" s="13" t="s">
        <v>17</v>
      </c>
      <c r="K141" s="9">
        <v>88</v>
      </c>
      <c r="L141" s="9">
        <v>827</v>
      </c>
      <c r="M141" s="9">
        <v>85</v>
      </c>
      <c r="N141" s="9">
        <v>4</v>
      </c>
      <c r="O141" s="9">
        <v>1004</v>
      </c>
      <c r="P141" s="6">
        <f>SUM(O141-O140+O139-O138+O137+O136)*1000</f>
        <v>870000</v>
      </c>
      <c r="Q141" s="7">
        <f t="shared" si="8"/>
        <v>11.350293542074365</v>
      </c>
      <c r="R141" s="7">
        <f t="shared" si="9"/>
        <v>6810.1761252446186</v>
      </c>
      <c r="S141" s="30">
        <v>12.35</v>
      </c>
      <c r="T141" s="7">
        <v>44.78</v>
      </c>
      <c r="U141" s="28" t="s">
        <v>22</v>
      </c>
    </row>
    <row r="142" spans="1:21" hidden="1" x14ac:dyDescent="0.25">
      <c r="A142" s="10"/>
      <c r="B142" s="25" t="s">
        <v>334</v>
      </c>
      <c r="C142" s="11" t="s">
        <v>335</v>
      </c>
      <c r="D142" s="9">
        <v>3290065</v>
      </c>
      <c r="E142" s="9">
        <v>3290065</v>
      </c>
      <c r="H142" s="13" t="s">
        <v>17</v>
      </c>
      <c r="K142" s="25">
        <v>365</v>
      </c>
      <c r="L142" s="25">
        <v>0</v>
      </c>
      <c r="M142" s="25">
        <v>0</v>
      </c>
      <c r="N142" s="25">
        <v>11</v>
      </c>
      <c r="O142" s="25">
        <v>376</v>
      </c>
      <c r="Q142" s="7"/>
      <c r="R142" s="7"/>
    </row>
    <row r="143" spans="1:21" hidden="1" x14ac:dyDescent="0.25">
      <c r="A143" s="10" t="s">
        <v>336</v>
      </c>
      <c r="B143" s="25" t="s">
        <v>337</v>
      </c>
      <c r="C143" s="11" t="s">
        <v>338</v>
      </c>
      <c r="D143" s="9">
        <v>3290065</v>
      </c>
      <c r="E143" s="9">
        <v>3290065</v>
      </c>
      <c r="F143" s="9">
        <v>60</v>
      </c>
      <c r="H143" s="13" t="s">
        <v>17</v>
      </c>
      <c r="K143" s="25">
        <v>223</v>
      </c>
      <c r="L143" s="25">
        <v>0</v>
      </c>
      <c r="M143" s="25">
        <v>0</v>
      </c>
      <c r="N143" s="25">
        <v>6</v>
      </c>
      <c r="O143" s="25">
        <v>229</v>
      </c>
      <c r="P143" s="30">
        <f>SUM(O142-O143)*1000</f>
        <v>147000</v>
      </c>
      <c r="Q143" s="7">
        <f t="shared" si="8"/>
        <v>1.9178082191780821</v>
      </c>
      <c r="R143" s="7">
        <f t="shared" si="9"/>
        <v>1150.6849315068494</v>
      </c>
      <c r="S143" s="30">
        <v>1.92</v>
      </c>
      <c r="T143" s="27">
        <v>6.76</v>
      </c>
      <c r="U143" s="28" t="s">
        <v>22</v>
      </c>
    </row>
    <row r="144" spans="1:21" hidden="1" x14ac:dyDescent="0.25">
      <c r="A144" s="10" t="s">
        <v>339</v>
      </c>
      <c r="B144" s="11" t="s">
        <v>340</v>
      </c>
      <c r="C144" s="11" t="s">
        <v>341</v>
      </c>
      <c r="D144" s="9">
        <v>3360151</v>
      </c>
      <c r="E144" s="9">
        <v>3360151</v>
      </c>
      <c r="F144" s="9">
        <v>61</v>
      </c>
      <c r="H144" s="13" t="s">
        <v>17</v>
      </c>
      <c r="K144" s="25">
        <v>265</v>
      </c>
      <c r="L144" s="25">
        <v>136</v>
      </c>
      <c r="M144" s="25">
        <v>176</v>
      </c>
      <c r="N144" s="25">
        <v>239</v>
      </c>
      <c r="O144" s="25">
        <v>816</v>
      </c>
      <c r="P144" s="30">
        <v>816000</v>
      </c>
      <c r="Q144" s="7">
        <f t="shared" si="8"/>
        <v>10.645792563600782</v>
      </c>
      <c r="R144" s="7">
        <f t="shared" si="9"/>
        <v>6387.4755381604691</v>
      </c>
      <c r="S144" s="30">
        <v>10.65</v>
      </c>
      <c r="T144" s="27">
        <v>11.97</v>
      </c>
      <c r="U144" s="28" t="s">
        <v>22</v>
      </c>
    </row>
    <row r="145" spans="1:21" hidden="1" x14ac:dyDescent="0.25">
      <c r="A145" s="10" t="s">
        <v>342</v>
      </c>
      <c r="B145" s="11" t="s">
        <v>343</v>
      </c>
      <c r="C145" s="11" t="s">
        <v>344</v>
      </c>
      <c r="D145" s="9">
        <v>3360154</v>
      </c>
      <c r="E145" s="9">
        <v>3360154</v>
      </c>
      <c r="F145" s="9">
        <v>62</v>
      </c>
      <c r="H145" s="13" t="s">
        <v>17</v>
      </c>
      <c r="K145" s="25">
        <v>48</v>
      </c>
      <c r="L145" s="25">
        <v>32</v>
      </c>
      <c r="M145" s="25">
        <v>32</v>
      </c>
      <c r="N145" s="25">
        <v>44</v>
      </c>
      <c r="O145" s="25">
        <v>156</v>
      </c>
      <c r="P145" s="30">
        <v>156000</v>
      </c>
      <c r="Q145" s="7">
        <f t="shared" si="8"/>
        <v>2.0352250489236789</v>
      </c>
      <c r="R145" s="7">
        <f t="shared" si="9"/>
        <v>1221.1350293542073</v>
      </c>
      <c r="S145" s="30">
        <v>2.04</v>
      </c>
      <c r="T145" s="27">
        <v>6.2</v>
      </c>
      <c r="U145" s="28" t="s">
        <v>22</v>
      </c>
    </row>
    <row r="146" spans="1:21" hidden="1" x14ac:dyDescent="0.25">
      <c r="A146" s="10" t="s">
        <v>345</v>
      </c>
      <c r="B146" s="11" t="s">
        <v>346</v>
      </c>
      <c r="C146" s="11" t="s">
        <v>347</v>
      </c>
      <c r="D146" s="9">
        <v>3360174</v>
      </c>
      <c r="E146" s="9">
        <v>3360174</v>
      </c>
      <c r="F146" s="9">
        <v>63</v>
      </c>
      <c r="H146" s="13" t="s">
        <v>17</v>
      </c>
      <c r="K146" s="25">
        <v>8</v>
      </c>
      <c r="L146" s="25">
        <v>10</v>
      </c>
      <c r="M146" s="25">
        <v>11</v>
      </c>
      <c r="N146" s="25">
        <v>12</v>
      </c>
      <c r="O146" s="25">
        <v>76.650000000000006</v>
      </c>
      <c r="P146" s="30">
        <f>SUM(O146*1000)</f>
        <v>76650</v>
      </c>
      <c r="Q146" s="7">
        <f t="shared" si="8"/>
        <v>1</v>
      </c>
      <c r="R146" s="7">
        <f t="shared" si="9"/>
        <v>600</v>
      </c>
      <c r="S146" s="30">
        <v>1</v>
      </c>
      <c r="T146" s="27">
        <v>1</v>
      </c>
      <c r="U146" s="28" t="s">
        <v>62</v>
      </c>
    </row>
    <row r="147" spans="1:21" hidden="1" x14ac:dyDescent="0.25">
      <c r="A147" s="10" t="s">
        <v>348</v>
      </c>
      <c r="B147" s="11" t="s">
        <v>349</v>
      </c>
      <c r="C147" s="11" t="s">
        <v>350</v>
      </c>
      <c r="D147" s="9">
        <v>3360190</v>
      </c>
      <c r="E147" s="9">
        <v>3360190</v>
      </c>
      <c r="F147" s="9">
        <v>64</v>
      </c>
      <c r="H147" s="13" t="s">
        <v>17</v>
      </c>
      <c r="K147" s="25">
        <v>1</v>
      </c>
      <c r="L147" s="25">
        <v>1</v>
      </c>
      <c r="M147" s="25">
        <v>2</v>
      </c>
      <c r="N147" s="25">
        <v>1</v>
      </c>
      <c r="O147" s="25">
        <v>76.650000000000006</v>
      </c>
      <c r="P147" s="30">
        <f>SUM(O147*1000)</f>
        <v>76650</v>
      </c>
      <c r="Q147" s="7">
        <f t="shared" si="8"/>
        <v>1</v>
      </c>
      <c r="R147" s="7">
        <f t="shared" si="9"/>
        <v>600</v>
      </c>
      <c r="S147" s="30">
        <v>1</v>
      </c>
      <c r="T147" s="27">
        <v>1</v>
      </c>
      <c r="U147" s="28" t="s">
        <v>62</v>
      </c>
    </row>
    <row r="148" spans="1:21" hidden="1" x14ac:dyDescent="0.25">
      <c r="A148" s="10"/>
      <c r="B148" s="11" t="s">
        <v>351</v>
      </c>
      <c r="C148" s="9" t="s">
        <v>352</v>
      </c>
      <c r="D148" s="39">
        <v>3360205</v>
      </c>
      <c r="H148" s="13" t="s">
        <v>17</v>
      </c>
      <c r="K148" s="25">
        <v>47</v>
      </c>
      <c r="L148" s="25">
        <v>60</v>
      </c>
      <c r="M148" s="25">
        <v>49</v>
      </c>
      <c r="N148" s="25">
        <v>38</v>
      </c>
      <c r="O148" s="25">
        <v>194</v>
      </c>
      <c r="Q148" s="7"/>
      <c r="R148" s="7"/>
    </row>
    <row r="149" spans="1:21" hidden="1" x14ac:dyDescent="0.25">
      <c r="A149" s="10"/>
      <c r="B149" s="11" t="s">
        <v>351</v>
      </c>
      <c r="C149" s="9" t="s">
        <v>353</v>
      </c>
      <c r="D149" s="39">
        <v>3360205</v>
      </c>
      <c r="H149" s="13" t="s">
        <v>17</v>
      </c>
      <c r="K149" s="25">
        <v>0</v>
      </c>
      <c r="L149" s="25">
        <v>0</v>
      </c>
      <c r="M149" s="25">
        <v>6</v>
      </c>
      <c r="N149" s="25">
        <v>9</v>
      </c>
      <c r="O149" s="25">
        <v>15</v>
      </c>
      <c r="Q149" s="7"/>
      <c r="R149" s="7"/>
    </row>
    <row r="150" spans="1:21" hidden="1" x14ac:dyDescent="0.25">
      <c r="A150" s="10"/>
      <c r="B150" s="11" t="s">
        <v>351</v>
      </c>
      <c r="C150" s="9" t="s">
        <v>354</v>
      </c>
      <c r="D150" s="39">
        <v>3360205</v>
      </c>
      <c r="H150" s="13" t="s">
        <v>17</v>
      </c>
      <c r="K150" s="25">
        <v>0</v>
      </c>
      <c r="L150" s="25">
        <v>0</v>
      </c>
      <c r="M150" s="25">
        <v>0</v>
      </c>
      <c r="N150" s="25">
        <v>0</v>
      </c>
      <c r="O150" s="25">
        <v>0</v>
      </c>
      <c r="Q150" s="7"/>
      <c r="R150" s="7"/>
    </row>
    <row r="151" spans="1:21" hidden="1" x14ac:dyDescent="0.25">
      <c r="A151" s="10"/>
      <c r="B151" s="11" t="s">
        <v>351</v>
      </c>
      <c r="C151" s="9" t="s">
        <v>355</v>
      </c>
      <c r="D151" s="39">
        <v>3360205</v>
      </c>
      <c r="E151" s="39">
        <v>3360205</v>
      </c>
      <c r="F151" s="39">
        <v>65</v>
      </c>
      <c r="G151" s="40"/>
      <c r="H151" s="40" t="s">
        <v>17</v>
      </c>
      <c r="I151" s="39"/>
      <c r="J151" s="39"/>
      <c r="K151" s="39">
        <v>3</v>
      </c>
      <c r="L151" s="39">
        <v>2</v>
      </c>
      <c r="M151" s="39">
        <v>2</v>
      </c>
      <c r="N151" s="39">
        <v>2</v>
      </c>
      <c r="O151" s="39">
        <v>9</v>
      </c>
      <c r="P151" s="41">
        <f>SUM(O148:O151)*1000</f>
        <v>218000</v>
      </c>
      <c r="Q151" s="7">
        <f>SUM(P151/76650)</f>
        <v>2.8440965427266796</v>
      </c>
      <c r="R151" s="7">
        <f>SUM(Q151*600)</f>
        <v>1706.4579256360078</v>
      </c>
      <c r="S151" s="30">
        <v>2.84</v>
      </c>
      <c r="T151" s="27">
        <v>1.83</v>
      </c>
      <c r="U151" s="28" t="s">
        <v>58</v>
      </c>
    </row>
    <row r="152" spans="1:21" hidden="1" x14ac:dyDescent="0.25">
      <c r="A152" s="10" t="s">
        <v>356</v>
      </c>
      <c r="B152" s="11" t="s">
        <v>357</v>
      </c>
      <c r="C152" s="11" t="s">
        <v>358</v>
      </c>
      <c r="D152" s="9">
        <v>3360500</v>
      </c>
      <c r="H152" s="13" t="s">
        <v>17</v>
      </c>
      <c r="K152" s="9">
        <v>1114</v>
      </c>
      <c r="L152" s="9">
        <v>1371</v>
      </c>
      <c r="M152" s="9">
        <v>1018</v>
      </c>
      <c r="N152" s="9">
        <v>766</v>
      </c>
      <c r="O152" s="9">
        <v>4269</v>
      </c>
      <c r="P152" s="6"/>
      <c r="Q152" s="7"/>
      <c r="R152" s="7"/>
    </row>
    <row r="153" spans="1:21" hidden="1" x14ac:dyDescent="0.25">
      <c r="A153" s="10" t="s">
        <v>359</v>
      </c>
      <c r="B153" s="11" t="s">
        <v>357</v>
      </c>
      <c r="C153" s="11" t="s">
        <v>358</v>
      </c>
      <c r="D153" s="9">
        <v>3360500</v>
      </c>
      <c r="H153" s="13" t="s">
        <v>17</v>
      </c>
      <c r="K153" s="9">
        <v>1175</v>
      </c>
      <c r="L153" s="9">
        <v>1418</v>
      </c>
      <c r="M153" s="9">
        <v>1240</v>
      </c>
      <c r="N153" s="9">
        <v>1081</v>
      </c>
      <c r="O153" s="9">
        <v>4914</v>
      </c>
      <c r="P153" s="6"/>
      <c r="Q153" s="7"/>
      <c r="R153" s="7"/>
    </row>
    <row r="154" spans="1:21" s="9" customFormat="1" hidden="1" x14ac:dyDescent="0.25">
      <c r="A154" s="10" t="s">
        <v>360</v>
      </c>
      <c r="B154" s="11" t="s">
        <v>357</v>
      </c>
      <c r="C154" s="11" t="s">
        <v>358</v>
      </c>
      <c r="D154" s="9">
        <v>3360500</v>
      </c>
      <c r="E154" s="9">
        <v>3360500</v>
      </c>
      <c r="F154" s="9">
        <v>66</v>
      </c>
      <c r="G154" s="13"/>
      <c r="H154" s="13" t="s">
        <v>17</v>
      </c>
      <c r="K154" s="9">
        <v>22</v>
      </c>
      <c r="L154" s="9">
        <v>31</v>
      </c>
      <c r="M154" s="9">
        <v>0</v>
      </c>
      <c r="N154" s="9">
        <v>3</v>
      </c>
      <c r="O154" s="9">
        <v>56</v>
      </c>
      <c r="P154" s="6">
        <f>SUM(O152:O154)*1000</f>
        <v>9239000</v>
      </c>
      <c r="Q154" s="7">
        <f t="shared" si="8"/>
        <v>120.53489889106328</v>
      </c>
      <c r="R154" s="7">
        <f t="shared" si="9"/>
        <v>72320.939334637966</v>
      </c>
      <c r="S154" s="6">
        <v>120.53</v>
      </c>
      <c r="T154" s="7">
        <v>120.21</v>
      </c>
      <c r="U154" s="20" t="s">
        <v>58</v>
      </c>
    </row>
    <row r="155" spans="1:21" hidden="1" x14ac:dyDescent="0.25">
      <c r="A155" s="10" t="s">
        <v>361</v>
      </c>
      <c r="B155" s="11" t="s">
        <v>362</v>
      </c>
      <c r="C155" s="11" t="s">
        <v>363</v>
      </c>
      <c r="D155" s="9">
        <v>3820018</v>
      </c>
      <c r="E155" s="9">
        <v>3820018</v>
      </c>
      <c r="F155" s="9">
        <v>68</v>
      </c>
      <c r="H155" s="13" t="s">
        <v>17</v>
      </c>
      <c r="K155" s="25">
        <v>18</v>
      </c>
      <c r="L155" s="25">
        <v>19</v>
      </c>
      <c r="M155" s="25">
        <v>18</v>
      </c>
      <c r="N155" s="25">
        <v>15</v>
      </c>
      <c r="O155" s="25">
        <v>76.650000000000006</v>
      </c>
      <c r="P155" s="6">
        <f>SUM(O155*1000)</f>
        <v>76650</v>
      </c>
      <c r="Q155" s="7">
        <f t="shared" si="8"/>
        <v>1</v>
      </c>
      <c r="R155" s="7">
        <f t="shared" si="9"/>
        <v>600</v>
      </c>
      <c r="S155" s="30">
        <v>1</v>
      </c>
      <c r="T155" s="27">
        <v>1</v>
      </c>
      <c r="U155" s="28" t="s">
        <v>62</v>
      </c>
    </row>
    <row r="156" spans="1:21" x14ac:dyDescent="0.25">
      <c r="A156" s="10" t="s">
        <v>364</v>
      </c>
      <c r="B156" s="11" t="s">
        <v>365</v>
      </c>
      <c r="C156" s="11" t="s">
        <v>366</v>
      </c>
      <c r="D156" s="42">
        <v>3890106</v>
      </c>
      <c r="E156" s="42">
        <v>3890106</v>
      </c>
      <c r="F156" s="9">
        <v>69</v>
      </c>
      <c r="H156" s="13" t="s">
        <v>110</v>
      </c>
      <c r="K156" s="9"/>
      <c r="L156" s="9"/>
      <c r="M156" s="9"/>
      <c r="N156" s="9"/>
      <c r="O156" s="9">
        <v>76.650000000000006</v>
      </c>
      <c r="P156" s="30">
        <v>76650</v>
      </c>
      <c r="Q156" s="7">
        <f t="shared" si="8"/>
        <v>1</v>
      </c>
      <c r="R156" s="7">
        <f t="shared" si="9"/>
        <v>600</v>
      </c>
      <c r="S156" s="30">
        <v>1</v>
      </c>
      <c r="T156" s="27">
        <v>1</v>
      </c>
      <c r="U156" s="28" t="s">
        <v>62</v>
      </c>
    </row>
    <row r="157" spans="1:21" hidden="1" x14ac:dyDescent="0.25">
      <c r="A157" s="10" t="s">
        <v>367</v>
      </c>
      <c r="B157" s="11" t="s">
        <v>368</v>
      </c>
      <c r="C157" s="25" t="s">
        <v>369</v>
      </c>
      <c r="D157" s="9">
        <v>3900020</v>
      </c>
      <c r="H157" s="13" t="s">
        <v>17</v>
      </c>
      <c r="K157" s="25">
        <v>115</v>
      </c>
      <c r="L157" s="25">
        <v>48</v>
      </c>
      <c r="M157" s="25">
        <v>96</v>
      </c>
      <c r="N157" s="25">
        <v>53</v>
      </c>
      <c r="O157" s="25">
        <v>312</v>
      </c>
      <c r="Q157" s="7"/>
      <c r="R157" s="7"/>
    </row>
    <row r="158" spans="1:21" hidden="1" x14ac:dyDescent="0.25">
      <c r="A158" s="10" t="s">
        <v>370</v>
      </c>
      <c r="B158" s="11" t="s">
        <v>368</v>
      </c>
      <c r="C158" s="25" t="s">
        <v>369</v>
      </c>
      <c r="D158" s="9">
        <v>3900020</v>
      </c>
      <c r="E158" s="9">
        <v>3900020</v>
      </c>
      <c r="F158" s="9">
        <v>70</v>
      </c>
      <c r="H158" s="13" t="s">
        <v>17</v>
      </c>
      <c r="K158" s="25">
        <v>111</v>
      </c>
      <c r="L158" s="25">
        <v>52</v>
      </c>
      <c r="M158" s="25">
        <v>85</v>
      </c>
      <c r="N158" s="25">
        <v>60</v>
      </c>
      <c r="O158" s="25">
        <v>308</v>
      </c>
      <c r="P158" s="30">
        <f>SUM(O157:O158)*1000</f>
        <v>620000</v>
      </c>
      <c r="Q158" s="7">
        <f t="shared" si="8"/>
        <v>8.088714938030007</v>
      </c>
      <c r="R158" s="7">
        <f t="shared" si="9"/>
        <v>4853.2289628180042</v>
      </c>
      <c r="S158" s="30">
        <v>8.09</v>
      </c>
      <c r="T158" s="27">
        <v>5.89</v>
      </c>
      <c r="U158" s="28" t="s">
        <v>58</v>
      </c>
    </row>
    <row r="159" spans="1:21" hidden="1" x14ac:dyDescent="0.25">
      <c r="A159" s="10" t="s">
        <v>371</v>
      </c>
      <c r="B159" s="25" t="s">
        <v>372</v>
      </c>
      <c r="C159" s="11" t="s">
        <v>373</v>
      </c>
      <c r="D159" s="9">
        <v>3900025</v>
      </c>
      <c r="H159" s="13" t="s">
        <v>17</v>
      </c>
      <c r="K159" s="25">
        <v>12</v>
      </c>
      <c r="L159" s="25">
        <v>158</v>
      </c>
      <c r="M159" s="25">
        <v>110</v>
      </c>
      <c r="N159" s="25">
        <v>0</v>
      </c>
      <c r="O159" s="25">
        <v>280</v>
      </c>
      <c r="Q159" s="7"/>
      <c r="R159" s="7"/>
    </row>
    <row r="160" spans="1:21" s="9" customFormat="1" hidden="1" x14ac:dyDescent="0.25">
      <c r="A160" s="10" t="s">
        <v>374</v>
      </c>
      <c r="B160" s="9" t="s">
        <v>375</v>
      </c>
      <c r="C160" s="11" t="s">
        <v>373</v>
      </c>
      <c r="D160" s="9">
        <v>3900025</v>
      </c>
      <c r="E160" s="9">
        <v>3900025</v>
      </c>
      <c r="F160" s="9">
        <v>71</v>
      </c>
      <c r="G160" s="13"/>
      <c r="H160" s="13" t="s">
        <v>17</v>
      </c>
      <c r="K160" s="9">
        <v>106</v>
      </c>
      <c r="L160" s="9">
        <v>263</v>
      </c>
      <c r="M160" s="9">
        <v>212</v>
      </c>
      <c r="N160" s="9">
        <v>74</v>
      </c>
      <c r="O160" s="9">
        <v>655</v>
      </c>
      <c r="P160" s="6">
        <f>SUM(O160-O159)*1000</f>
        <v>375000</v>
      </c>
      <c r="Q160" s="7">
        <f t="shared" si="8"/>
        <v>4.8923679060665366</v>
      </c>
      <c r="R160" s="7">
        <f t="shared" si="9"/>
        <v>2935.420743639922</v>
      </c>
      <c r="S160" s="6">
        <v>4.8899999999999997</v>
      </c>
      <c r="T160" s="7">
        <v>8.3699999999999992</v>
      </c>
      <c r="U160" s="28" t="s">
        <v>22</v>
      </c>
    </row>
    <row r="161" spans="1:21" hidden="1" x14ac:dyDescent="0.25">
      <c r="A161" s="31"/>
      <c r="B161" s="11" t="s">
        <v>376</v>
      </c>
      <c r="C161" s="11" t="s">
        <v>377</v>
      </c>
      <c r="D161" s="9">
        <v>3410030</v>
      </c>
      <c r="H161" s="13" t="s">
        <v>110</v>
      </c>
      <c r="K161" s="25">
        <v>177</v>
      </c>
      <c r="L161" s="25">
        <v>76</v>
      </c>
      <c r="M161" s="25">
        <v>132</v>
      </c>
      <c r="N161" s="25">
        <v>122</v>
      </c>
      <c r="O161" s="25">
        <v>507</v>
      </c>
      <c r="Q161" s="7"/>
      <c r="R161" s="7"/>
    </row>
    <row r="162" spans="1:21" hidden="1" x14ac:dyDescent="0.25">
      <c r="A162" s="31"/>
      <c r="B162" s="11" t="s">
        <v>376</v>
      </c>
      <c r="C162" s="11" t="s">
        <v>377</v>
      </c>
      <c r="D162" s="9">
        <v>3410030</v>
      </c>
      <c r="E162" s="9">
        <v>3410030</v>
      </c>
      <c r="F162" s="9">
        <v>72</v>
      </c>
      <c r="H162" s="13" t="s">
        <v>110</v>
      </c>
      <c r="K162" s="25">
        <v>236</v>
      </c>
      <c r="L162" s="25">
        <v>192</v>
      </c>
      <c r="M162" s="25">
        <v>48</v>
      </c>
      <c r="N162" s="25">
        <v>0</v>
      </c>
      <c r="O162" s="25">
        <v>476</v>
      </c>
      <c r="P162" s="30">
        <v>76650</v>
      </c>
      <c r="Q162" s="7">
        <f t="shared" si="8"/>
        <v>1</v>
      </c>
      <c r="R162" s="7">
        <f t="shared" si="9"/>
        <v>600</v>
      </c>
      <c r="S162" s="30">
        <v>1</v>
      </c>
      <c r="T162" s="27">
        <v>4.13</v>
      </c>
      <c r="U162" s="28" t="s">
        <v>22</v>
      </c>
    </row>
    <row r="163" spans="1:21" hidden="1" x14ac:dyDescent="0.25">
      <c r="A163" s="10" t="s">
        <v>378</v>
      </c>
      <c r="B163" s="25" t="s">
        <v>379</v>
      </c>
      <c r="C163" s="11" t="s">
        <v>380</v>
      </c>
      <c r="D163" s="9">
        <v>3900038</v>
      </c>
      <c r="H163" s="13" t="s">
        <v>17</v>
      </c>
      <c r="K163" s="25">
        <v>15</v>
      </c>
      <c r="L163" s="25">
        <v>154</v>
      </c>
      <c r="M163" s="25">
        <v>73</v>
      </c>
      <c r="N163" s="25">
        <v>0</v>
      </c>
      <c r="O163" s="25">
        <v>242</v>
      </c>
      <c r="Q163" s="7"/>
      <c r="R163" s="7"/>
    </row>
    <row r="164" spans="1:21" s="9" customFormat="1" hidden="1" x14ac:dyDescent="0.25">
      <c r="A164" s="10" t="s">
        <v>381</v>
      </c>
      <c r="B164" s="9" t="s">
        <v>382</v>
      </c>
      <c r="C164" s="11" t="s">
        <v>383</v>
      </c>
      <c r="D164" s="9">
        <v>3900038</v>
      </c>
      <c r="E164" s="9">
        <v>3900038</v>
      </c>
      <c r="F164" s="9">
        <v>73</v>
      </c>
      <c r="G164" s="13"/>
      <c r="H164" s="13" t="s">
        <v>17</v>
      </c>
      <c r="K164" s="9">
        <v>21</v>
      </c>
      <c r="L164" s="9">
        <v>162</v>
      </c>
      <c r="M164" s="9">
        <v>81</v>
      </c>
      <c r="N164" s="9">
        <v>9</v>
      </c>
      <c r="O164" s="9">
        <v>273</v>
      </c>
      <c r="P164" s="6">
        <v>76650</v>
      </c>
      <c r="Q164" s="7">
        <f t="shared" si="8"/>
        <v>1</v>
      </c>
      <c r="R164" s="7">
        <f t="shared" si="9"/>
        <v>600</v>
      </c>
      <c r="S164" s="6">
        <v>1</v>
      </c>
      <c r="T164" s="7">
        <v>2.5499999999999998</v>
      </c>
      <c r="U164" s="28" t="s">
        <v>22</v>
      </c>
    </row>
    <row r="165" spans="1:21" hidden="1" x14ac:dyDescent="0.25">
      <c r="A165" s="10" t="s">
        <v>384</v>
      </c>
      <c r="B165" s="11" t="s">
        <v>385</v>
      </c>
      <c r="C165" s="11" t="s">
        <v>386</v>
      </c>
      <c r="D165" s="9">
        <v>3900060</v>
      </c>
      <c r="H165" s="13" t="s">
        <v>17</v>
      </c>
      <c r="K165" s="25">
        <v>0</v>
      </c>
      <c r="L165" s="25">
        <v>0</v>
      </c>
      <c r="M165" s="25">
        <v>0</v>
      </c>
      <c r="N165" s="25">
        <v>62</v>
      </c>
      <c r="O165" s="25">
        <v>62</v>
      </c>
      <c r="Q165" s="7"/>
      <c r="R165" s="7"/>
    </row>
    <row r="166" spans="1:21" hidden="1" x14ac:dyDescent="0.25">
      <c r="A166" s="31"/>
      <c r="B166" s="11" t="s">
        <v>385</v>
      </c>
      <c r="C166" s="25" t="s">
        <v>387</v>
      </c>
      <c r="D166" s="9">
        <v>3900060</v>
      </c>
      <c r="E166" s="9">
        <v>3900060</v>
      </c>
      <c r="F166" s="9">
        <v>73</v>
      </c>
      <c r="H166" s="13" t="s">
        <v>17</v>
      </c>
      <c r="K166" s="25">
        <v>0</v>
      </c>
      <c r="L166" s="25">
        <v>1</v>
      </c>
      <c r="M166" s="25">
        <v>131</v>
      </c>
      <c r="N166" s="25">
        <v>125</v>
      </c>
      <c r="O166" s="25">
        <v>257</v>
      </c>
      <c r="P166" s="30">
        <f>SUM(O165:O166)*1000</f>
        <v>319000</v>
      </c>
      <c r="Q166" s="7">
        <f t="shared" si="8"/>
        <v>4.1617742987606006</v>
      </c>
      <c r="R166" s="7">
        <f t="shared" si="9"/>
        <v>2497.0645792563605</v>
      </c>
      <c r="S166" s="30">
        <v>4.16</v>
      </c>
      <c r="T166" s="27">
        <v>11.06</v>
      </c>
      <c r="U166" s="28" t="s">
        <v>22</v>
      </c>
    </row>
    <row r="167" spans="1:21" hidden="1" x14ac:dyDescent="0.25">
      <c r="A167" s="31"/>
      <c r="B167" s="25" t="s">
        <v>388</v>
      </c>
      <c r="C167" s="25" t="s">
        <v>389</v>
      </c>
      <c r="D167" s="9">
        <v>3970034</v>
      </c>
      <c r="H167" s="13" t="s">
        <v>17</v>
      </c>
      <c r="K167" s="25">
        <v>28</v>
      </c>
      <c r="L167" s="25">
        <v>67</v>
      </c>
      <c r="M167" s="25">
        <v>49</v>
      </c>
      <c r="N167" s="25">
        <v>20</v>
      </c>
      <c r="O167" s="25">
        <v>164</v>
      </c>
      <c r="P167" s="30">
        <v>164000</v>
      </c>
      <c r="Q167" s="7">
        <f t="shared" si="8"/>
        <v>2.1395955642530984</v>
      </c>
      <c r="R167" s="7">
        <f t="shared" si="9"/>
        <v>1283.757338551859</v>
      </c>
      <c r="S167" s="30">
        <v>2.14</v>
      </c>
      <c r="T167" s="27">
        <v>5.24</v>
      </c>
      <c r="U167" s="28" t="s">
        <v>22</v>
      </c>
    </row>
    <row r="168" spans="1:21" s="43" customFormat="1" hidden="1" x14ac:dyDescent="0.25">
      <c r="A168" s="31"/>
      <c r="B168" s="43" t="s">
        <v>388</v>
      </c>
      <c r="C168" s="43" t="s">
        <v>390</v>
      </c>
      <c r="D168" s="43">
        <v>3970034</v>
      </c>
      <c r="E168" s="43">
        <v>3970034</v>
      </c>
      <c r="F168" s="43">
        <v>74</v>
      </c>
      <c r="G168" s="44" t="s">
        <v>33</v>
      </c>
      <c r="H168" s="44" t="s">
        <v>17</v>
      </c>
      <c r="K168" s="43">
        <v>47</v>
      </c>
      <c r="L168" s="43">
        <v>593</v>
      </c>
      <c r="M168" s="43">
        <v>584</v>
      </c>
      <c r="N168" s="43">
        <v>0</v>
      </c>
      <c r="O168" s="43">
        <v>1224</v>
      </c>
      <c r="P168" s="6"/>
      <c r="Q168" s="7">
        <f t="shared" si="8"/>
        <v>0</v>
      </c>
      <c r="R168" s="7"/>
      <c r="S168" s="6"/>
      <c r="T168" s="7"/>
      <c r="U168" s="20"/>
    </row>
    <row r="169" spans="1:21" hidden="1" x14ac:dyDescent="0.25">
      <c r="A169" s="31"/>
      <c r="B169" s="25" t="s">
        <v>391</v>
      </c>
      <c r="C169" s="25" t="s">
        <v>392</v>
      </c>
      <c r="D169" s="9">
        <v>3970100</v>
      </c>
      <c r="H169" s="13" t="s">
        <v>17</v>
      </c>
      <c r="K169" s="25">
        <v>126</v>
      </c>
      <c r="L169" s="25">
        <v>904</v>
      </c>
      <c r="M169" s="25">
        <v>538</v>
      </c>
      <c r="N169" s="25">
        <v>118</v>
      </c>
      <c r="O169" s="25">
        <v>464</v>
      </c>
      <c r="P169" s="6"/>
      <c r="Q169" s="7"/>
      <c r="R169" s="7"/>
      <c r="S169" s="6"/>
      <c r="T169" s="7"/>
      <c r="U169" s="20"/>
    </row>
    <row r="170" spans="1:21" s="9" customFormat="1" hidden="1" x14ac:dyDescent="0.25">
      <c r="A170" s="31"/>
      <c r="B170" s="9" t="s">
        <v>393</v>
      </c>
      <c r="C170" s="11" t="s">
        <v>394</v>
      </c>
      <c r="D170" s="9">
        <v>3970100</v>
      </c>
      <c r="G170" s="13"/>
      <c r="H170" s="13" t="s">
        <v>17</v>
      </c>
      <c r="K170" s="9">
        <v>10</v>
      </c>
      <c r="L170" s="9">
        <v>787</v>
      </c>
      <c r="M170" s="9">
        <v>425</v>
      </c>
      <c r="N170" s="9">
        <v>0</v>
      </c>
      <c r="O170" s="9">
        <v>1222</v>
      </c>
      <c r="P170" s="6"/>
      <c r="Q170" s="7"/>
      <c r="R170" s="7"/>
      <c r="S170" s="6"/>
      <c r="T170" s="7"/>
      <c r="U170" s="20"/>
    </row>
    <row r="171" spans="1:21" hidden="1" x14ac:dyDescent="0.25">
      <c r="A171" s="31"/>
      <c r="B171" s="25" t="s">
        <v>395</v>
      </c>
      <c r="C171" s="25" t="s">
        <v>396</v>
      </c>
      <c r="D171" s="9">
        <v>3970100</v>
      </c>
      <c r="E171" s="9">
        <v>3970100</v>
      </c>
      <c r="F171" s="9">
        <v>75</v>
      </c>
      <c r="H171" s="13" t="s">
        <v>17</v>
      </c>
      <c r="K171" s="25">
        <v>250</v>
      </c>
      <c r="L171" s="25">
        <v>215</v>
      </c>
      <c r="M171" s="25">
        <v>181</v>
      </c>
      <c r="N171" s="25">
        <v>163</v>
      </c>
      <c r="O171" s="25">
        <v>809</v>
      </c>
      <c r="P171" s="30">
        <f>SUM(O169:O171)*1000</f>
        <v>2495000</v>
      </c>
      <c r="Q171" s="7">
        <f t="shared" si="8"/>
        <v>32.550554468362691</v>
      </c>
      <c r="R171" s="7">
        <f t="shared" si="9"/>
        <v>19530.332681017615</v>
      </c>
      <c r="S171" s="30">
        <v>32.549999999999997</v>
      </c>
      <c r="T171" s="27">
        <v>33.49</v>
      </c>
      <c r="U171" s="28" t="s">
        <v>22</v>
      </c>
    </row>
    <row r="172" spans="1:21" hidden="1" x14ac:dyDescent="0.25">
      <c r="A172" s="10" t="s">
        <v>397</v>
      </c>
      <c r="B172" s="11" t="s">
        <v>398</v>
      </c>
      <c r="C172" s="11" t="s">
        <v>399</v>
      </c>
      <c r="D172" s="9">
        <v>3970101</v>
      </c>
      <c r="E172" s="9">
        <v>3970101</v>
      </c>
      <c r="F172" s="9">
        <v>76</v>
      </c>
      <c r="H172" s="13" t="s">
        <v>17</v>
      </c>
      <c r="K172" s="25">
        <v>23</v>
      </c>
      <c r="L172" s="25">
        <v>216</v>
      </c>
      <c r="M172" s="25">
        <v>38</v>
      </c>
      <c r="N172" s="25">
        <v>5</v>
      </c>
      <c r="O172" s="25">
        <v>282</v>
      </c>
      <c r="P172" s="30">
        <v>282000</v>
      </c>
      <c r="Q172" s="7">
        <f t="shared" si="8"/>
        <v>3.679060665362035</v>
      </c>
      <c r="R172" s="7">
        <f t="shared" si="9"/>
        <v>2207.4363992172212</v>
      </c>
      <c r="S172" s="30">
        <v>3.68</v>
      </c>
      <c r="T172" s="27">
        <v>3.53</v>
      </c>
      <c r="U172" s="28" t="s">
        <v>58</v>
      </c>
    </row>
    <row r="173" spans="1:21" hidden="1" x14ac:dyDescent="0.25">
      <c r="A173" s="10" t="s">
        <v>400</v>
      </c>
      <c r="B173" s="11" t="s">
        <v>401</v>
      </c>
      <c r="C173" s="11" t="s">
        <v>402</v>
      </c>
      <c r="D173" s="9">
        <v>3971111</v>
      </c>
      <c r="E173" s="9">
        <v>3911111</v>
      </c>
      <c r="F173" s="9">
        <v>77</v>
      </c>
      <c r="H173" s="13" t="s">
        <v>17</v>
      </c>
      <c r="K173" s="25">
        <v>52</v>
      </c>
      <c r="L173" s="25">
        <v>30</v>
      </c>
      <c r="M173" s="25">
        <v>51</v>
      </c>
      <c r="N173" s="25">
        <v>101</v>
      </c>
      <c r="O173" s="25">
        <v>234</v>
      </c>
      <c r="P173" s="30">
        <v>234000</v>
      </c>
      <c r="Q173" s="7">
        <f t="shared" si="8"/>
        <v>3.0528375733855184</v>
      </c>
      <c r="R173" s="7">
        <f t="shared" si="9"/>
        <v>1831.7025440313112</v>
      </c>
      <c r="S173" s="30">
        <v>3.05</v>
      </c>
      <c r="T173" s="27">
        <v>1.58</v>
      </c>
      <c r="U173" s="28" t="s">
        <v>58</v>
      </c>
    </row>
    <row r="174" spans="1:21" hidden="1" x14ac:dyDescent="0.25">
      <c r="A174" s="10" t="s">
        <v>403</v>
      </c>
      <c r="B174" s="25" t="s">
        <v>404</v>
      </c>
      <c r="C174" s="11" t="s">
        <v>405</v>
      </c>
      <c r="D174" s="9">
        <v>3970117</v>
      </c>
      <c r="H174" s="13" t="s">
        <v>17</v>
      </c>
      <c r="K174" s="25">
        <v>543</v>
      </c>
      <c r="L174" s="25">
        <v>1164</v>
      </c>
      <c r="M174" s="25">
        <v>839</v>
      </c>
      <c r="N174" s="25">
        <v>362</v>
      </c>
      <c r="O174" s="25">
        <v>2908</v>
      </c>
      <c r="Q174" s="7"/>
      <c r="R174" s="7"/>
    </row>
    <row r="175" spans="1:21" s="9" customFormat="1" hidden="1" x14ac:dyDescent="0.25">
      <c r="A175" s="10" t="s">
        <v>406</v>
      </c>
      <c r="B175" s="9" t="s">
        <v>407</v>
      </c>
      <c r="C175" s="11" t="s">
        <v>405</v>
      </c>
      <c r="D175" s="9">
        <v>3970117</v>
      </c>
      <c r="E175" s="9">
        <v>3970117</v>
      </c>
      <c r="F175" s="9">
        <v>78</v>
      </c>
      <c r="G175" s="13"/>
      <c r="H175" s="13" t="s">
        <v>17</v>
      </c>
      <c r="K175" s="9">
        <v>58</v>
      </c>
      <c r="L175" s="9">
        <v>740</v>
      </c>
      <c r="M175" s="9">
        <v>357</v>
      </c>
      <c r="N175" s="9">
        <v>0</v>
      </c>
      <c r="O175" s="9">
        <v>1155</v>
      </c>
      <c r="P175" s="6">
        <f>SUM(O174-O175)*1000</f>
        <v>1753000</v>
      </c>
      <c r="Q175" s="7">
        <f t="shared" si="8"/>
        <v>22.870189171559034</v>
      </c>
      <c r="R175" s="7">
        <f t="shared" si="9"/>
        <v>13722.113502935421</v>
      </c>
      <c r="S175" s="6">
        <v>22.87</v>
      </c>
      <c r="T175" s="7">
        <v>41.67</v>
      </c>
      <c r="U175" s="28" t="s">
        <v>22</v>
      </c>
    </row>
    <row r="176" spans="1:21" hidden="1" x14ac:dyDescent="0.25">
      <c r="A176" s="10" t="s">
        <v>408</v>
      </c>
      <c r="B176" s="11" t="s">
        <v>409</v>
      </c>
      <c r="C176" s="11" t="s">
        <v>410</v>
      </c>
      <c r="D176" s="9">
        <v>3970145</v>
      </c>
      <c r="E176" s="9">
        <v>3970145</v>
      </c>
      <c r="F176" s="9">
        <v>79</v>
      </c>
      <c r="H176" s="13" t="s">
        <v>17</v>
      </c>
      <c r="K176" s="5">
        <v>2</v>
      </c>
      <c r="L176" s="5">
        <v>3</v>
      </c>
      <c r="M176" s="5">
        <v>2</v>
      </c>
      <c r="N176" s="5">
        <v>2</v>
      </c>
      <c r="O176" s="5">
        <v>76.650000000000006</v>
      </c>
      <c r="P176" s="6">
        <f>SUM(O176)*1000</f>
        <v>76650</v>
      </c>
      <c r="Q176" s="7">
        <f t="shared" si="8"/>
        <v>1</v>
      </c>
      <c r="R176" s="7">
        <f t="shared" si="9"/>
        <v>600</v>
      </c>
      <c r="S176" s="30">
        <v>1</v>
      </c>
      <c r="T176" s="27">
        <v>1</v>
      </c>
      <c r="U176" s="28" t="s">
        <v>62</v>
      </c>
    </row>
    <row r="177" spans="1:21" x14ac:dyDescent="0.25">
      <c r="A177" s="10" t="s">
        <v>411</v>
      </c>
      <c r="B177" s="11" t="s">
        <v>412</v>
      </c>
      <c r="C177" s="11" t="s">
        <v>413</v>
      </c>
      <c r="D177" s="9">
        <v>3970147</v>
      </c>
      <c r="E177" s="9">
        <v>3970147</v>
      </c>
      <c r="F177" s="9">
        <v>80</v>
      </c>
      <c r="H177" s="13" t="s">
        <v>17</v>
      </c>
      <c r="P177" s="6"/>
      <c r="Q177" s="7"/>
      <c r="R177" s="7"/>
      <c r="S177" s="30">
        <v>1</v>
      </c>
    </row>
    <row r="178" spans="1:21" hidden="1" x14ac:dyDescent="0.25">
      <c r="A178" s="10" t="s">
        <v>414</v>
      </c>
      <c r="B178" s="11" t="s">
        <v>415</v>
      </c>
      <c r="C178" s="25" t="s">
        <v>416</v>
      </c>
      <c r="D178" s="9">
        <v>3970139</v>
      </c>
      <c r="E178" s="25"/>
      <c r="H178" s="13" t="s">
        <v>17</v>
      </c>
      <c r="K178" s="25">
        <v>0</v>
      </c>
      <c r="L178" s="25">
        <v>3</v>
      </c>
      <c r="M178" s="25">
        <v>3</v>
      </c>
      <c r="N178" s="25">
        <v>3</v>
      </c>
      <c r="O178" s="25">
        <v>9</v>
      </c>
      <c r="P178" s="6"/>
      <c r="Q178" s="7"/>
      <c r="R178" s="7"/>
    </row>
    <row r="179" spans="1:21" hidden="1" x14ac:dyDescent="0.25">
      <c r="A179" s="10"/>
      <c r="B179" s="11" t="s">
        <v>415</v>
      </c>
      <c r="C179" s="25" t="s">
        <v>417</v>
      </c>
      <c r="D179" s="9">
        <v>3970139</v>
      </c>
      <c r="E179" s="9">
        <v>3070139</v>
      </c>
      <c r="F179" s="9">
        <v>81</v>
      </c>
      <c r="H179" s="13" t="s">
        <v>17</v>
      </c>
      <c r="K179" s="25">
        <v>2</v>
      </c>
      <c r="L179" s="25">
        <v>1</v>
      </c>
      <c r="M179" s="25">
        <v>0</v>
      </c>
      <c r="N179" s="25">
        <v>0</v>
      </c>
      <c r="O179" s="25">
        <v>76.650000000000006</v>
      </c>
      <c r="P179" s="6">
        <f t="shared" ref="P179" si="10">SUM(O179)*1000</f>
        <v>76650</v>
      </c>
      <c r="Q179" s="7">
        <f t="shared" si="8"/>
        <v>1</v>
      </c>
      <c r="R179" s="7">
        <f t="shared" si="9"/>
        <v>600</v>
      </c>
      <c r="S179" s="30">
        <v>1</v>
      </c>
      <c r="T179" s="27">
        <v>1</v>
      </c>
      <c r="U179" s="28" t="s">
        <v>62</v>
      </c>
    </row>
    <row r="180" spans="1:21" hidden="1" x14ac:dyDescent="0.25">
      <c r="A180" s="10" t="s">
        <v>418</v>
      </c>
      <c r="B180" s="11" t="s">
        <v>419</v>
      </c>
      <c r="C180" s="25" t="s">
        <v>420</v>
      </c>
      <c r="D180" s="39">
        <v>3970124</v>
      </c>
      <c r="H180" s="13" t="s">
        <v>17</v>
      </c>
      <c r="K180" s="25">
        <v>3</v>
      </c>
      <c r="L180" s="25">
        <v>4</v>
      </c>
      <c r="M180" s="25">
        <v>11</v>
      </c>
      <c r="N180" s="25">
        <v>11</v>
      </c>
      <c r="O180" s="25">
        <v>29</v>
      </c>
      <c r="Q180" s="7"/>
      <c r="R180" s="7"/>
    </row>
    <row r="181" spans="1:21" hidden="1" x14ac:dyDescent="0.25">
      <c r="A181" s="10" t="s">
        <v>421</v>
      </c>
      <c r="B181" s="11" t="s">
        <v>419</v>
      </c>
      <c r="C181" s="25" t="s">
        <v>420</v>
      </c>
      <c r="D181" s="39">
        <v>3970124</v>
      </c>
      <c r="H181" s="13" t="s">
        <v>17</v>
      </c>
      <c r="K181" s="25">
        <v>1</v>
      </c>
      <c r="L181" s="25">
        <v>116</v>
      </c>
      <c r="M181" s="25">
        <v>74</v>
      </c>
      <c r="N181" s="25">
        <v>0</v>
      </c>
      <c r="O181" s="25">
        <v>191</v>
      </c>
      <c r="Q181" s="7"/>
      <c r="R181" s="7"/>
    </row>
    <row r="182" spans="1:21" s="43" customFormat="1" hidden="1" x14ac:dyDescent="0.25">
      <c r="A182" s="10"/>
      <c r="B182" s="43" t="s">
        <v>422</v>
      </c>
      <c r="C182" s="43" t="s">
        <v>423</v>
      </c>
      <c r="D182" s="43">
        <v>3970124</v>
      </c>
      <c r="G182" s="44" t="s">
        <v>33</v>
      </c>
      <c r="H182" s="44" t="s">
        <v>17</v>
      </c>
      <c r="K182" s="43">
        <v>45</v>
      </c>
      <c r="L182" s="43">
        <v>54</v>
      </c>
      <c r="M182" s="43">
        <v>60</v>
      </c>
      <c r="N182" s="43">
        <v>0</v>
      </c>
      <c r="O182" s="43">
        <v>159</v>
      </c>
      <c r="P182" s="45"/>
      <c r="Q182" s="7"/>
      <c r="R182" s="7"/>
      <c r="S182" s="45"/>
      <c r="T182" s="46"/>
    </row>
    <row r="183" spans="1:21" hidden="1" x14ac:dyDescent="0.25">
      <c r="A183" s="10"/>
      <c r="B183" s="25" t="s">
        <v>424</v>
      </c>
      <c r="C183" s="25" t="s">
        <v>425</v>
      </c>
      <c r="D183" s="39">
        <v>3970124</v>
      </c>
      <c r="H183" s="13" t="s">
        <v>17</v>
      </c>
      <c r="K183" s="25">
        <v>3</v>
      </c>
      <c r="L183" s="25">
        <v>2</v>
      </c>
      <c r="M183" s="25">
        <v>2</v>
      </c>
      <c r="N183" s="25">
        <v>1</v>
      </c>
      <c r="O183" s="25">
        <v>8</v>
      </c>
      <c r="Q183" s="7"/>
      <c r="R183" s="7"/>
    </row>
    <row r="184" spans="1:21" hidden="1" x14ac:dyDescent="0.25">
      <c r="A184" s="10" t="s">
        <v>426</v>
      </c>
      <c r="B184" s="25" t="s">
        <v>427</v>
      </c>
      <c r="C184" s="25" t="s">
        <v>428</v>
      </c>
      <c r="D184" s="39">
        <v>3970124</v>
      </c>
      <c r="H184" s="13" t="s">
        <v>17</v>
      </c>
      <c r="K184" s="25">
        <v>0</v>
      </c>
      <c r="L184" s="25">
        <v>1</v>
      </c>
      <c r="M184" s="25">
        <v>0</v>
      </c>
      <c r="N184" s="25">
        <v>0</v>
      </c>
      <c r="O184" s="25">
        <v>1</v>
      </c>
      <c r="Q184" s="7"/>
      <c r="R184" s="7"/>
    </row>
    <row r="185" spans="1:21" hidden="1" x14ac:dyDescent="0.25">
      <c r="A185" s="10"/>
      <c r="B185" s="25" t="s">
        <v>427</v>
      </c>
      <c r="C185" s="25" t="s">
        <v>429</v>
      </c>
      <c r="D185" s="39">
        <v>3970124</v>
      </c>
      <c r="H185" s="13" t="s">
        <v>17</v>
      </c>
      <c r="K185" s="25">
        <v>6</v>
      </c>
      <c r="L185" s="25">
        <v>6</v>
      </c>
      <c r="M185" s="25">
        <v>4</v>
      </c>
      <c r="N185" s="25">
        <v>5</v>
      </c>
      <c r="O185" s="25">
        <v>21</v>
      </c>
      <c r="Q185" s="7"/>
      <c r="R185" s="7"/>
    </row>
    <row r="186" spans="1:21" hidden="1" x14ac:dyDescent="0.25">
      <c r="A186" s="10"/>
      <c r="B186" s="25" t="s">
        <v>430</v>
      </c>
      <c r="C186" s="25" t="s">
        <v>431</v>
      </c>
      <c r="D186" s="39">
        <v>3970124</v>
      </c>
      <c r="H186" s="13" t="s">
        <v>17</v>
      </c>
      <c r="K186" s="25">
        <v>32</v>
      </c>
      <c r="L186" s="25">
        <v>34</v>
      </c>
      <c r="M186" s="25">
        <v>42</v>
      </c>
      <c r="N186" s="25">
        <v>35</v>
      </c>
      <c r="O186" s="25">
        <v>143</v>
      </c>
      <c r="Q186" s="7"/>
      <c r="R186" s="7"/>
    </row>
    <row r="187" spans="1:21" hidden="1" x14ac:dyDescent="0.25">
      <c r="A187" s="10" t="s">
        <v>432</v>
      </c>
      <c r="B187" s="25" t="s">
        <v>430</v>
      </c>
      <c r="C187" s="25" t="s">
        <v>428</v>
      </c>
      <c r="D187" s="39">
        <v>3970124</v>
      </c>
      <c r="H187" s="13" t="s">
        <v>17</v>
      </c>
      <c r="K187" s="25">
        <v>2</v>
      </c>
      <c r="L187" s="25">
        <v>2</v>
      </c>
      <c r="M187" s="25">
        <v>1</v>
      </c>
      <c r="N187" s="25">
        <v>3</v>
      </c>
      <c r="O187" s="25">
        <v>8</v>
      </c>
      <c r="Q187" s="7"/>
      <c r="R187" s="7"/>
    </row>
    <row r="188" spans="1:21" hidden="1" x14ac:dyDescent="0.25">
      <c r="A188" s="10" t="s">
        <v>433</v>
      </c>
      <c r="B188" s="25" t="s">
        <v>430</v>
      </c>
      <c r="C188" s="25" t="s">
        <v>434</v>
      </c>
      <c r="D188" s="39">
        <v>3970124</v>
      </c>
      <c r="H188" s="13" t="s">
        <v>17</v>
      </c>
      <c r="K188" s="25">
        <v>1</v>
      </c>
      <c r="L188" s="25">
        <v>1</v>
      </c>
      <c r="M188" s="25">
        <v>2</v>
      </c>
      <c r="N188" s="25">
        <v>4</v>
      </c>
      <c r="O188" s="25">
        <v>8</v>
      </c>
      <c r="Q188" s="7"/>
      <c r="R188" s="7"/>
    </row>
    <row r="189" spans="1:21" hidden="1" x14ac:dyDescent="0.25">
      <c r="A189" s="10"/>
      <c r="B189" s="25" t="s">
        <v>435</v>
      </c>
      <c r="C189" s="25" t="s">
        <v>436</v>
      </c>
      <c r="D189" s="39">
        <v>3970124</v>
      </c>
      <c r="H189" s="13" t="s">
        <v>17</v>
      </c>
      <c r="K189" s="25">
        <v>36</v>
      </c>
      <c r="L189" s="25">
        <v>53</v>
      </c>
      <c r="M189" s="25">
        <v>41</v>
      </c>
      <c r="N189" s="25">
        <v>0</v>
      </c>
      <c r="O189" s="25">
        <v>130</v>
      </c>
      <c r="Q189" s="7"/>
      <c r="R189" s="7"/>
    </row>
    <row r="190" spans="1:21" hidden="1" x14ac:dyDescent="0.25">
      <c r="A190" s="10"/>
      <c r="B190" s="25" t="s">
        <v>437</v>
      </c>
      <c r="C190" s="25" t="s">
        <v>438</v>
      </c>
      <c r="D190" s="39">
        <v>3970124</v>
      </c>
      <c r="H190" s="13" t="s">
        <v>17</v>
      </c>
      <c r="K190" s="25">
        <v>0</v>
      </c>
      <c r="L190" s="25">
        <v>0</v>
      </c>
      <c r="M190" s="25">
        <v>1</v>
      </c>
      <c r="N190" s="25">
        <v>2</v>
      </c>
      <c r="O190" s="25">
        <v>3</v>
      </c>
      <c r="Q190" s="7"/>
      <c r="R190" s="7"/>
    </row>
    <row r="191" spans="1:21" hidden="1" x14ac:dyDescent="0.25">
      <c r="A191" s="10" t="s">
        <v>439</v>
      </c>
      <c r="B191" s="25" t="s">
        <v>437</v>
      </c>
      <c r="C191" s="25" t="s">
        <v>440</v>
      </c>
      <c r="D191" s="39">
        <v>3970124</v>
      </c>
      <c r="H191" s="13" t="s">
        <v>17</v>
      </c>
      <c r="K191" s="25">
        <v>2</v>
      </c>
      <c r="L191" s="25">
        <v>1</v>
      </c>
      <c r="M191" s="25">
        <v>2</v>
      </c>
      <c r="N191" s="25">
        <v>2</v>
      </c>
      <c r="O191" s="25">
        <v>7</v>
      </c>
      <c r="Q191" s="7"/>
      <c r="R191" s="7"/>
    </row>
    <row r="192" spans="1:21" hidden="1" x14ac:dyDescent="0.25">
      <c r="A192" s="10" t="s">
        <v>441</v>
      </c>
      <c r="B192" s="25" t="s">
        <v>437</v>
      </c>
      <c r="C192" s="25" t="s">
        <v>442</v>
      </c>
      <c r="D192" s="39">
        <v>3970124</v>
      </c>
      <c r="H192" s="13" t="s">
        <v>17</v>
      </c>
      <c r="K192" s="25">
        <v>1</v>
      </c>
      <c r="L192" s="25">
        <v>2</v>
      </c>
      <c r="M192" s="25">
        <v>2</v>
      </c>
      <c r="N192" s="25">
        <v>2</v>
      </c>
      <c r="O192" s="25">
        <v>7</v>
      </c>
      <c r="Q192" s="7"/>
      <c r="R192" s="7"/>
    </row>
    <row r="193" spans="1:20" hidden="1" x14ac:dyDescent="0.25">
      <c r="A193" s="10"/>
      <c r="B193" s="25" t="s">
        <v>437</v>
      </c>
      <c r="C193" s="25" t="s">
        <v>443</v>
      </c>
      <c r="D193" s="39">
        <v>3970124</v>
      </c>
      <c r="H193" s="13" t="s">
        <v>17</v>
      </c>
      <c r="K193" s="25">
        <v>1</v>
      </c>
      <c r="L193" s="25">
        <v>0</v>
      </c>
      <c r="M193" s="25">
        <v>0</v>
      </c>
      <c r="N193" s="25">
        <v>1</v>
      </c>
      <c r="O193" s="25">
        <v>2</v>
      </c>
      <c r="Q193" s="7"/>
      <c r="R193" s="7"/>
    </row>
    <row r="194" spans="1:20" hidden="1" x14ac:dyDescent="0.25">
      <c r="A194" s="10"/>
      <c r="B194" s="25" t="s">
        <v>437</v>
      </c>
      <c r="C194" s="25" t="s">
        <v>444</v>
      </c>
      <c r="D194" s="39">
        <v>3970124</v>
      </c>
      <c r="H194" s="13" t="s">
        <v>17</v>
      </c>
      <c r="K194" s="25">
        <v>0</v>
      </c>
      <c r="L194" s="25">
        <v>32</v>
      </c>
      <c r="M194" s="25">
        <v>37</v>
      </c>
      <c r="N194" s="25">
        <v>33</v>
      </c>
      <c r="O194" s="25">
        <v>102</v>
      </c>
      <c r="Q194" s="7"/>
      <c r="R194" s="7"/>
    </row>
    <row r="195" spans="1:20" s="43" customFormat="1" hidden="1" x14ac:dyDescent="0.25">
      <c r="A195" s="10"/>
      <c r="B195" s="43" t="s">
        <v>445</v>
      </c>
      <c r="C195" s="43" t="s">
        <v>446</v>
      </c>
      <c r="D195" s="39">
        <v>3970124</v>
      </c>
      <c r="G195" s="44" t="s">
        <v>33</v>
      </c>
      <c r="H195" s="44" t="s">
        <v>17</v>
      </c>
      <c r="K195" s="43">
        <v>24</v>
      </c>
      <c r="L195" s="43">
        <v>35</v>
      </c>
      <c r="M195" s="43">
        <v>29</v>
      </c>
      <c r="N195" s="43">
        <v>0</v>
      </c>
      <c r="O195" s="43">
        <v>88</v>
      </c>
      <c r="P195" s="45"/>
      <c r="Q195" s="7"/>
      <c r="R195" s="7"/>
      <c r="S195" s="45"/>
      <c r="T195" s="46"/>
    </row>
    <row r="196" spans="1:20" s="43" customFormat="1" hidden="1" x14ac:dyDescent="0.25">
      <c r="A196" s="10"/>
      <c r="B196" s="43" t="s">
        <v>447</v>
      </c>
      <c r="C196" s="43" t="s">
        <v>448</v>
      </c>
      <c r="D196" s="39">
        <v>3970124</v>
      </c>
      <c r="G196" s="44" t="s">
        <v>33</v>
      </c>
      <c r="H196" s="44" t="s">
        <v>17</v>
      </c>
      <c r="K196" s="43">
        <v>30</v>
      </c>
      <c r="L196" s="43">
        <v>43</v>
      </c>
      <c r="M196" s="43">
        <v>34</v>
      </c>
      <c r="N196" s="43">
        <v>0</v>
      </c>
      <c r="O196" s="43">
        <v>107</v>
      </c>
      <c r="P196" s="45"/>
      <c r="Q196" s="7"/>
      <c r="R196" s="7"/>
      <c r="S196" s="45"/>
      <c r="T196" s="46"/>
    </row>
    <row r="197" spans="1:20" hidden="1" x14ac:dyDescent="0.25">
      <c r="A197" s="10"/>
      <c r="B197" s="25" t="s">
        <v>437</v>
      </c>
      <c r="C197" s="25" t="s">
        <v>449</v>
      </c>
      <c r="D197" s="39">
        <v>3970124</v>
      </c>
      <c r="H197" s="13" t="s">
        <v>17</v>
      </c>
      <c r="K197" s="25">
        <v>12</v>
      </c>
      <c r="L197" s="25">
        <v>13</v>
      </c>
      <c r="M197" s="25">
        <v>11</v>
      </c>
      <c r="N197" s="25">
        <v>11</v>
      </c>
      <c r="O197" s="25">
        <v>47</v>
      </c>
      <c r="Q197" s="7"/>
      <c r="R197" s="7"/>
    </row>
    <row r="198" spans="1:20" hidden="1" x14ac:dyDescent="0.25">
      <c r="A198" s="10"/>
      <c r="B198" s="25" t="s">
        <v>437</v>
      </c>
      <c r="C198" s="25" t="s">
        <v>450</v>
      </c>
      <c r="D198" s="39">
        <v>3970124</v>
      </c>
      <c r="H198" s="13" t="s">
        <v>17</v>
      </c>
      <c r="K198" s="25">
        <v>55</v>
      </c>
      <c r="L198" s="25">
        <v>74</v>
      </c>
      <c r="M198" s="25">
        <v>45</v>
      </c>
      <c r="N198" s="25">
        <v>33</v>
      </c>
      <c r="O198" s="25">
        <v>207</v>
      </c>
      <c r="Q198" s="7"/>
      <c r="R198" s="7"/>
    </row>
    <row r="199" spans="1:20" hidden="1" x14ac:dyDescent="0.25">
      <c r="A199" s="10"/>
      <c r="B199" s="25" t="s">
        <v>437</v>
      </c>
      <c r="C199" s="25" t="s">
        <v>451</v>
      </c>
      <c r="D199" s="39">
        <v>3970124</v>
      </c>
      <c r="H199" s="13" t="s">
        <v>17</v>
      </c>
      <c r="K199" s="25">
        <v>94</v>
      </c>
      <c r="L199" s="25">
        <v>241</v>
      </c>
      <c r="M199" s="25">
        <v>221</v>
      </c>
      <c r="N199" s="25">
        <v>46</v>
      </c>
      <c r="O199" s="25">
        <v>602</v>
      </c>
      <c r="Q199" s="7"/>
      <c r="R199" s="7"/>
    </row>
    <row r="200" spans="1:20" hidden="1" x14ac:dyDescent="0.25">
      <c r="A200" s="10"/>
      <c r="B200" s="25" t="s">
        <v>437</v>
      </c>
      <c r="C200" s="25" t="s">
        <v>452</v>
      </c>
      <c r="D200" s="39">
        <v>3970124</v>
      </c>
      <c r="H200" s="13" t="s">
        <v>17</v>
      </c>
      <c r="K200" s="25">
        <v>66</v>
      </c>
      <c r="L200" s="25">
        <v>88</v>
      </c>
      <c r="M200" s="25">
        <v>21</v>
      </c>
      <c r="N200" s="25">
        <v>18</v>
      </c>
      <c r="O200" s="25">
        <v>193</v>
      </c>
      <c r="Q200" s="7"/>
      <c r="R200" s="7"/>
    </row>
    <row r="201" spans="1:20" hidden="1" x14ac:dyDescent="0.25">
      <c r="A201" s="10" t="s">
        <v>453</v>
      </c>
      <c r="B201" s="11" t="s">
        <v>454</v>
      </c>
      <c r="C201" s="25" t="s">
        <v>455</v>
      </c>
      <c r="D201" s="39">
        <v>3970124</v>
      </c>
      <c r="H201" s="13" t="s">
        <v>17</v>
      </c>
      <c r="K201" s="25">
        <v>0</v>
      </c>
      <c r="L201" s="25">
        <v>25</v>
      </c>
      <c r="M201" s="25">
        <v>8</v>
      </c>
      <c r="N201" s="25">
        <v>17</v>
      </c>
      <c r="O201" s="25">
        <v>50</v>
      </c>
      <c r="Q201" s="7"/>
      <c r="R201" s="7"/>
    </row>
    <row r="202" spans="1:20" hidden="1" x14ac:dyDescent="0.25">
      <c r="A202" s="10" t="s">
        <v>456</v>
      </c>
      <c r="B202" s="11" t="s">
        <v>454</v>
      </c>
      <c r="C202" s="25" t="s">
        <v>457</v>
      </c>
      <c r="D202" s="39">
        <v>3970124</v>
      </c>
      <c r="H202" s="13" t="s">
        <v>17</v>
      </c>
      <c r="K202" s="25">
        <v>53</v>
      </c>
      <c r="L202" s="25">
        <v>52</v>
      </c>
      <c r="M202" s="25">
        <v>42</v>
      </c>
      <c r="N202" s="25">
        <v>55</v>
      </c>
      <c r="O202" s="25">
        <v>202</v>
      </c>
      <c r="Q202" s="7"/>
      <c r="R202" s="7"/>
    </row>
    <row r="203" spans="1:20" hidden="1" x14ac:dyDescent="0.25">
      <c r="A203" s="10" t="s">
        <v>458</v>
      </c>
      <c r="B203" s="11" t="s">
        <v>454</v>
      </c>
      <c r="C203" s="25" t="s">
        <v>459</v>
      </c>
      <c r="D203" s="39">
        <v>3970124</v>
      </c>
      <c r="H203" s="13" t="s">
        <v>17</v>
      </c>
      <c r="K203" s="25">
        <v>36</v>
      </c>
      <c r="L203" s="25">
        <v>0</v>
      </c>
      <c r="M203" s="25">
        <v>0</v>
      </c>
      <c r="N203" s="25">
        <v>0</v>
      </c>
      <c r="O203" s="25">
        <v>36</v>
      </c>
      <c r="Q203" s="7"/>
      <c r="R203" s="7"/>
    </row>
    <row r="204" spans="1:20" hidden="1" x14ac:dyDescent="0.25">
      <c r="A204" s="31"/>
      <c r="B204" s="11" t="s">
        <v>454</v>
      </c>
      <c r="C204" s="25" t="s">
        <v>460</v>
      </c>
      <c r="D204" s="39">
        <v>3970124</v>
      </c>
      <c r="H204" s="13" t="s">
        <v>17</v>
      </c>
      <c r="K204" s="25">
        <v>42</v>
      </c>
      <c r="L204" s="25">
        <v>57</v>
      </c>
      <c r="M204" s="25">
        <v>0</v>
      </c>
      <c r="N204" s="25">
        <v>0</v>
      </c>
      <c r="O204" s="25">
        <v>99</v>
      </c>
      <c r="Q204" s="7"/>
      <c r="R204" s="7"/>
    </row>
    <row r="205" spans="1:20" hidden="1" x14ac:dyDescent="0.25">
      <c r="A205" s="31"/>
      <c r="B205" s="11" t="s">
        <v>454</v>
      </c>
      <c r="C205" s="25" t="s">
        <v>436</v>
      </c>
      <c r="D205" s="39">
        <v>3970124</v>
      </c>
      <c r="H205" s="13" t="s">
        <v>17</v>
      </c>
      <c r="K205" s="25">
        <v>0</v>
      </c>
      <c r="L205" s="25">
        <v>1</v>
      </c>
      <c r="M205" s="25">
        <v>0</v>
      </c>
      <c r="N205" s="25">
        <v>2</v>
      </c>
      <c r="O205" s="25">
        <v>3</v>
      </c>
      <c r="Q205" s="7"/>
      <c r="R205" s="7"/>
    </row>
    <row r="206" spans="1:20" hidden="1" x14ac:dyDescent="0.25">
      <c r="A206" s="31"/>
      <c r="B206" s="11" t="s">
        <v>454</v>
      </c>
      <c r="C206" s="25" t="s">
        <v>461</v>
      </c>
      <c r="D206" s="39">
        <v>3970124</v>
      </c>
      <c r="H206" s="13" t="s">
        <v>17</v>
      </c>
      <c r="K206" s="25">
        <v>44</v>
      </c>
      <c r="L206" s="25">
        <v>74</v>
      </c>
      <c r="M206" s="25">
        <v>332</v>
      </c>
      <c r="N206" s="25">
        <v>396</v>
      </c>
      <c r="O206" s="25">
        <v>846</v>
      </c>
      <c r="Q206" s="7"/>
      <c r="R206" s="7"/>
    </row>
    <row r="207" spans="1:20" s="43" customFormat="1" hidden="1" x14ac:dyDescent="0.25">
      <c r="A207" s="31"/>
      <c r="B207" s="43" t="s">
        <v>462</v>
      </c>
      <c r="C207" s="43" t="s">
        <v>463</v>
      </c>
      <c r="D207" s="39">
        <v>3970124</v>
      </c>
      <c r="G207" s="44" t="s">
        <v>33</v>
      </c>
      <c r="H207" s="44" t="s">
        <v>17</v>
      </c>
      <c r="K207" s="43">
        <v>8</v>
      </c>
      <c r="L207" s="43">
        <v>9</v>
      </c>
      <c r="M207" s="43">
        <v>9</v>
      </c>
      <c r="N207" s="43">
        <v>0</v>
      </c>
      <c r="O207" s="43">
        <v>26</v>
      </c>
      <c r="P207" s="45"/>
      <c r="Q207" s="7"/>
      <c r="R207" s="7"/>
      <c r="S207" s="45"/>
      <c r="T207" s="46"/>
    </row>
    <row r="208" spans="1:20" s="43" customFormat="1" hidden="1" x14ac:dyDescent="0.25">
      <c r="A208" s="31"/>
      <c r="B208" s="43" t="s">
        <v>464</v>
      </c>
      <c r="C208" s="43" t="s">
        <v>465</v>
      </c>
      <c r="D208" s="39">
        <v>3970124</v>
      </c>
      <c r="G208" s="44" t="s">
        <v>33</v>
      </c>
      <c r="H208" s="44" t="s">
        <v>17</v>
      </c>
      <c r="K208" s="43">
        <v>36</v>
      </c>
      <c r="L208" s="43">
        <v>31</v>
      </c>
      <c r="M208" s="43">
        <v>45</v>
      </c>
      <c r="N208" s="43">
        <v>0</v>
      </c>
      <c r="O208" s="43">
        <v>112</v>
      </c>
      <c r="P208" s="45"/>
      <c r="Q208" s="7"/>
      <c r="R208" s="7"/>
      <c r="S208" s="45"/>
      <c r="T208" s="46"/>
    </row>
    <row r="209" spans="1:18" hidden="1" x14ac:dyDescent="0.25">
      <c r="A209" s="31"/>
      <c r="B209" s="25" t="s">
        <v>466</v>
      </c>
      <c r="C209" s="25" t="s">
        <v>467</v>
      </c>
      <c r="D209" s="39">
        <v>3970124</v>
      </c>
      <c r="H209" s="13" t="s">
        <v>17</v>
      </c>
      <c r="K209" s="25">
        <v>0</v>
      </c>
      <c r="L209" s="25">
        <v>0</v>
      </c>
      <c r="M209" s="25">
        <v>0</v>
      </c>
      <c r="N209" s="25">
        <v>0</v>
      </c>
      <c r="O209" s="25">
        <v>0</v>
      </c>
      <c r="Q209" s="7"/>
      <c r="R209" s="7"/>
    </row>
    <row r="210" spans="1:18" hidden="1" x14ac:dyDescent="0.25">
      <c r="A210" s="31"/>
      <c r="B210" s="25" t="s">
        <v>466</v>
      </c>
      <c r="C210" s="25" t="s">
        <v>436</v>
      </c>
      <c r="D210" s="39">
        <v>3970124</v>
      </c>
      <c r="H210" s="13" t="s">
        <v>17</v>
      </c>
      <c r="K210" s="25">
        <v>0</v>
      </c>
      <c r="L210" s="25">
        <v>0</v>
      </c>
      <c r="M210" s="25">
        <v>0</v>
      </c>
      <c r="N210" s="25">
        <v>0</v>
      </c>
      <c r="O210" s="25">
        <v>0</v>
      </c>
      <c r="Q210" s="7"/>
      <c r="R210" s="7"/>
    </row>
    <row r="211" spans="1:18" hidden="1" x14ac:dyDescent="0.25">
      <c r="A211" s="31"/>
      <c r="B211" s="25" t="s">
        <v>468</v>
      </c>
      <c r="C211" s="25" t="s">
        <v>469</v>
      </c>
      <c r="D211" s="39">
        <v>3970124</v>
      </c>
      <c r="H211" s="13" t="s">
        <v>17</v>
      </c>
      <c r="K211" s="25">
        <v>0</v>
      </c>
      <c r="L211" s="25">
        <v>1</v>
      </c>
      <c r="M211" s="25">
        <v>0</v>
      </c>
      <c r="N211" s="25">
        <v>1</v>
      </c>
      <c r="O211" s="25">
        <v>2</v>
      </c>
      <c r="Q211" s="7"/>
      <c r="R211" s="7"/>
    </row>
    <row r="212" spans="1:18" hidden="1" x14ac:dyDescent="0.25">
      <c r="A212" s="31"/>
      <c r="B212" s="25" t="s">
        <v>468</v>
      </c>
      <c r="C212" s="25" t="s">
        <v>470</v>
      </c>
      <c r="D212" s="39">
        <v>3970124</v>
      </c>
      <c r="H212" s="13" t="s">
        <v>17</v>
      </c>
      <c r="K212" s="25">
        <v>2</v>
      </c>
      <c r="L212" s="25">
        <v>0</v>
      </c>
      <c r="M212" s="25">
        <v>0</v>
      </c>
      <c r="N212" s="25">
        <v>0</v>
      </c>
      <c r="O212" s="25">
        <v>2</v>
      </c>
      <c r="Q212" s="7"/>
      <c r="R212" s="7"/>
    </row>
    <row r="213" spans="1:18" hidden="1" x14ac:dyDescent="0.25">
      <c r="A213" s="31"/>
      <c r="B213" s="25" t="s">
        <v>471</v>
      </c>
      <c r="C213" s="25" t="s">
        <v>472</v>
      </c>
      <c r="D213" s="39">
        <v>3970124</v>
      </c>
      <c r="H213" s="13" t="s">
        <v>17</v>
      </c>
      <c r="K213" s="25">
        <v>0</v>
      </c>
      <c r="L213" s="25">
        <v>0</v>
      </c>
      <c r="M213" s="25">
        <v>0</v>
      </c>
      <c r="N213" s="25">
        <v>0</v>
      </c>
      <c r="O213" s="25">
        <v>0</v>
      </c>
      <c r="Q213" s="7"/>
      <c r="R213" s="7"/>
    </row>
    <row r="214" spans="1:18" hidden="1" x14ac:dyDescent="0.25">
      <c r="A214" s="31"/>
      <c r="B214" s="25" t="s">
        <v>471</v>
      </c>
      <c r="C214" s="25" t="s">
        <v>436</v>
      </c>
      <c r="D214" s="39">
        <v>3970124</v>
      </c>
      <c r="H214" s="13" t="s">
        <v>17</v>
      </c>
      <c r="K214" s="25">
        <v>0</v>
      </c>
      <c r="L214" s="25">
        <v>0</v>
      </c>
      <c r="M214" s="25">
        <v>0</v>
      </c>
      <c r="N214" s="25">
        <v>0</v>
      </c>
      <c r="O214" s="25">
        <v>0</v>
      </c>
      <c r="Q214" s="7"/>
      <c r="R214" s="7"/>
    </row>
    <row r="215" spans="1:18" hidden="1" x14ac:dyDescent="0.25">
      <c r="A215" s="31"/>
      <c r="B215" s="25" t="s">
        <v>473</v>
      </c>
      <c r="C215" s="25" t="s">
        <v>474</v>
      </c>
      <c r="D215" s="39">
        <v>3970124</v>
      </c>
      <c r="H215" s="13" t="s">
        <v>17</v>
      </c>
      <c r="K215" s="25">
        <v>0</v>
      </c>
      <c r="L215" s="25">
        <v>2</v>
      </c>
      <c r="M215" s="25">
        <v>2</v>
      </c>
      <c r="N215" s="25">
        <v>0</v>
      </c>
      <c r="O215" s="25">
        <v>4</v>
      </c>
      <c r="Q215" s="7"/>
      <c r="R215" s="7"/>
    </row>
    <row r="216" spans="1:18" hidden="1" x14ac:dyDescent="0.25">
      <c r="A216" s="31"/>
      <c r="B216" s="25" t="s">
        <v>475</v>
      </c>
      <c r="C216" s="25" t="s">
        <v>476</v>
      </c>
      <c r="D216" s="39">
        <v>3970124</v>
      </c>
      <c r="H216" s="13" t="s">
        <v>17</v>
      </c>
      <c r="K216" s="25">
        <v>1</v>
      </c>
      <c r="L216" s="25">
        <v>1</v>
      </c>
      <c r="M216" s="25">
        <v>3</v>
      </c>
      <c r="N216" s="25">
        <v>8</v>
      </c>
      <c r="O216" s="25">
        <v>13</v>
      </c>
      <c r="Q216" s="7"/>
      <c r="R216" s="7"/>
    </row>
    <row r="217" spans="1:18" hidden="1" x14ac:dyDescent="0.25">
      <c r="A217" s="31"/>
      <c r="B217" s="25" t="s">
        <v>475</v>
      </c>
      <c r="C217" s="25" t="s">
        <v>436</v>
      </c>
      <c r="D217" s="39">
        <v>3970124</v>
      </c>
      <c r="H217" s="13" t="s">
        <v>17</v>
      </c>
      <c r="K217" s="25">
        <v>0</v>
      </c>
      <c r="L217" s="25">
        <v>0</v>
      </c>
      <c r="M217" s="25">
        <v>0</v>
      </c>
      <c r="N217" s="25">
        <v>0</v>
      </c>
      <c r="O217" s="25">
        <v>0</v>
      </c>
      <c r="Q217" s="7"/>
      <c r="R217" s="7"/>
    </row>
    <row r="218" spans="1:18" hidden="1" x14ac:dyDescent="0.25">
      <c r="A218" s="31"/>
      <c r="B218" s="25" t="s">
        <v>475</v>
      </c>
      <c r="C218" s="25" t="s">
        <v>436</v>
      </c>
      <c r="D218" s="39">
        <v>3970124</v>
      </c>
      <c r="H218" s="13" t="s">
        <v>17</v>
      </c>
      <c r="K218" s="25">
        <v>11</v>
      </c>
      <c r="L218" s="25">
        <v>18</v>
      </c>
      <c r="M218" s="25">
        <v>14</v>
      </c>
      <c r="N218" s="25">
        <v>14</v>
      </c>
      <c r="O218" s="25">
        <v>57</v>
      </c>
      <c r="Q218" s="7"/>
      <c r="R218" s="7"/>
    </row>
    <row r="219" spans="1:18" hidden="1" x14ac:dyDescent="0.25">
      <c r="A219" s="31"/>
      <c r="B219" s="25" t="s">
        <v>475</v>
      </c>
      <c r="C219" s="25" t="s">
        <v>477</v>
      </c>
      <c r="D219" s="39">
        <v>3970124</v>
      </c>
      <c r="H219" s="13" t="s">
        <v>17</v>
      </c>
      <c r="K219" s="25">
        <v>19</v>
      </c>
      <c r="L219" s="25">
        <v>18</v>
      </c>
      <c r="M219" s="25">
        <v>15</v>
      </c>
      <c r="N219" s="25">
        <v>12</v>
      </c>
      <c r="O219" s="25">
        <v>64</v>
      </c>
      <c r="Q219" s="7"/>
      <c r="R219" s="7"/>
    </row>
    <row r="220" spans="1:18" hidden="1" x14ac:dyDescent="0.25">
      <c r="A220" s="31"/>
      <c r="B220" s="25" t="s">
        <v>478</v>
      </c>
      <c r="C220" s="25" t="s">
        <v>436</v>
      </c>
      <c r="D220" s="39">
        <v>3970124</v>
      </c>
      <c r="H220" s="13" t="s">
        <v>17</v>
      </c>
      <c r="K220" s="25">
        <v>0</v>
      </c>
      <c r="L220" s="25">
        <v>0</v>
      </c>
      <c r="M220" s="25">
        <v>0</v>
      </c>
      <c r="N220" s="25">
        <v>0</v>
      </c>
      <c r="O220" s="25">
        <v>0</v>
      </c>
      <c r="Q220" s="7"/>
      <c r="R220" s="7"/>
    </row>
    <row r="221" spans="1:18" hidden="1" x14ac:dyDescent="0.25">
      <c r="A221" s="31"/>
      <c r="B221" s="25" t="s">
        <v>479</v>
      </c>
      <c r="C221" s="25" t="s">
        <v>469</v>
      </c>
      <c r="D221" s="39">
        <v>3970124</v>
      </c>
      <c r="H221" s="13" t="s">
        <v>17</v>
      </c>
      <c r="K221" s="25">
        <v>0</v>
      </c>
      <c r="L221" s="25">
        <v>0</v>
      </c>
      <c r="M221" s="25">
        <v>0</v>
      </c>
      <c r="N221" s="25">
        <v>0</v>
      </c>
      <c r="O221" s="25">
        <v>0</v>
      </c>
      <c r="Q221" s="7"/>
      <c r="R221" s="7"/>
    </row>
    <row r="222" spans="1:18" hidden="1" x14ac:dyDescent="0.25">
      <c r="A222" s="31"/>
      <c r="B222" s="25" t="s">
        <v>480</v>
      </c>
      <c r="C222" s="25" t="s">
        <v>481</v>
      </c>
      <c r="D222" s="39">
        <v>3970124</v>
      </c>
      <c r="H222" s="13" t="s">
        <v>17</v>
      </c>
      <c r="K222" s="25">
        <v>0</v>
      </c>
      <c r="L222" s="25">
        <v>46</v>
      </c>
      <c r="M222" s="25">
        <v>36</v>
      </c>
      <c r="N222" s="25">
        <v>20</v>
      </c>
      <c r="O222" s="25">
        <v>102</v>
      </c>
      <c r="Q222" s="7"/>
      <c r="R222" s="7"/>
    </row>
    <row r="223" spans="1:18" hidden="1" x14ac:dyDescent="0.25">
      <c r="A223" s="31"/>
      <c r="B223" s="25" t="s">
        <v>480</v>
      </c>
      <c r="C223" s="25" t="s">
        <v>482</v>
      </c>
      <c r="D223" s="39">
        <v>3970124</v>
      </c>
      <c r="H223" s="13" t="s">
        <v>17</v>
      </c>
      <c r="K223" s="25">
        <v>0</v>
      </c>
      <c r="L223" s="25">
        <v>0</v>
      </c>
      <c r="M223" s="25">
        <v>1</v>
      </c>
      <c r="N223" s="25">
        <v>0</v>
      </c>
      <c r="O223" s="25">
        <v>1</v>
      </c>
      <c r="Q223" s="7"/>
      <c r="R223" s="7"/>
    </row>
    <row r="224" spans="1:18" hidden="1" x14ac:dyDescent="0.25">
      <c r="A224" s="31"/>
      <c r="B224" s="25" t="s">
        <v>483</v>
      </c>
      <c r="C224" s="25" t="s">
        <v>484</v>
      </c>
      <c r="D224" s="39">
        <v>3970124</v>
      </c>
      <c r="H224" s="13" t="s">
        <v>17</v>
      </c>
      <c r="K224" s="25">
        <v>11</v>
      </c>
      <c r="L224" s="25">
        <v>13</v>
      </c>
      <c r="M224" s="25">
        <v>13</v>
      </c>
      <c r="N224" s="25">
        <v>9</v>
      </c>
      <c r="O224" s="25">
        <v>46</v>
      </c>
      <c r="Q224" s="7"/>
      <c r="R224" s="7"/>
    </row>
    <row r="225" spans="1:21" hidden="1" x14ac:dyDescent="0.25">
      <c r="A225" s="31"/>
      <c r="B225" s="25" t="s">
        <v>485</v>
      </c>
      <c r="C225" s="25" t="s">
        <v>486</v>
      </c>
      <c r="D225" s="39">
        <v>3970124</v>
      </c>
      <c r="H225" s="13" t="s">
        <v>17</v>
      </c>
      <c r="K225" s="25">
        <v>73</v>
      </c>
      <c r="L225" s="25">
        <v>26</v>
      </c>
      <c r="M225" s="25">
        <v>43</v>
      </c>
      <c r="N225" s="25">
        <v>5</v>
      </c>
      <c r="O225" s="25">
        <v>147</v>
      </c>
      <c r="Q225" s="7"/>
      <c r="R225" s="7"/>
    </row>
    <row r="226" spans="1:21" hidden="1" x14ac:dyDescent="0.25">
      <c r="A226" s="31"/>
      <c r="B226" s="25" t="s">
        <v>480</v>
      </c>
      <c r="C226" s="25" t="s">
        <v>482</v>
      </c>
      <c r="D226" s="39">
        <v>3970124</v>
      </c>
      <c r="H226" s="13" t="s">
        <v>17</v>
      </c>
      <c r="K226" s="25">
        <v>0</v>
      </c>
      <c r="L226" s="25">
        <v>0</v>
      </c>
      <c r="M226" s="25">
        <v>1</v>
      </c>
      <c r="N226" s="25">
        <v>0</v>
      </c>
      <c r="O226" s="25">
        <v>1</v>
      </c>
      <c r="Q226" s="7"/>
      <c r="R226" s="7"/>
    </row>
    <row r="227" spans="1:21" hidden="1" x14ac:dyDescent="0.25">
      <c r="A227" s="31"/>
      <c r="B227" s="25" t="s">
        <v>478</v>
      </c>
      <c r="C227" s="25" t="s">
        <v>487</v>
      </c>
      <c r="D227" s="39">
        <v>3970124</v>
      </c>
      <c r="E227" s="39">
        <v>3970124</v>
      </c>
      <c r="F227" s="39">
        <v>82</v>
      </c>
      <c r="G227" s="40"/>
      <c r="H227" s="40" t="s">
        <v>17</v>
      </c>
      <c r="I227" s="39"/>
      <c r="J227" s="39"/>
      <c r="K227" s="39">
        <v>0</v>
      </c>
      <c r="L227" s="39">
        <v>0</v>
      </c>
      <c r="M227" s="39">
        <v>1</v>
      </c>
      <c r="N227" s="39">
        <v>0</v>
      </c>
      <c r="O227" s="39">
        <v>1</v>
      </c>
      <c r="P227" s="41">
        <f>SUM(O180+O181+O183+O184+O185+O186+O187+O188+O189+O190+O191+O192+O193+O194+O197+O198+O199+O200+O201+O202+O203+O204+O205+O206+O209+O210+O211+O212+O213+O214+O215+O216+O217+O218+O219+O220+O221+O222+O223+O224+O225+O226+O228)*1000</f>
        <v>3460650</v>
      </c>
      <c r="Q227" s="7">
        <f t="shared" ref="Q227" si="11">SUM(P227/76650)</f>
        <v>45.148727984344426</v>
      </c>
      <c r="R227" s="7">
        <f t="shared" ref="R227:R249" si="12">SUM(Q227*600)</f>
        <v>27089.236790606654</v>
      </c>
      <c r="S227" s="30">
        <v>45.15</v>
      </c>
      <c r="T227" s="27">
        <v>35.99</v>
      </c>
      <c r="U227" s="28" t="s">
        <v>58</v>
      </c>
    </row>
    <row r="228" spans="1:21" x14ac:dyDescent="0.25">
      <c r="A228" s="10" t="s">
        <v>488</v>
      </c>
      <c r="B228" s="11" t="s">
        <v>454</v>
      </c>
      <c r="C228" s="11" t="s">
        <v>489</v>
      </c>
      <c r="D228" s="9">
        <v>3970124</v>
      </c>
      <c r="F228" s="9">
        <v>85</v>
      </c>
      <c r="H228" s="13" t="s">
        <v>17</v>
      </c>
      <c r="K228" s="25"/>
      <c r="L228" s="25"/>
      <c r="M228" s="25"/>
      <c r="N228" s="25"/>
      <c r="O228" s="25">
        <v>76.650000000000006</v>
      </c>
      <c r="Q228" s="47"/>
      <c r="R228" s="7"/>
      <c r="U228" s="28"/>
    </row>
    <row r="229" spans="1:21" hidden="1" x14ac:dyDescent="0.25">
      <c r="A229" s="10" t="s">
        <v>490</v>
      </c>
      <c r="B229" s="9" t="s">
        <v>491</v>
      </c>
      <c r="C229" s="9" t="s">
        <v>492</v>
      </c>
      <c r="D229" s="9">
        <v>3970002</v>
      </c>
      <c r="E229" s="9">
        <v>3970002</v>
      </c>
      <c r="F229" s="9">
        <v>83</v>
      </c>
      <c r="H229" s="13" t="s">
        <v>17</v>
      </c>
      <c r="K229" s="25">
        <v>8</v>
      </c>
      <c r="L229" s="25">
        <v>8</v>
      </c>
      <c r="M229" s="25">
        <v>7</v>
      </c>
      <c r="N229" s="25">
        <v>8</v>
      </c>
      <c r="O229" s="25">
        <v>76.650000000000006</v>
      </c>
      <c r="P229" s="41">
        <f>SUM(O229*1000)</f>
        <v>76650</v>
      </c>
      <c r="Q229" s="47">
        <v>1</v>
      </c>
      <c r="R229" s="7">
        <f t="shared" si="12"/>
        <v>600</v>
      </c>
      <c r="S229" s="30">
        <v>1</v>
      </c>
      <c r="T229" s="27">
        <v>1</v>
      </c>
      <c r="U229" s="28" t="s">
        <v>62</v>
      </c>
    </row>
    <row r="230" spans="1:21" hidden="1" x14ac:dyDescent="0.25">
      <c r="A230" s="31"/>
      <c r="B230" s="25" t="s">
        <v>493</v>
      </c>
      <c r="C230" s="25" t="s">
        <v>494</v>
      </c>
      <c r="D230" s="9">
        <v>3970055</v>
      </c>
      <c r="H230" s="13" t="s">
        <v>17</v>
      </c>
      <c r="K230" s="25">
        <v>10</v>
      </c>
      <c r="L230" s="25">
        <v>17</v>
      </c>
      <c r="M230" s="25">
        <v>15</v>
      </c>
      <c r="N230" s="25">
        <v>12</v>
      </c>
      <c r="O230" s="25">
        <v>54</v>
      </c>
      <c r="Q230" s="47"/>
      <c r="R230" s="7"/>
      <c r="U230" s="28"/>
    </row>
    <row r="231" spans="1:21" hidden="1" x14ac:dyDescent="0.25">
      <c r="A231" s="31"/>
      <c r="B231" s="25" t="s">
        <v>495</v>
      </c>
      <c r="C231" s="25" t="s">
        <v>494</v>
      </c>
      <c r="D231" s="9">
        <v>3970055</v>
      </c>
      <c r="H231" s="13" t="s">
        <v>17</v>
      </c>
      <c r="K231" s="25">
        <v>60</v>
      </c>
      <c r="L231" s="25">
        <v>124</v>
      </c>
      <c r="M231" s="25">
        <v>62</v>
      </c>
      <c r="N231" s="25">
        <v>0</v>
      </c>
      <c r="O231" s="25">
        <v>246</v>
      </c>
      <c r="Q231" s="47"/>
      <c r="R231" s="7"/>
      <c r="U231" s="28" t="s">
        <v>62</v>
      </c>
    </row>
    <row r="232" spans="1:21" hidden="1" x14ac:dyDescent="0.25">
      <c r="A232" s="31"/>
      <c r="B232" s="25" t="s">
        <v>496</v>
      </c>
      <c r="C232" s="25" t="s">
        <v>494</v>
      </c>
      <c r="D232" s="48">
        <v>3970055</v>
      </c>
      <c r="E232" s="9">
        <v>3970055</v>
      </c>
      <c r="F232" s="9">
        <v>84</v>
      </c>
      <c r="H232" s="13" t="s">
        <v>17</v>
      </c>
      <c r="K232" s="25">
        <v>699</v>
      </c>
      <c r="L232" s="25">
        <v>839</v>
      </c>
      <c r="M232" s="25">
        <v>681</v>
      </c>
      <c r="N232" s="25">
        <v>498</v>
      </c>
      <c r="O232" s="25">
        <v>2717</v>
      </c>
      <c r="P232" s="30">
        <f>SUM(O232-O231+O230)*1000</f>
        <v>2525000</v>
      </c>
      <c r="Q232" s="47">
        <f>SUM(P232/76650)</f>
        <v>32.94194390084801</v>
      </c>
      <c r="R232" s="7">
        <f t="shared" si="12"/>
        <v>19765.166340508807</v>
      </c>
      <c r="S232" s="30">
        <v>32.94</v>
      </c>
      <c r="T232" s="27">
        <v>30.05</v>
      </c>
      <c r="U232" s="28" t="s">
        <v>58</v>
      </c>
    </row>
    <row r="233" spans="1:21" hidden="1" x14ac:dyDescent="0.25">
      <c r="A233" s="31"/>
      <c r="B233" s="25" t="s">
        <v>497</v>
      </c>
      <c r="C233" s="25" t="s">
        <v>498</v>
      </c>
      <c r="D233" s="25">
        <v>4370010</v>
      </c>
      <c r="E233" s="25">
        <v>4370010</v>
      </c>
      <c r="F233" s="9">
        <v>86</v>
      </c>
      <c r="H233" s="13" t="s">
        <v>17</v>
      </c>
      <c r="K233" s="25">
        <v>44</v>
      </c>
      <c r="L233" s="25">
        <v>69</v>
      </c>
      <c r="M233" s="25">
        <v>35</v>
      </c>
      <c r="N233" s="25">
        <v>19</v>
      </c>
      <c r="O233" s="25">
        <v>167</v>
      </c>
      <c r="P233" s="30">
        <f t="shared" ref="P233:P238" si="13">SUM(O233)*1000</f>
        <v>167000</v>
      </c>
      <c r="Q233" s="47">
        <f t="shared" ref="Q233:Q294" si="14">SUM(P233/76650)</f>
        <v>2.1787345075016309</v>
      </c>
      <c r="R233" s="7">
        <f t="shared" si="12"/>
        <v>1307.2407045009786</v>
      </c>
      <c r="S233" s="30">
        <v>2.1800000000000002</v>
      </c>
      <c r="U233" s="28" t="s">
        <v>62</v>
      </c>
    </row>
    <row r="234" spans="1:21" hidden="1" x14ac:dyDescent="0.25">
      <c r="A234" s="31"/>
      <c r="B234" s="25" t="s">
        <v>499</v>
      </c>
      <c r="C234" s="25" t="s">
        <v>500</v>
      </c>
      <c r="D234" s="25">
        <v>4370020</v>
      </c>
      <c r="E234" s="25">
        <v>4370020</v>
      </c>
      <c r="F234" s="9">
        <v>87</v>
      </c>
      <c r="H234" s="13" t="s">
        <v>17</v>
      </c>
      <c r="K234" s="25">
        <v>31</v>
      </c>
      <c r="L234" s="25">
        <v>89</v>
      </c>
      <c r="M234" s="25">
        <v>53</v>
      </c>
      <c r="N234" s="25">
        <v>21</v>
      </c>
      <c r="O234" s="25">
        <v>194</v>
      </c>
      <c r="P234" s="30">
        <f t="shared" si="13"/>
        <v>194000</v>
      </c>
      <c r="Q234" s="47">
        <f t="shared" si="14"/>
        <v>2.5309849967384213</v>
      </c>
      <c r="R234" s="7">
        <f t="shared" si="12"/>
        <v>1518.5909980430527</v>
      </c>
      <c r="S234" s="30">
        <v>2.5299999999999998</v>
      </c>
      <c r="U234" s="28" t="s">
        <v>62</v>
      </c>
    </row>
    <row r="235" spans="1:21" hidden="1" x14ac:dyDescent="0.25">
      <c r="A235" s="31"/>
      <c r="B235" s="25" t="s">
        <v>501</v>
      </c>
      <c r="C235" s="25" t="s">
        <v>502</v>
      </c>
      <c r="D235" s="25">
        <v>4370030</v>
      </c>
      <c r="E235" s="25">
        <v>4370030</v>
      </c>
      <c r="F235" s="9">
        <v>88</v>
      </c>
      <c r="H235" s="13" t="s">
        <v>17</v>
      </c>
      <c r="K235" s="25">
        <v>9</v>
      </c>
      <c r="L235" s="25">
        <v>23</v>
      </c>
      <c r="M235" s="25">
        <v>49</v>
      </c>
      <c r="N235" s="25">
        <v>19</v>
      </c>
      <c r="O235" s="25">
        <v>100</v>
      </c>
      <c r="P235" s="30">
        <f t="shared" si="13"/>
        <v>100000</v>
      </c>
      <c r="Q235" s="47">
        <f t="shared" si="14"/>
        <v>1.3046314416177429</v>
      </c>
      <c r="R235" s="7">
        <f t="shared" si="12"/>
        <v>782.77886497064571</v>
      </c>
      <c r="S235" s="30">
        <v>1.3</v>
      </c>
      <c r="U235" s="28" t="s">
        <v>62</v>
      </c>
    </row>
    <row r="236" spans="1:21" hidden="1" x14ac:dyDescent="0.25">
      <c r="A236" s="31"/>
      <c r="B236" s="25" t="s">
        <v>503</v>
      </c>
      <c r="C236" s="25" t="s">
        <v>504</v>
      </c>
      <c r="D236" s="25">
        <v>4370040</v>
      </c>
      <c r="E236" s="25">
        <v>4370040</v>
      </c>
      <c r="F236" s="9">
        <v>89</v>
      </c>
      <c r="H236" s="13" t="s">
        <v>17</v>
      </c>
      <c r="K236" s="25">
        <v>29</v>
      </c>
      <c r="L236" s="25">
        <v>104</v>
      </c>
      <c r="M236" s="25">
        <v>51</v>
      </c>
      <c r="N236" s="25">
        <v>12</v>
      </c>
      <c r="O236" s="25">
        <v>196</v>
      </c>
      <c r="P236" s="30">
        <f t="shared" si="13"/>
        <v>196000</v>
      </c>
      <c r="Q236" s="47">
        <f t="shared" si="14"/>
        <v>2.5570776255707761</v>
      </c>
      <c r="R236" s="7">
        <f t="shared" si="12"/>
        <v>1534.2465753424656</v>
      </c>
      <c r="S236" s="30">
        <v>2.56</v>
      </c>
      <c r="U236" s="28" t="s">
        <v>62</v>
      </c>
    </row>
    <row r="237" spans="1:21" hidden="1" x14ac:dyDescent="0.25">
      <c r="A237" s="31"/>
      <c r="B237" s="25" t="s">
        <v>505</v>
      </c>
      <c r="C237" s="25" t="s">
        <v>506</v>
      </c>
      <c r="D237" s="9">
        <v>4370050</v>
      </c>
      <c r="E237" s="9">
        <v>4370050</v>
      </c>
      <c r="F237" s="9">
        <v>90</v>
      </c>
      <c r="H237" s="13" t="s">
        <v>17</v>
      </c>
      <c r="K237" s="25">
        <v>12</v>
      </c>
      <c r="L237" s="25">
        <v>70</v>
      </c>
      <c r="M237" s="25">
        <v>23</v>
      </c>
      <c r="N237" s="25">
        <v>17</v>
      </c>
      <c r="O237" s="25">
        <v>122</v>
      </c>
      <c r="P237" s="30">
        <f t="shared" si="13"/>
        <v>122000</v>
      </c>
      <c r="Q237" s="47">
        <f t="shared" si="14"/>
        <v>1.5916503587736464</v>
      </c>
      <c r="R237" s="7">
        <f t="shared" si="12"/>
        <v>954.99021526418778</v>
      </c>
      <c r="S237" s="30">
        <v>1.59</v>
      </c>
      <c r="T237" s="27">
        <v>2.81</v>
      </c>
      <c r="U237" s="28" t="s">
        <v>22</v>
      </c>
    </row>
    <row r="238" spans="1:21" hidden="1" x14ac:dyDescent="0.25">
      <c r="A238" s="10" t="s">
        <v>507</v>
      </c>
      <c r="B238" s="11" t="s">
        <v>508</v>
      </c>
      <c r="C238" s="11" t="s">
        <v>509</v>
      </c>
      <c r="D238" s="9">
        <v>4380007</v>
      </c>
      <c r="E238" s="9">
        <v>4380007</v>
      </c>
      <c r="F238" s="9">
        <v>91</v>
      </c>
      <c r="H238" s="13" t="s">
        <v>17</v>
      </c>
      <c r="K238" s="25">
        <v>4</v>
      </c>
      <c r="L238" s="25">
        <v>6</v>
      </c>
      <c r="M238" s="25">
        <v>6</v>
      </c>
      <c r="N238" s="25">
        <v>5</v>
      </c>
      <c r="O238" s="25">
        <v>76.650000000000006</v>
      </c>
      <c r="P238" s="30">
        <f t="shared" si="13"/>
        <v>76650</v>
      </c>
      <c r="Q238" s="47">
        <f t="shared" si="14"/>
        <v>1</v>
      </c>
      <c r="R238" s="7">
        <f t="shared" si="12"/>
        <v>600</v>
      </c>
      <c r="S238" s="30">
        <v>1</v>
      </c>
      <c r="T238" s="27">
        <v>1</v>
      </c>
      <c r="U238" s="28" t="s">
        <v>62</v>
      </c>
    </row>
    <row r="239" spans="1:21" hidden="1" x14ac:dyDescent="0.25">
      <c r="A239" s="10" t="s">
        <v>510</v>
      </c>
      <c r="B239" s="11" t="s">
        <v>511</v>
      </c>
      <c r="C239" s="11" t="s">
        <v>512</v>
      </c>
      <c r="D239" s="9">
        <v>4320150</v>
      </c>
      <c r="H239" s="13" t="s">
        <v>17</v>
      </c>
      <c r="K239" s="25">
        <v>114</v>
      </c>
      <c r="L239" s="25">
        <v>67</v>
      </c>
      <c r="M239" s="25">
        <v>62</v>
      </c>
      <c r="N239" s="25">
        <v>43</v>
      </c>
      <c r="O239" s="25">
        <v>286</v>
      </c>
      <c r="Q239" s="47"/>
      <c r="R239" s="7"/>
    </row>
    <row r="240" spans="1:21" hidden="1" x14ac:dyDescent="0.25">
      <c r="A240" s="10" t="s">
        <v>513</v>
      </c>
      <c r="B240" s="11" t="s">
        <v>511</v>
      </c>
      <c r="C240" s="11" t="s">
        <v>512</v>
      </c>
      <c r="D240" s="9">
        <v>4320150</v>
      </c>
      <c r="H240" s="13" t="s">
        <v>17</v>
      </c>
      <c r="K240" s="25">
        <v>141</v>
      </c>
      <c r="L240" s="25">
        <v>72</v>
      </c>
      <c r="M240" s="25">
        <v>82</v>
      </c>
      <c r="N240" s="25">
        <v>59</v>
      </c>
      <c r="O240" s="25">
        <v>354</v>
      </c>
      <c r="P240" s="30">
        <f>SUM(O239:O240)*1000</f>
        <v>640000</v>
      </c>
      <c r="Q240" s="47">
        <f t="shared" si="14"/>
        <v>8.3496412263535547</v>
      </c>
      <c r="R240" s="7">
        <f t="shared" si="12"/>
        <v>5009.7847358121326</v>
      </c>
      <c r="S240" s="30">
        <v>8.35</v>
      </c>
      <c r="T240" s="27">
        <v>7.45</v>
      </c>
      <c r="U240" s="28" t="s">
        <v>58</v>
      </c>
    </row>
    <row r="241" spans="1:21" s="23" customFormat="1" hidden="1" x14ac:dyDescent="0.25">
      <c r="A241" s="22" t="s">
        <v>514</v>
      </c>
      <c r="B241" s="22" t="s">
        <v>511</v>
      </c>
      <c r="C241" s="22" t="s">
        <v>512</v>
      </c>
      <c r="D241" s="23">
        <v>4320150</v>
      </c>
      <c r="E241" s="23">
        <v>4320150</v>
      </c>
      <c r="F241" s="23">
        <v>92</v>
      </c>
      <c r="G241" s="24" t="s">
        <v>33</v>
      </c>
      <c r="H241" s="24" t="s">
        <v>17</v>
      </c>
      <c r="K241" s="23">
        <v>0</v>
      </c>
      <c r="L241" s="23">
        <v>404</v>
      </c>
      <c r="M241" s="23">
        <v>166</v>
      </c>
      <c r="N241" s="23">
        <v>0</v>
      </c>
      <c r="O241" s="23">
        <v>570</v>
      </c>
      <c r="P241" s="38"/>
      <c r="Q241" s="47"/>
      <c r="R241" s="7"/>
      <c r="S241" s="38"/>
      <c r="T241" s="49"/>
    </row>
    <row r="242" spans="1:21" hidden="1" x14ac:dyDescent="0.25">
      <c r="A242" s="10" t="s">
        <v>515</v>
      </c>
      <c r="B242" s="11" t="s">
        <v>516</v>
      </c>
      <c r="C242" s="11" t="s">
        <v>517</v>
      </c>
      <c r="D242" s="9">
        <v>4500009</v>
      </c>
      <c r="E242" s="9">
        <v>4500009</v>
      </c>
      <c r="F242" s="9">
        <v>93</v>
      </c>
      <c r="H242" s="13" t="s">
        <v>17</v>
      </c>
      <c r="K242" s="25">
        <v>6</v>
      </c>
      <c r="L242" s="25">
        <v>7</v>
      </c>
      <c r="M242" s="25">
        <v>12</v>
      </c>
      <c r="N242" s="25">
        <v>62</v>
      </c>
      <c r="O242" s="25">
        <v>87</v>
      </c>
      <c r="P242" s="30">
        <v>87000</v>
      </c>
      <c r="Q242" s="47">
        <f t="shared" si="14"/>
        <v>1.1350293542074363</v>
      </c>
      <c r="R242" s="7">
        <f t="shared" si="12"/>
        <v>681.01761252446181</v>
      </c>
      <c r="S242" s="30">
        <v>1.1399999999999999</v>
      </c>
      <c r="T242" s="27">
        <v>1</v>
      </c>
      <c r="U242" s="28" t="s">
        <v>58</v>
      </c>
    </row>
    <row r="243" spans="1:21" x14ac:dyDescent="0.25">
      <c r="A243" s="10" t="s">
        <v>518</v>
      </c>
      <c r="B243" s="11" t="s">
        <v>519</v>
      </c>
      <c r="C243" s="11"/>
      <c r="D243" s="9">
        <v>4500021</v>
      </c>
      <c r="E243" s="9">
        <v>4500021</v>
      </c>
      <c r="F243" s="9">
        <v>94</v>
      </c>
      <c r="H243" s="13" t="s">
        <v>17</v>
      </c>
      <c r="P243" s="30">
        <v>100000</v>
      </c>
      <c r="Q243" s="47">
        <f t="shared" si="14"/>
        <v>1.3046314416177429</v>
      </c>
      <c r="R243" s="7">
        <f t="shared" si="12"/>
        <v>782.77886497064571</v>
      </c>
      <c r="S243" s="30">
        <v>1.3</v>
      </c>
      <c r="T243" s="27">
        <v>1</v>
      </c>
      <c r="U243" s="28" t="s">
        <v>58</v>
      </c>
    </row>
    <row r="244" spans="1:21" hidden="1" x14ac:dyDescent="0.25">
      <c r="A244" s="10" t="s">
        <v>520</v>
      </c>
      <c r="B244" s="25" t="s">
        <v>521</v>
      </c>
      <c r="C244" s="11" t="s">
        <v>522</v>
      </c>
      <c r="D244" s="9">
        <v>4500022</v>
      </c>
      <c r="E244" s="9">
        <v>4500022</v>
      </c>
      <c r="H244" s="13" t="s">
        <v>17</v>
      </c>
      <c r="K244" s="25">
        <v>9</v>
      </c>
      <c r="L244" s="25">
        <v>191</v>
      </c>
      <c r="M244" s="25">
        <v>90</v>
      </c>
      <c r="N244" s="25">
        <v>0</v>
      </c>
      <c r="O244" s="25">
        <v>290</v>
      </c>
      <c r="Q244" s="47"/>
      <c r="R244" s="7"/>
    </row>
    <row r="245" spans="1:21" s="9" customFormat="1" hidden="1" x14ac:dyDescent="0.25">
      <c r="A245" s="10" t="s">
        <v>523</v>
      </c>
      <c r="B245" s="9" t="s">
        <v>524</v>
      </c>
      <c r="C245" s="11" t="s">
        <v>522</v>
      </c>
      <c r="D245" s="9">
        <v>4500022</v>
      </c>
      <c r="E245" s="9">
        <v>4500022</v>
      </c>
      <c r="F245" s="9">
        <v>95</v>
      </c>
      <c r="G245" s="13"/>
      <c r="H245" s="13" t="s">
        <v>17</v>
      </c>
      <c r="K245" s="9">
        <v>39</v>
      </c>
      <c r="L245" s="9">
        <v>238</v>
      </c>
      <c r="M245" s="9">
        <v>117</v>
      </c>
      <c r="N245" s="9">
        <v>32</v>
      </c>
      <c r="O245" s="9">
        <v>426</v>
      </c>
      <c r="P245" s="6">
        <f>SUM(O245-O244)*1000</f>
        <v>136000</v>
      </c>
      <c r="Q245" s="47">
        <f t="shared" si="14"/>
        <v>1.7742987606001304</v>
      </c>
      <c r="R245" s="7">
        <f t="shared" si="12"/>
        <v>1064.5792563600783</v>
      </c>
      <c r="S245" s="6">
        <v>1.77</v>
      </c>
      <c r="T245" s="7">
        <v>10.45</v>
      </c>
      <c r="U245" s="28" t="s">
        <v>22</v>
      </c>
    </row>
    <row r="246" spans="1:21" s="9" customFormat="1" hidden="1" x14ac:dyDescent="0.25">
      <c r="A246" s="10" t="s">
        <v>525</v>
      </c>
      <c r="B246" s="11" t="s">
        <v>526</v>
      </c>
      <c r="C246" s="11" t="s">
        <v>527</v>
      </c>
      <c r="D246" s="9">
        <v>4500029</v>
      </c>
      <c r="E246" s="9">
        <v>4500029</v>
      </c>
      <c r="F246" s="9">
        <v>96</v>
      </c>
      <c r="G246" s="13"/>
      <c r="H246" s="13" t="s">
        <v>17</v>
      </c>
      <c r="K246" s="9">
        <v>14</v>
      </c>
      <c r="L246" s="9">
        <v>61</v>
      </c>
      <c r="M246" s="9">
        <v>23</v>
      </c>
      <c r="N246" s="9">
        <v>9</v>
      </c>
      <c r="O246" s="9">
        <v>107</v>
      </c>
      <c r="P246" s="6">
        <f>SUM(O246*1000)</f>
        <v>107000</v>
      </c>
      <c r="Q246" s="47">
        <f t="shared" si="14"/>
        <v>1.3959556425309849</v>
      </c>
      <c r="R246" s="7">
        <f t="shared" si="12"/>
        <v>837.57338551859095</v>
      </c>
      <c r="S246" s="6">
        <v>1.4</v>
      </c>
      <c r="T246" s="7">
        <v>1.39</v>
      </c>
      <c r="U246" s="28" t="s">
        <v>58</v>
      </c>
    </row>
    <row r="247" spans="1:21" s="9" customFormat="1" hidden="1" x14ac:dyDescent="0.25">
      <c r="A247" s="10" t="s">
        <v>528</v>
      </c>
      <c r="B247" s="11" t="s">
        <v>529</v>
      </c>
      <c r="C247" s="11" t="s">
        <v>530</v>
      </c>
      <c r="D247" s="9">
        <v>4500035</v>
      </c>
      <c r="E247" s="9">
        <v>4500035</v>
      </c>
      <c r="F247" s="9">
        <v>97</v>
      </c>
      <c r="G247" s="13"/>
      <c r="H247" s="13" t="s">
        <v>17</v>
      </c>
      <c r="K247" s="9">
        <v>17</v>
      </c>
      <c r="L247" s="9">
        <v>11</v>
      </c>
      <c r="M247" s="9">
        <v>8</v>
      </c>
      <c r="N247" s="9">
        <v>15</v>
      </c>
      <c r="O247" s="9">
        <v>76.650000000000006</v>
      </c>
      <c r="P247" s="6">
        <f t="shared" ref="P247:P249" si="15">SUM(O247*1000)</f>
        <v>76650</v>
      </c>
      <c r="Q247" s="47">
        <f t="shared" si="14"/>
        <v>1</v>
      </c>
      <c r="R247" s="7">
        <f t="shared" si="12"/>
        <v>600</v>
      </c>
      <c r="S247" s="6">
        <v>1</v>
      </c>
      <c r="T247" s="7">
        <v>1</v>
      </c>
      <c r="U247" s="28" t="s">
        <v>62</v>
      </c>
    </row>
    <row r="248" spans="1:21" s="9" customFormat="1" hidden="1" x14ac:dyDescent="0.25">
      <c r="A248" s="10" t="s">
        <v>531</v>
      </c>
      <c r="B248" s="11" t="s">
        <v>532</v>
      </c>
      <c r="C248" s="11" t="s">
        <v>533</v>
      </c>
      <c r="D248" s="9">
        <v>4500040</v>
      </c>
      <c r="E248" s="9">
        <v>4500040</v>
      </c>
      <c r="F248" s="9">
        <v>98</v>
      </c>
      <c r="G248" s="13"/>
      <c r="H248" s="13" t="s">
        <v>17</v>
      </c>
      <c r="K248" s="9">
        <v>15</v>
      </c>
      <c r="L248" s="9">
        <v>90</v>
      </c>
      <c r="M248" s="9">
        <v>45</v>
      </c>
      <c r="N248" s="9">
        <v>3</v>
      </c>
      <c r="O248" s="9">
        <v>153</v>
      </c>
      <c r="P248" s="6">
        <f t="shared" si="15"/>
        <v>153000</v>
      </c>
      <c r="Q248" s="47">
        <f t="shared" si="14"/>
        <v>1.9960861056751467</v>
      </c>
      <c r="R248" s="7">
        <f t="shared" si="12"/>
        <v>1197.6516634050879</v>
      </c>
      <c r="S248" s="6">
        <v>2</v>
      </c>
      <c r="T248" s="7">
        <v>2.4900000000000002</v>
      </c>
      <c r="U248" s="28" t="s">
        <v>22</v>
      </c>
    </row>
    <row r="249" spans="1:21" s="9" customFormat="1" hidden="1" x14ac:dyDescent="0.25">
      <c r="A249" s="10" t="s">
        <v>534</v>
      </c>
      <c r="B249" s="11" t="s">
        <v>535</v>
      </c>
      <c r="C249" s="11" t="s">
        <v>536</v>
      </c>
      <c r="D249" s="9">
        <v>4500059</v>
      </c>
      <c r="E249" s="9">
        <v>4500059</v>
      </c>
      <c r="F249" s="9">
        <v>99</v>
      </c>
      <c r="G249" s="13"/>
      <c r="H249" s="13" t="s">
        <v>17</v>
      </c>
      <c r="K249" s="9">
        <v>187</v>
      </c>
      <c r="L249" s="9">
        <v>102</v>
      </c>
      <c r="M249" s="9">
        <v>145</v>
      </c>
      <c r="N249" s="9">
        <v>137</v>
      </c>
      <c r="O249" s="9">
        <v>571</v>
      </c>
      <c r="P249" s="6">
        <f t="shared" si="15"/>
        <v>571000</v>
      </c>
      <c r="Q249" s="47">
        <f t="shared" si="14"/>
        <v>7.4494455316373127</v>
      </c>
      <c r="R249" s="7">
        <f t="shared" si="12"/>
        <v>4469.6673189823878</v>
      </c>
      <c r="S249" s="6">
        <v>7.45</v>
      </c>
      <c r="T249" s="7">
        <v>4.47</v>
      </c>
      <c r="U249" s="28" t="s">
        <v>58</v>
      </c>
    </row>
    <row r="250" spans="1:21" s="9" customFormat="1" hidden="1" x14ac:dyDescent="0.25">
      <c r="A250" s="10" t="s">
        <v>537</v>
      </c>
      <c r="B250" s="11" t="s">
        <v>538</v>
      </c>
      <c r="C250" s="11" t="s">
        <v>539</v>
      </c>
      <c r="D250" s="9">
        <v>4520015</v>
      </c>
      <c r="G250" s="13"/>
      <c r="H250" s="13" t="s">
        <v>17</v>
      </c>
      <c r="K250" s="9">
        <v>58</v>
      </c>
      <c r="L250" s="9">
        <v>48</v>
      </c>
      <c r="M250" s="9">
        <v>50</v>
      </c>
      <c r="N250" s="9">
        <v>53</v>
      </c>
      <c r="O250" s="9">
        <v>209</v>
      </c>
      <c r="P250" s="6"/>
      <c r="Q250" s="47"/>
      <c r="R250" s="7"/>
      <c r="S250" s="6"/>
      <c r="T250" s="7"/>
    </row>
    <row r="251" spans="1:21" s="9" customFormat="1" hidden="1" x14ac:dyDescent="0.25">
      <c r="A251" s="10" t="s">
        <v>540</v>
      </c>
      <c r="B251" s="9" t="s">
        <v>541</v>
      </c>
      <c r="C251" s="11" t="s">
        <v>542</v>
      </c>
      <c r="D251" s="9">
        <v>4520015</v>
      </c>
      <c r="G251" s="13"/>
      <c r="H251" s="13" t="s">
        <v>17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6"/>
      <c r="Q251" s="47"/>
      <c r="R251" s="7"/>
      <c r="S251" s="6"/>
      <c r="T251" s="7"/>
    </row>
    <row r="252" spans="1:21" s="9" customFormat="1" hidden="1" x14ac:dyDescent="0.25">
      <c r="A252" s="10" t="s">
        <v>543</v>
      </c>
      <c r="B252" s="9" t="s">
        <v>544</v>
      </c>
      <c r="C252" s="11" t="s">
        <v>545</v>
      </c>
      <c r="D252" s="9">
        <v>4520015</v>
      </c>
      <c r="E252" s="9">
        <v>4520015</v>
      </c>
      <c r="F252" s="9">
        <v>100</v>
      </c>
      <c r="G252" s="13" t="s">
        <v>33</v>
      </c>
      <c r="H252" s="13" t="s">
        <v>17</v>
      </c>
      <c r="K252" s="9">
        <v>197</v>
      </c>
      <c r="L252" s="9">
        <v>413</v>
      </c>
      <c r="M252" s="9">
        <v>314</v>
      </c>
      <c r="N252" s="9">
        <v>104</v>
      </c>
      <c r="O252" s="9">
        <v>1028</v>
      </c>
      <c r="P252" s="6">
        <f>SUM(O250:O252)*1000</f>
        <v>1237000</v>
      </c>
      <c r="Q252" s="47">
        <f t="shared" si="14"/>
        <v>16.138290932811479</v>
      </c>
      <c r="R252" s="7">
        <f t="shared" ref="R252:R312" si="16">SUM(Q252*600)</f>
        <v>9682.974559686887</v>
      </c>
      <c r="S252" s="6">
        <v>16.14</v>
      </c>
      <c r="T252" s="7">
        <v>15.88</v>
      </c>
      <c r="U252" s="28" t="s">
        <v>58</v>
      </c>
    </row>
    <row r="253" spans="1:21" hidden="1" x14ac:dyDescent="0.25">
      <c r="A253" s="10" t="s">
        <v>546</v>
      </c>
      <c r="B253" s="11" t="s">
        <v>547</v>
      </c>
      <c r="C253" s="11" t="s">
        <v>548</v>
      </c>
      <c r="D253" s="9">
        <v>4520012</v>
      </c>
      <c r="E253" s="9">
        <v>4520012</v>
      </c>
      <c r="F253" s="9">
        <v>101</v>
      </c>
      <c r="H253" s="13" t="s">
        <v>17</v>
      </c>
      <c r="K253" s="25">
        <v>3</v>
      </c>
      <c r="L253" s="25">
        <v>3</v>
      </c>
      <c r="M253" s="25">
        <v>2</v>
      </c>
      <c r="N253" s="25">
        <v>3</v>
      </c>
      <c r="O253" s="25">
        <v>76.650000000000006</v>
      </c>
      <c r="P253" s="30">
        <f>SUM(O253*1000)</f>
        <v>76650</v>
      </c>
      <c r="Q253" s="47">
        <f t="shared" si="14"/>
        <v>1</v>
      </c>
      <c r="R253" s="7">
        <f t="shared" si="16"/>
        <v>600</v>
      </c>
      <c r="S253" s="30">
        <v>1</v>
      </c>
      <c r="T253" s="27">
        <v>1</v>
      </c>
      <c r="U253" s="28" t="s">
        <v>62</v>
      </c>
    </row>
    <row r="254" spans="1:21" hidden="1" x14ac:dyDescent="0.25">
      <c r="A254" s="10" t="s">
        <v>549</v>
      </c>
      <c r="B254" s="11" t="s">
        <v>550</v>
      </c>
      <c r="C254" s="11" t="s">
        <v>551</v>
      </c>
      <c r="D254" s="9">
        <v>4520018</v>
      </c>
      <c r="E254" s="9">
        <v>4520018</v>
      </c>
      <c r="F254" s="9">
        <v>102</v>
      </c>
      <c r="H254" s="13" t="s">
        <v>17</v>
      </c>
      <c r="K254" s="25">
        <v>67</v>
      </c>
      <c r="L254" s="25">
        <v>15</v>
      </c>
      <c r="M254" s="25">
        <v>11</v>
      </c>
      <c r="N254" s="25">
        <v>23</v>
      </c>
      <c r="O254" s="25">
        <v>116</v>
      </c>
      <c r="P254" s="30">
        <f t="shared" ref="P254:P256" si="17">SUM(O254*1000)</f>
        <v>116000</v>
      </c>
      <c r="Q254" s="47">
        <f t="shared" si="14"/>
        <v>1.5133724722765818</v>
      </c>
      <c r="R254" s="7">
        <f t="shared" si="16"/>
        <v>908.02348336594912</v>
      </c>
      <c r="S254" s="30">
        <v>1.51</v>
      </c>
      <c r="T254" s="27">
        <v>1</v>
      </c>
      <c r="U254" s="28" t="s">
        <v>58</v>
      </c>
    </row>
    <row r="255" spans="1:21" hidden="1" x14ac:dyDescent="0.25">
      <c r="A255" s="10" t="s">
        <v>552</v>
      </c>
      <c r="B255" s="11" t="s">
        <v>553</v>
      </c>
      <c r="C255" s="11" t="s">
        <v>554</v>
      </c>
      <c r="D255" s="9">
        <v>4520020</v>
      </c>
      <c r="E255" s="9">
        <v>4520020</v>
      </c>
      <c r="F255" s="9">
        <v>103</v>
      </c>
      <c r="H255" s="13" t="s">
        <v>17</v>
      </c>
      <c r="K255" s="25">
        <v>52</v>
      </c>
      <c r="L255" s="25">
        <v>49</v>
      </c>
      <c r="M255" s="25">
        <v>118</v>
      </c>
      <c r="N255" s="25">
        <v>44</v>
      </c>
      <c r="O255" s="25">
        <v>263</v>
      </c>
      <c r="P255" s="30">
        <f t="shared" si="17"/>
        <v>263000</v>
      </c>
      <c r="Q255" s="47">
        <f t="shared" si="14"/>
        <v>3.4311806914546641</v>
      </c>
      <c r="R255" s="7">
        <f t="shared" si="16"/>
        <v>2058.7084148727986</v>
      </c>
      <c r="S255" s="30">
        <v>3.43</v>
      </c>
      <c r="T255" s="27">
        <v>4.43</v>
      </c>
      <c r="U255" s="28" t="s">
        <v>22</v>
      </c>
    </row>
    <row r="256" spans="1:21" hidden="1" x14ac:dyDescent="0.25">
      <c r="A256" s="10" t="s">
        <v>555</v>
      </c>
      <c r="B256" s="11" t="s">
        <v>556</v>
      </c>
      <c r="C256" s="11" t="s">
        <v>557</v>
      </c>
      <c r="D256" s="9">
        <v>4520046</v>
      </c>
      <c r="E256" s="9">
        <v>4520046</v>
      </c>
      <c r="F256" s="9">
        <v>104</v>
      </c>
      <c r="H256" s="13" t="s">
        <v>17</v>
      </c>
      <c r="K256" s="25">
        <v>17</v>
      </c>
      <c r="L256" s="25">
        <v>20</v>
      </c>
      <c r="M256" s="25">
        <v>18</v>
      </c>
      <c r="N256" s="25">
        <v>18</v>
      </c>
      <c r="O256" s="25">
        <v>76.650000000000006</v>
      </c>
      <c r="P256" s="30">
        <f t="shared" si="17"/>
        <v>76650</v>
      </c>
      <c r="Q256" s="47">
        <f t="shared" si="14"/>
        <v>1</v>
      </c>
      <c r="R256" s="7">
        <f t="shared" si="16"/>
        <v>600</v>
      </c>
      <c r="S256" s="30">
        <v>1</v>
      </c>
      <c r="T256" s="27">
        <v>1</v>
      </c>
      <c r="U256" s="28" t="s">
        <v>62</v>
      </c>
    </row>
    <row r="257" spans="1:21" hidden="1" x14ac:dyDescent="0.25">
      <c r="A257" s="10" t="s">
        <v>558</v>
      </c>
      <c r="B257" s="11" t="s">
        <v>559</v>
      </c>
      <c r="C257" s="9" t="s">
        <v>560</v>
      </c>
      <c r="D257" s="39">
        <v>4520054</v>
      </c>
      <c r="E257" s="9">
        <v>4520054</v>
      </c>
      <c r="H257" s="13" t="s">
        <v>17</v>
      </c>
      <c r="K257" s="25">
        <v>1</v>
      </c>
      <c r="L257" s="25">
        <v>2</v>
      </c>
      <c r="M257" s="25">
        <v>2</v>
      </c>
      <c r="N257" s="25">
        <v>2</v>
      </c>
      <c r="O257" s="25">
        <v>7</v>
      </c>
      <c r="Q257" s="47"/>
      <c r="R257" s="7"/>
    </row>
    <row r="258" spans="1:21" hidden="1" x14ac:dyDescent="0.25">
      <c r="A258" s="10" t="s">
        <v>561</v>
      </c>
      <c r="B258" s="11" t="s">
        <v>559</v>
      </c>
      <c r="C258" s="25" t="s">
        <v>562</v>
      </c>
      <c r="D258" s="39">
        <v>4520054</v>
      </c>
      <c r="E258" s="9">
        <v>4520054</v>
      </c>
      <c r="H258" s="13" t="s">
        <v>17</v>
      </c>
      <c r="K258" s="25">
        <v>118</v>
      </c>
      <c r="L258" s="25">
        <v>114</v>
      </c>
      <c r="M258" s="25">
        <v>101</v>
      </c>
      <c r="N258" s="25">
        <v>193</v>
      </c>
      <c r="O258" s="25">
        <v>526</v>
      </c>
      <c r="Q258" s="47"/>
      <c r="R258" s="7"/>
    </row>
    <row r="259" spans="1:21" hidden="1" x14ac:dyDescent="0.25">
      <c r="A259" s="10"/>
      <c r="B259" s="11" t="s">
        <v>559</v>
      </c>
      <c r="C259" s="25" t="s">
        <v>562</v>
      </c>
      <c r="D259" s="39">
        <v>4520054</v>
      </c>
      <c r="E259" s="9">
        <v>4520054</v>
      </c>
      <c r="H259" s="13" t="s">
        <v>17</v>
      </c>
      <c r="K259" s="25">
        <v>124</v>
      </c>
      <c r="L259" s="25">
        <v>119</v>
      </c>
      <c r="M259" s="25">
        <v>105</v>
      </c>
      <c r="N259" s="25">
        <v>202</v>
      </c>
      <c r="O259" s="25">
        <v>550</v>
      </c>
      <c r="Q259" s="47"/>
      <c r="R259" s="7"/>
    </row>
    <row r="260" spans="1:21" hidden="1" x14ac:dyDescent="0.25">
      <c r="A260" s="10"/>
      <c r="B260" s="11" t="s">
        <v>559</v>
      </c>
      <c r="C260" s="25" t="s">
        <v>563</v>
      </c>
      <c r="D260" s="39">
        <v>4520054</v>
      </c>
      <c r="E260" s="9">
        <v>4520054</v>
      </c>
      <c r="H260" s="13" t="s">
        <v>17</v>
      </c>
      <c r="K260" s="25">
        <v>0</v>
      </c>
      <c r="L260" s="25">
        <v>0</v>
      </c>
      <c r="M260" s="25">
        <v>0</v>
      </c>
      <c r="N260" s="25">
        <v>0</v>
      </c>
      <c r="O260" s="25">
        <v>0</v>
      </c>
      <c r="Q260" s="47"/>
      <c r="R260" s="7"/>
    </row>
    <row r="261" spans="1:21" hidden="1" x14ac:dyDescent="0.25">
      <c r="A261" s="10"/>
      <c r="B261" s="11" t="s">
        <v>559</v>
      </c>
      <c r="C261" s="25" t="s">
        <v>564</v>
      </c>
      <c r="D261" s="39">
        <v>4520054</v>
      </c>
      <c r="E261" s="9">
        <v>4520054</v>
      </c>
      <c r="H261" s="13" t="s">
        <v>17</v>
      </c>
      <c r="K261" s="25">
        <v>6</v>
      </c>
      <c r="L261" s="25">
        <v>6</v>
      </c>
      <c r="M261" s="25">
        <v>7</v>
      </c>
      <c r="N261" s="25">
        <v>5</v>
      </c>
      <c r="O261" s="25">
        <v>24</v>
      </c>
      <c r="Q261" s="47"/>
      <c r="R261" s="7"/>
    </row>
    <row r="262" spans="1:21" x14ac:dyDescent="0.25">
      <c r="A262" s="10"/>
      <c r="B262" s="11" t="s">
        <v>559</v>
      </c>
      <c r="C262" s="11" t="s">
        <v>565</v>
      </c>
      <c r="D262" s="39">
        <v>4520054</v>
      </c>
      <c r="E262" s="9">
        <v>4520054</v>
      </c>
      <c r="F262" s="9">
        <v>105</v>
      </c>
      <c r="H262" s="13" t="s">
        <v>17</v>
      </c>
      <c r="P262" s="30">
        <f>SUM(O257:O262)*1000</f>
        <v>1107000</v>
      </c>
      <c r="Q262" s="47">
        <f t="shared" si="14"/>
        <v>14.442270058708415</v>
      </c>
      <c r="R262" s="7">
        <f t="shared" si="16"/>
        <v>8665.3620352250491</v>
      </c>
      <c r="S262" s="30">
        <v>14.44</v>
      </c>
      <c r="T262" s="27">
        <v>13.96</v>
      </c>
      <c r="U262" s="28" t="s">
        <v>58</v>
      </c>
    </row>
    <row r="263" spans="1:21" hidden="1" x14ac:dyDescent="0.25">
      <c r="A263" s="10" t="s">
        <v>566</v>
      </c>
      <c r="B263" s="11" t="s">
        <v>567</v>
      </c>
      <c r="C263" s="25" t="s">
        <v>568</v>
      </c>
      <c r="D263" s="39">
        <v>4520395</v>
      </c>
      <c r="H263" s="13" t="s">
        <v>17</v>
      </c>
      <c r="K263" s="25">
        <v>2</v>
      </c>
      <c r="L263" s="25">
        <v>3</v>
      </c>
      <c r="M263" s="25">
        <v>2</v>
      </c>
      <c r="N263" s="25">
        <v>9</v>
      </c>
      <c r="O263" s="25">
        <v>16</v>
      </c>
      <c r="Q263" s="47"/>
      <c r="R263" s="7"/>
    </row>
    <row r="264" spans="1:21" hidden="1" x14ac:dyDescent="0.25">
      <c r="A264" s="10" t="s">
        <v>569</v>
      </c>
      <c r="B264" s="11" t="s">
        <v>567</v>
      </c>
      <c r="C264" s="25" t="s">
        <v>570</v>
      </c>
      <c r="D264" s="39">
        <v>4520395</v>
      </c>
      <c r="H264" s="13" t="s">
        <v>17</v>
      </c>
      <c r="K264" s="25">
        <v>2</v>
      </c>
      <c r="L264" s="25">
        <v>2</v>
      </c>
      <c r="M264" s="25">
        <v>1</v>
      </c>
      <c r="N264" s="25">
        <v>1</v>
      </c>
      <c r="O264" s="25">
        <v>6</v>
      </c>
      <c r="Q264" s="47"/>
      <c r="R264" s="7"/>
    </row>
    <row r="265" spans="1:21" hidden="1" x14ac:dyDescent="0.25">
      <c r="A265" s="10">
        <v>4000</v>
      </c>
      <c r="B265" s="11" t="s">
        <v>567</v>
      </c>
      <c r="C265" s="25" t="s">
        <v>571</v>
      </c>
      <c r="D265" s="39">
        <v>4520395</v>
      </c>
      <c r="H265" s="13" t="s">
        <v>17</v>
      </c>
      <c r="K265" s="25">
        <v>7</v>
      </c>
      <c r="L265" s="25">
        <v>9</v>
      </c>
      <c r="M265" s="25">
        <v>8</v>
      </c>
      <c r="N265" s="25">
        <v>8</v>
      </c>
      <c r="O265" s="25">
        <v>32</v>
      </c>
      <c r="Q265" s="47"/>
      <c r="R265" s="7"/>
    </row>
    <row r="266" spans="1:21" hidden="1" x14ac:dyDescent="0.25">
      <c r="A266" s="10" t="s">
        <v>572</v>
      </c>
      <c r="B266" s="11" t="s">
        <v>567</v>
      </c>
      <c r="C266" s="25" t="s">
        <v>570</v>
      </c>
      <c r="D266" s="39">
        <v>4520395</v>
      </c>
      <c r="H266" s="13" t="s">
        <v>17</v>
      </c>
      <c r="K266" s="25">
        <v>0</v>
      </c>
      <c r="L266" s="25">
        <v>1</v>
      </c>
      <c r="M266" s="25">
        <v>0</v>
      </c>
      <c r="N266" s="25">
        <v>0</v>
      </c>
      <c r="O266" s="25">
        <v>1</v>
      </c>
      <c r="Q266" s="47"/>
      <c r="R266" s="7"/>
    </row>
    <row r="267" spans="1:21" hidden="1" x14ac:dyDescent="0.25">
      <c r="A267" s="10" t="s">
        <v>573</v>
      </c>
      <c r="B267" s="11" t="s">
        <v>567</v>
      </c>
      <c r="C267" s="25" t="s">
        <v>570</v>
      </c>
      <c r="D267" s="39">
        <v>4520395</v>
      </c>
      <c r="H267" s="13" t="s">
        <v>17</v>
      </c>
      <c r="K267" s="25">
        <v>10</v>
      </c>
      <c r="L267" s="25">
        <v>8</v>
      </c>
      <c r="M267" s="25">
        <v>27</v>
      </c>
      <c r="N267" s="25">
        <v>16</v>
      </c>
      <c r="O267" s="25">
        <v>61</v>
      </c>
      <c r="Q267" s="47"/>
      <c r="R267" s="7"/>
    </row>
    <row r="268" spans="1:21" hidden="1" x14ac:dyDescent="0.25">
      <c r="A268" s="10" t="s">
        <v>574</v>
      </c>
      <c r="B268" s="11" t="s">
        <v>567</v>
      </c>
      <c r="C268" s="25" t="s">
        <v>570</v>
      </c>
      <c r="D268" s="39">
        <v>4520395</v>
      </c>
      <c r="E268" s="9">
        <v>4520395</v>
      </c>
      <c r="F268" s="9">
        <v>106</v>
      </c>
      <c r="H268" s="13" t="s">
        <v>17</v>
      </c>
      <c r="K268" s="25">
        <v>0</v>
      </c>
      <c r="L268" s="25">
        <v>1</v>
      </c>
      <c r="M268" s="25">
        <v>0</v>
      </c>
      <c r="N268" s="25">
        <v>0</v>
      </c>
      <c r="O268" s="25">
        <v>1</v>
      </c>
      <c r="P268" s="30">
        <f>SUM(O263:O268)*1000</f>
        <v>117000</v>
      </c>
      <c r="Q268" s="47">
        <f t="shared" si="14"/>
        <v>1.5264187866927592</v>
      </c>
      <c r="R268" s="7">
        <f t="shared" si="16"/>
        <v>915.85127201565558</v>
      </c>
      <c r="S268" s="30">
        <v>1.53</v>
      </c>
      <c r="T268" s="27">
        <v>1.51</v>
      </c>
      <c r="U268" s="28" t="s">
        <v>58</v>
      </c>
    </row>
    <row r="269" spans="1:21" hidden="1" x14ac:dyDescent="0.25">
      <c r="A269" s="10" t="s">
        <v>575</v>
      </c>
      <c r="B269" s="11" t="s">
        <v>576</v>
      </c>
      <c r="C269" s="25" t="s">
        <v>577</v>
      </c>
      <c r="D269" s="39">
        <v>4520427</v>
      </c>
      <c r="H269" s="13" t="s">
        <v>17</v>
      </c>
      <c r="K269" s="25">
        <v>24</v>
      </c>
      <c r="L269" s="25">
        <v>24</v>
      </c>
      <c r="M269" s="25">
        <v>26</v>
      </c>
      <c r="N269" s="25">
        <v>21</v>
      </c>
      <c r="O269" s="25">
        <v>95</v>
      </c>
      <c r="Q269" s="47"/>
      <c r="R269" s="7"/>
    </row>
    <row r="270" spans="1:21" hidden="1" x14ac:dyDescent="0.25">
      <c r="A270" s="31"/>
      <c r="B270" s="11" t="s">
        <v>576</v>
      </c>
      <c r="C270" s="25" t="s">
        <v>578</v>
      </c>
      <c r="D270" s="39">
        <v>4520427</v>
      </c>
      <c r="H270" s="13" t="s">
        <v>17</v>
      </c>
      <c r="K270" s="25">
        <v>12</v>
      </c>
      <c r="L270" s="25">
        <v>18</v>
      </c>
      <c r="M270" s="25">
        <v>15</v>
      </c>
      <c r="N270" s="25">
        <v>10</v>
      </c>
      <c r="O270" s="25">
        <v>55</v>
      </c>
      <c r="Q270" s="47"/>
      <c r="R270" s="7"/>
    </row>
    <row r="271" spans="1:21" hidden="1" x14ac:dyDescent="0.25">
      <c r="A271" s="31"/>
      <c r="B271" s="11" t="s">
        <v>576</v>
      </c>
      <c r="C271" s="25" t="s">
        <v>579</v>
      </c>
      <c r="D271" s="39">
        <v>4520427</v>
      </c>
      <c r="H271" s="13" t="s">
        <v>17</v>
      </c>
      <c r="K271" s="25">
        <v>1</v>
      </c>
      <c r="L271" s="25">
        <v>1</v>
      </c>
      <c r="M271" s="25">
        <v>0</v>
      </c>
      <c r="N271" s="25">
        <v>1</v>
      </c>
      <c r="O271" s="25">
        <v>3</v>
      </c>
      <c r="Q271" s="47"/>
      <c r="R271" s="7"/>
    </row>
    <row r="272" spans="1:21" hidden="1" x14ac:dyDescent="0.25">
      <c r="A272" s="31"/>
      <c r="B272" s="11" t="s">
        <v>576</v>
      </c>
      <c r="C272" s="25" t="s">
        <v>580</v>
      </c>
      <c r="D272" s="39">
        <v>4520427</v>
      </c>
      <c r="H272" s="13" t="s">
        <v>17</v>
      </c>
      <c r="K272" s="25">
        <v>3</v>
      </c>
      <c r="L272" s="25">
        <v>3</v>
      </c>
      <c r="M272" s="25">
        <v>3</v>
      </c>
      <c r="N272" s="25">
        <v>3</v>
      </c>
      <c r="O272" s="25">
        <v>12</v>
      </c>
      <c r="Q272" s="47"/>
      <c r="R272" s="7"/>
    </row>
    <row r="273" spans="1:21" s="43" customFormat="1" hidden="1" x14ac:dyDescent="0.25">
      <c r="A273" s="31"/>
      <c r="B273" s="50" t="s">
        <v>576</v>
      </c>
      <c r="C273" s="43" t="s">
        <v>581</v>
      </c>
      <c r="D273" s="39">
        <v>4520427</v>
      </c>
      <c r="G273" s="44" t="s">
        <v>33</v>
      </c>
      <c r="H273" s="44" t="s">
        <v>17</v>
      </c>
      <c r="K273" s="43">
        <v>172</v>
      </c>
      <c r="L273" s="43">
        <v>250</v>
      </c>
      <c r="M273" s="43">
        <v>15</v>
      </c>
      <c r="N273" s="43">
        <v>0</v>
      </c>
      <c r="O273" s="43">
        <v>437</v>
      </c>
      <c r="P273" s="45"/>
      <c r="Q273" s="47"/>
      <c r="R273" s="7"/>
      <c r="S273" s="45"/>
      <c r="T273" s="46"/>
    </row>
    <row r="274" spans="1:21" hidden="1" x14ac:dyDescent="0.25">
      <c r="A274" s="31"/>
      <c r="B274" s="11" t="s">
        <v>576</v>
      </c>
      <c r="C274" s="25" t="s">
        <v>582</v>
      </c>
      <c r="D274" s="39">
        <v>4520427</v>
      </c>
      <c r="E274" s="9">
        <v>4520427</v>
      </c>
      <c r="F274" s="9">
        <v>107</v>
      </c>
      <c r="H274" s="13" t="s">
        <v>17</v>
      </c>
      <c r="K274" s="25">
        <v>15</v>
      </c>
      <c r="L274" s="25">
        <v>15</v>
      </c>
      <c r="M274" s="25">
        <v>17</v>
      </c>
      <c r="N274" s="25">
        <v>16</v>
      </c>
      <c r="O274" s="25">
        <v>63</v>
      </c>
      <c r="P274" s="30">
        <f>SUM(O269+O270+O271+O272+O274)*1000</f>
        <v>228000</v>
      </c>
      <c r="Q274" s="47">
        <f t="shared" si="14"/>
        <v>2.9745596868884538</v>
      </c>
      <c r="R274" s="7">
        <f t="shared" si="16"/>
        <v>1784.7358121330724</v>
      </c>
      <c r="S274" s="30">
        <v>2.97</v>
      </c>
      <c r="T274" s="27">
        <v>2.54</v>
      </c>
      <c r="U274" s="28" t="s">
        <v>58</v>
      </c>
    </row>
    <row r="275" spans="1:21" hidden="1" x14ac:dyDescent="0.25">
      <c r="A275" s="10" t="s">
        <v>583</v>
      </c>
      <c r="B275" s="11" t="s">
        <v>584</v>
      </c>
      <c r="C275" s="11" t="s">
        <v>585</v>
      </c>
      <c r="D275" s="9">
        <v>4520590</v>
      </c>
      <c r="H275" s="13" t="s">
        <v>17</v>
      </c>
      <c r="K275" s="25">
        <v>57</v>
      </c>
      <c r="L275" s="25">
        <v>46</v>
      </c>
      <c r="M275" s="25">
        <v>34</v>
      </c>
      <c r="N275" s="25">
        <v>20</v>
      </c>
      <c r="O275" s="25">
        <v>157</v>
      </c>
      <c r="P275" s="30">
        <v>157000</v>
      </c>
      <c r="Q275" s="47">
        <f t="shared" si="14"/>
        <v>2.0482713633398566</v>
      </c>
      <c r="R275" s="7">
        <f t="shared" si="16"/>
        <v>1228.962818003914</v>
      </c>
      <c r="S275" s="30">
        <v>2.0499999999999998</v>
      </c>
      <c r="T275" s="27">
        <v>2.13</v>
      </c>
      <c r="U275" s="28" t="s">
        <v>22</v>
      </c>
    </row>
    <row r="276" spans="1:21" s="43" customFormat="1" hidden="1" x14ac:dyDescent="0.25">
      <c r="A276" s="10" t="s">
        <v>586</v>
      </c>
      <c r="B276" s="50" t="s">
        <v>584</v>
      </c>
      <c r="C276" s="50" t="s">
        <v>585</v>
      </c>
      <c r="D276" s="43">
        <v>4520590</v>
      </c>
      <c r="E276" s="43">
        <v>4520590</v>
      </c>
      <c r="F276" s="43">
        <v>108</v>
      </c>
      <c r="G276" s="44" t="s">
        <v>33</v>
      </c>
      <c r="H276" s="44" t="s">
        <v>17</v>
      </c>
      <c r="K276" s="43">
        <v>72</v>
      </c>
      <c r="L276" s="43">
        <v>148</v>
      </c>
      <c r="M276" s="43">
        <v>33</v>
      </c>
      <c r="N276" s="43">
        <v>0</v>
      </c>
      <c r="O276" s="43">
        <v>253</v>
      </c>
      <c r="P276" s="45"/>
      <c r="Q276" s="47"/>
      <c r="R276" s="7"/>
      <c r="S276" s="45"/>
      <c r="T276" s="46"/>
    </row>
    <row r="277" spans="1:21" hidden="1" x14ac:dyDescent="0.25">
      <c r="A277" s="10" t="s">
        <v>587</v>
      </c>
      <c r="B277" s="25" t="s">
        <v>588</v>
      </c>
      <c r="C277" s="11" t="s">
        <v>589</v>
      </c>
      <c r="D277" s="9">
        <v>4520652</v>
      </c>
      <c r="G277" s="14"/>
      <c r="H277" s="13" t="s">
        <v>17</v>
      </c>
      <c r="K277" s="25">
        <v>764</v>
      </c>
      <c r="L277" s="25">
        <v>1342</v>
      </c>
      <c r="M277" s="25">
        <v>946</v>
      </c>
      <c r="N277" s="25">
        <v>679</v>
      </c>
      <c r="O277" s="25">
        <v>3731</v>
      </c>
      <c r="Q277" s="47"/>
      <c r="R277" s="7"/>
    </row>
    <row r="278" spans="1:21" s="9" customFormat="1" hidden="1" x14ac:dyDescent="0.25">
      <c r="A278" s="10" t="s">
        <v>590</v>
      </c>
      <c r="B278" s="9" t="s">
        <v>591</v>
      </c>
      <c r="C278" s="11" t="s">
        <v>589</v>
      </c>
      <c r="D278" s="9">
        <v>4520652</v>
      </c>
      <c r="E278" s="9">
        <v>4520652</v>
      </c>
      <c r="F278" s="9">
        <v>103</v>
      </c>
      <c r="G278" s="14"/>
      <c r="H278" s="13" t="s">
        <v>17</v>
      </c>
      <c r="K278" s="9">
        <v>0</v>
      </c>
      <c r="L278" s="9">
        <v>315</v>
      </c>
      <c r="M278" s="9">
        <v>70</v>
      </c>
      <c r="N278" s="9">
        <v>0</v>
      </c>
      <c r="O278" s="9">
        <v>385</v>
      </c>
      <c r="P278" s="6">
        <f>SUM(O277-O278)*1000</f>
        <v>3346000</v>
      </c>
      <c r="Q278" s="47">
        <f t="shared" si="14"/>
        <v>43.652968036529678</v>
      </c>
      <c r="R278" s="7">
        <f t="shared" si="16"/>
        <v>26191.780821917808</v>
      </c>
      <c r="S278" s="6">
        <v>43.65</v>
      </c>
      <c r="T278" s="7">
        <v>37.18</v>
      </c>
      <c r="U278" s="28" t="s">
        <v>58</v>
      </c>
    </row>
    <row r="279" spans="1:21" hidden="1" x14ac:dyDescent="0.25">
      <c r="A279" s="10" t="s">
        <v>592</v>
      </c>
      <c r="B279" s="11" t="s">
        <v>593</v>
      </c>
      <c r="C279" s="11" t="s">
        <v>594</v>
      </c>
      <c r="D279" s="9">
        <v>4520490</v>
      </c>
      <c r="E279" s="9">
        <v>4520490</v>
      </c>
      <c r="F279" s="9">
        <v>104</v>
      </c>
      <c r="G279" s="14"/>
      <c r="H279" s="13" t="s">
        <v>17</v>
      </c>
      <c r="K279" s="25">
        <v>10</v>
      </c>
      <c r="L279" s="25">
        <v>11</v>
      </c>
      <c r="M279" s="25">
        <v>10</v>
      </c>
      <c r="N279" s="25">
        <v>7</v>
      </c>
      <c r="O279" s="25">
        <v>76.650000000000006</v>
      </c>
      <c r="P279" s="30">
        <f>SUM(O279*1000)</f>
        <v>76650</v>
      </c>
      <c r="Q279" s="47">
        <f t="shared" si="14"/>
        <v>1</v>
      </c>
      <c r="R279" s="7">
        <f t="shared" si="16"/>
        <v>600</v>
      </c>
      <c r="S279" s="30">
        <v>1</v>
      </c>
      <c r="T279" s="27">
        <v>1</v>
      </c>
      <c r="U279" s="28" t="s">
        <v>62</v>
      </c>
    </row>
    <row r="280" spans="1:21" s="9" customFormat="1" hidden="1" x14ac:dyDescent="0.25">
      <c r="A280" s="10" t="s">
        <v>595</v>
      </c>
      <c r="B280" s="11" t="s">
        <v>596</v>
      </c>
      <c r="C280" s="11" t="s">
        <v>597</v>
      </c>
      <c r="D280" s="9">
        <v>4520510</v>
      </c>
      <c r="G280" s="14"/>
      <c r="H280" s="13" t="s">
        <v>17</v>
      </c>
      <c r="K280" s="9">
        <v>232</v>
      </c>
      <c r="L280" s="9">
        <v>111</v>
      </c>
      <c r="M280" s="9">
        <v>164</v>
      </c>
      <c r="N280" s="9">
        <v>118</v>
      </c>
      <c r="O280" s="9">
        <v>625</v>
      </c>
      <c r="P280" s="6"/>
      <c r="Q280" s="47"/>
      <c r="R280" s="7">
        <f t="shared" si="16"/>
        <v>0</v>
      </c>
      <c r="S280" s="6"/>
      <c r="T280" s="7"/>
    </row>
    <row r="281" spans="1:21" hidden="1" x14ac:dyDescent="0.25">
      <c r="A281" s="10" t="s">
        <v>598</v>
      </c>
      <c r="B281" s="11" t="s">
        <v>596</v>
      </c>
      <c r="C281" s="11" t="s">
        <v>377</v>
      </c>
      <c r="D281" s="9">
        <v>4520510</v>
      </c>
      <c r="G281" s="14"/>
      <c r="H281" s="13" t="s">
        <v>17</v>
      </c>
      <c r="K281" s="25">
        <v>36</v>
      </c>
      <c r="L281" s="25">
        <v>44</v>
      </c>
      <c r="M281" s="25">
        <v>5</v>
      </c>
      <c r="N281" s="25">
        <v>0</v>
      </c>
      <c r="O281" s="25">
        <v>85</v>
      </c>
      <c r="P281" s="30">
        <v>710000</v>
      </c>
      <c r="Q281" s="47">
        <f t="shared" si="14"/>
        <v>9.262883235485976</v>
      </c>
      <c r="R281" s="7">
        <f t="shared" si="16"/>
        <v>5557.7299412915854</v>
      </c>
      <c r="S281" s="30">
        <v>9.26</v>
      </c>
      <c r="T281" s="27">
        <v>9.39</v>
      </c>
      <c r="U281" s="28" t="s">
        <v>22</v>
      </c>
    </row>
    <row r="282" spans="1:21" hidden="1" x14ac:dyDescent="0.25">
      <c r="A282" s="31"/>
      <c r="B282" s="11" t="s">
        <v>596</v>
      </c>
      <c r="C282" s="25" t="s">
        <v>599</v>
      </c>
      <c r="D282" s="9">
        <v>4520510</v>
      </c>
      <c r="E282" s="9">
        <v>4520510</v>
      </c>
      <c r="F282" s="9">
        <v>105</v>
      </c>
      <c r="G282" s="13" t="s">
        <v>33</v>
      </c>
      <c r="H282" s="13" t="s">
        <v>17</v>
      </c>
      <c r="K282" s="25">
        <v>69</v>
      </c>
      <c r="L282" s="25">
        <v>499</v>
      </c>
      <c r="M282" s="25">
        <v>245</v>
      </c>
      <c r="N282" s="25">
        <v>0</v>
      </c>
      <c r="O282" s="25">
        <v>813</v>
      </c>
      <c r="Q282" s="47"/>
      <c r="R282" s="7"/>
    </row>
    <row r="283" spans="1:21" hidden="1" x14ac:dyDescent="0.25">
      <c r="A283" s="10" t="s">
        <v>600</v>
      </c>
      <c r="B283" s="11" t="s">
        <v>601</v>
      </c>
      <c r="C283" s="11" t="s">
        <v>602</v>
      </c>
      <c r="D283" s="9">
        <v>4540005</v>
      </c>
      <c r="G283" s="14"/>
      <c r="H283" s="13" t="s">
        <v>17</v>
      </c>
      <c r="K283" s="25">
        <v>2</v>
      </c>
      <c r="L283" s="25">
        <v>1</v>
      </c>
      <c r="M283" s="25">
        <v>2</v>
      </c>
      <c r="N283" s="25">
        <v>2</v>
      </c>
      <c r="O283" s="25">
        <v>7</v>
      </c>
      <c r="Q283" s="47"/>
      <c r="R283" s="7"/>
    </row>
    <row r="284" spans="1:21" hidden="1" x14ac:dyDescent="0.25">
      <c r="A284" s="10" t="s">
        <v>603</v>
      </c>
      <c r="B284" s="11" t="s">
        <v>604</v>
      </c>
      <c r="C284" s="11" t="s">
        <v>605</v>
      </c>
      <c r="D284" s="9">
        <v>4540005</v>
      </c>
      <c r="E284" s="9">
        <v>4540005</v>
      </c>
      <c r="F284" s="9">
        <v>104</v>
      </c>
      <c r="G284" s="14"/>
      <c r="H284" s="13" t="s">
        <v>17</v>
      </c>
      <c r="K284" s="25">
        <v>48</v>
      </c>
      <c r="L284" s="25">
        <v>27</v>
      </c>
      <c r="M284" s="25">
        <v>42</v>
      </c>
      <c r="N284" s="25">
        <v>34</v>
      </c>
      <c r="O284" s="25">
        <v>151</v>
      </c>
      <c r="P284" s="30">
        <f>SUM(O283:O284)*1000</f>
        <v>158000</v>
      </c>
      <c r="Q284" s="47">
        <f t="shared" si="14"/>
        <v>2.0613176777560338</v>
      </c>
      <c r="R284" s="7">
        <f t="shared" si="16"/>
        <v>1236.7906066536202</v>
      </c>
      <c r="S284" s="30">
        <v>2.06</v>
      </c>
      <c r="T284" s="27">
        <v>1.62</v>
      </c>
      <c r="U284" s="28" t="s">
        <v>58</v>
      </c>
    </row>
    <row r="285" spans="1:21" hidden="1" x14ac:dyDescent="0.25">
      <c r="A285" s="10" t="s">
        <v>606</v>
      </c>
      <c r="B285" s="11" t="s">
        <v>607</v>
      </c>
      <c r="C285" s="11" t="s">
        <v>608</v>
      </c>
      <c r="D285" s="9">
        <v>4540006</v>
      </c>
      <c r="G285" s="14"/>
      <c r="H285" s="13" t="s">
        <v>17</v>
      </c>
      <c r="K285" s="5">
        <v>10</v>
      </c>
      <c r="L285" s="5">
        <v>67</v>
      </c>
      <c r="M285" s="5">
        <v>21</v>
      </c>
      <c r="N285" s="5">
        <v>0</v>
      </c>
      <c r="O285" s="5">
        <v>98</v>
      </c>
      <c r="Q285" s="47"/>
      <c r="R285" s="7"/>
    </row>
    <row r="286" spans="1:21" hidden="1" x14ac:dyDescent="0.25">
      <c r="A286" s="10" t="s">
        <v>609</v>
      </c>
      <c r="B286" s="51" t="s">
        <v>607</v>
      </c>
      <c r="C286" s="51" t="s">
        <v>610</v>
      </c>
      <c r="D286" s="48">
        <v>4540006</v>
      </c>
      <c r="E286" s="48">
        <v>4540006</v>
      </c>
      <c r="F286" s="48">
        <v>105</v>
      </c>
      <c r="G286" s="52"/>
      <c r="H286" s="53" t="s">
        <v>17</v>
      </c>
      <c r="K286" s="5">
        <v>24</v>
      </c>
      <c r="L286" s="5">
        <v>76</v>
      </c>
      <c r="M286" s="5">
        <v>31</v>
      </c>
      <c r="N286" s="5">
        <v>29</v>
      </c>
      <c r="O286" s="5">
        <v>160</v>
      </c>
      <c r="P286" s="30">
        <v>76650</v>
      </c>
      <c r="Q286" s="47">
        <f t="shared" si="14"/>
        <v>1</v>
      </c>
      <c r="R286" s="7">
        <f t="shared" si="16"/>
        <v>600</v>
      </c>
      <c r="S286" s="30">
        <v>1</v>
      </c>
      <c r="T286" s="27">
        <v>1</v>
      </c>
      <c r="U286" s="28" t="s">
        <v>62</v>
      </c>
    </row>
    <row r="287" spans="1:21" hidden="1" x14ac:dyDescent="0.25">
      <c r="A287" s="10" t="s">
        <v>611</v>
      </c>
      <c r="B287" s="11" t="s">
        <v>612</v>
      </c>
      <c r="C287" s="11" t="s">
        <v>613</v>
      </c>
      <c r="D287" s="9">
        <v>4540011</v>
      </c>
      <c r="E287" s="9">
        <v>4540011</v>
      </c>
      <c r="F287" s="9">
        <v>106</v>
      </c>
      <c r="G287" s="14"/>
      <c r="H287" s="13" t="s">
        <v>17</v>
      </c>
      <c r="K287" s="25">
        <v>2</v>
      </c>
      <c r="L287" s="25">
        <v>2</v>
      </c>
      <c r="M287" s="25">
        <v>2</v>
      </c>
      <c r="N287" s="25">
        <v>3</v>
      </c>
      <c r="O287" s="25">
        <v>76.650000000000006</v>
      </c>
      <c r="P287" s="30">
        <f>SUM(O287*1000)</f>
        <v>76650</v>
      </c>
      <c r="Q287" s="47">
        <f t="shared" si="14"/>
        <v>1</v>
      </c>
      <c r="R287" s="7">
        <f t="shared" si="16"/>
        <v>600</v>
      </c>
      <c r="S287" s="30">
        <v>1</v>
      </c>
      <c r="T287" s="27">
        <v>1</v>
      </c>
      <c r="U287" s="28" t="s">
        <v>62</v>
      </c>
    </row>
    <row r="288" spans="1:21" hidden="1" x14ac:dyDescent="0.25">
      <c r="A288" s="10" t="s">
        <v>614</v>
      </c>
      <c r="B288" s="11" t="s">
        <v>615</v>
      </c>
      <c r="C288" s="11" t="s">
        <v>616</v>
      </c>
      <c r="D288" s="9">
        <v>4540012</v>
      </c>
      <c r="E288" s="9">
        <v>4540012</v>
      </c>
      <c r="F288" s="9">
        <v>107</v>
      </c>
      <c r="G288" s="14"/>
      <c r="H288" s="13" t="s">
        <v>17</v>
      </c>
      <c r="K288" s="25">
        <v>25</v>
      </c>
      <c r="L288" s="25">
        <v>26</v>
      </c>
      <c r="M288" s="25">
        <v>25</v>
      </c>
      <c r="N288" s="25">
        <v>27</v>
      </c>
      <c r="O288" s="25">
        <v>103</v>
      </c>
      <c r="P288" s="30">
        <f t="shared" ref="P288:P294" si="18">SUM(O288*1000)</f>
        <v>103000</v>
      </c>
      <c r="Q288" s="47">
        <f t="shared" si="14"/>
        <v>1.3437703848662752</v>
      </c>
      <c r="R288" s="7">
        <f t="shared" si="16"/>
        <v>806.2622309197651</v>
      </c>
      <c r="S288" s="30">
        <v>1.34</v>
      </c>
      <c r="T288" s="27">
        <v>1.79</v>
      </c>
      <c r="U288" s="28" t="s">
        <v>58</v>
      </c>
    </row>
    <row r="289" spans="1:21" hidden="1" x14ac:dyDescent="0.25">
      <c r="A289" s="10" t="s">
        <v>617</v>
      </c>
      <c r="B289" s="11" t="s">
        <v>618</v>
      </c>
      <c r="C289" s="11" t="s">
        <v>619</v>
      </c>
      <c r="D289" s="9">
        <v>4540014</v>
      </c>
      <c r="G289" s="14"/>
      <c r="H289" s="13" t="s">
        <v>17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30">
        <f t="shared" si="18"/>
        <v>0</v>
      </c>
      <c r="Q289" s="47"/>
      <c r="R289" s="7"/>
    </row>
    <row r="290" spans="1:21" x14ac:dyDescent="0.25">
      <c r="A290" s="10" t="s">
        <v>620</v>
      </c>
      <c r="B290" s="11" t="s">
        <v>618</v>
      </c>
      <c r="C290" s="11" t="s">
        <v>619</v>
      </c>
      <c r="D290" s="9">
        <v>4540014</v>
      </c>
      <c r="E290" s="9">
        <v>4540014</v>
      </c>
      <c r="F290" s="9">
        <v>108</v>
      </c>
      <c r="G290" s="14"/>
      <c r="H290" s="13" t="s">
        <v>17</v>
      </c>
      <c r="O290" s="5">
        <v>76.650000000000006</v>
      </c>
      <c r="P290" s="30">
        <f t="shared" si="18"/>
        <v>76650</v>
      </c>
      <c r="Q290" s="47">
        <f t="shared" si="14"/>
        <v>1</v>
      </c>
      <c r="R290" s="7">
        <f t="shared" si="16"/>
        <v>600</v>
      </c>
      <c r="S290" s="30">
        <v>1</v>
      </c>
      <c r="T290" s="27">
        <v>1</v>
      </c>
      <c r="U290" s="28" t="s">
        <v>62</v>
      </c>
    </row>
    <row r="291" spans="1:21" hidden="1" x14ac:dyDescent="0.25">
      <c r="A291" s="10"/>
      <c r="B291" s="11" t="s">
        <v>621</v>
      </c>
      <c r="C291" s="11" t="s">
        <v>622</v>
      </c>
      <c r="D291" s="9">
        <v>4540016</v>
      </c>
      <c r="E291" s="9">
        <v>4540016</v>
      </c>
      <c r="G291" s="14"/>
      <c r="H291" s="13" t="s">
        <v>17</v>
      </c>
      <c r="K291" s="25">
        <v>0</v>
      </c>
      <c r="L291" s="25">
        <v>0</v>
      </c>
      <c r="M291" s="25">
        <v>0</v>
      </c>
      <c r="N291" s="25">
        <v>0</v>
      </c>
      <c r="O291" s="25">
        <v>76.650000000000006</v>
      </c>
      <c r="P291" s="30">
        <f t="shared" si="18"/>
        <v>76650</v>
      </c>
      <c r="Q291" s="47">
        <f t="shared" si="14"/>
        <v>1</v>
      </c>
      <c r="R291" s="7">
        <f t="shared" si="16"/>
        <v>600</v>
      </c>
      <c r="S291" s="30">
        <v>1</v>
      </c>
      <c r="T291" s="27">
        <v>1</v>
      </c>
      <c r="U291" s="28" t="s">
        <v>62</v>
      </c>
    </row>
    <row r="292" spans="1:21" hidden="1" x14ac:dyDescent="0.25">
      <c r="A292" s="10" t="s">
        <v>623</v>
      </c>
      <c r="B292" s="11" t="s">
        <v>624</v>
      </c>
      <c r="C292" s="11" t="s">
        <v>625</v>
      </c>
      <c r="D292" s="9">
        <v>4540017</v>
      </c>
      <c r="E292" s="9">
        <v>4540017</v>
      </c>
      <c r="F292" s="9">
        <v>109</v>
      </c>
      <c r="G292" s="14"/>
      <c r="H292" s="13" t="s">
        <v>17</v>
      </c>
      <c r="K292" s="25">
        <v>1</v>
      </c>
      <c r="L292" s="25">
        <v>1</v>
      </c>
      <c r="M292" s="25">
        <v>1</v>
      </c>
      <c r="N292" s="25">
        <v>1</v>
      </c>
      <c r="O292" s="25">
        <v>76.650000000000006</v>
      </c>
      <c r="P292" s="30">
        <f t="shared" si="18"/>
        <v>76650</v>
      </c>
      <c r="Q292" s="47">
        <f t="shared" si="14"/>
        <v>1</v>
      </c>
      <c r="R292" s="7">
        <f t="shared" si="16"/>
        <v>600</v>
      </c>
      <c r="S292" s="30">
        <v>1</v>
      </c>
    </row>
    <row r="293" spans="1:21" hidden="1" x14ac:dyDescent="0.25">
      <c r="A293" s="10" t="s">
        <v>626</v>
      </c>
      <c r="B293" s="11" t="s">
        <v>627</v>
      </c>
      <c r="C293" s="11" t="s">
        <v>628</v>
      </c>
      <c r="D293" s="9">
        <v>4540020</v>
      </c>
      <c r="E293" s="9">
        <v>4540020</v>
      </c>
      <c r="F293" s="9">
        <v>110</v>
      </c>
      <c r="G293" s="14"/>
      <c r="H293" s="13" t="s">
        <v>17</v>
      </c>
      <c r="K293" s="25">
        <v>29</v>
      </c>
      <c r="L293" s="25">
        <v>42</v>
      </c>
      <c r="M293" s="25">
        <v>22</v>
      </c>
      <c r="N293" s="25">
        <v>170</v>
      </c>
      <c r="O293" s="25">
        <v>263</v>
      </c>
      <c r="P293" s="30">
        <f t="shared" si="18"/>
        <v>263000</v>
      </c>
      <c r="Q293" s="47">
        <f t="shared" si="14"/>
        <v>3.4311806914546641</v>
      </c>
      <c r="R293" s="7">
        <f t="shared" si="16"/>
        <v>2058.7084148727986</v>
      </c>
      <c r="S293" s="30">
        <v>3.43</v>
      </c>
      <c r="T293" s="27">
        <v>2.02</v>
      </c>
      <c r="U293" s="28" t="s">
        <v>58</v>
      </c>
    </row>
    <row r="294" spans="1:21" hidden="1" x14ac:dyDescent="0.25">
      <c r="A294" s="10" t="s">
        <v>629</v>
      </c>
      <c r="B294" s="11" t="s">
        <v>630</v>
      </c>
      <c r="C294" s="11" t="s">
        <v>631</v>
      </c>
      <c r="D294" s="9">
        <v>4540021</v>
      </c>
      <c r="E294" s="9">
        <v>4540021</v>
      </c>
      <c r="F294" s="9">
        <v>111</v>
      </c>
      <c r="G294" s="14"/>
      <c r="H294" s="13" t="s">
        <v>17</v>
      </c>
      <c r="K294" s="25">
        <v>16</v>
      </c>
      <c r="L294" s="25">
        <v>17</v>
      </c>
      <c r="M294" s="25">
        <v>13</v>
      </c>
      <c r="N294" s="25">
        <v>12</v>
      </c>
      <c r="O294" s="25">
        <v>76.650000000000006</v>
      </c>
      <c r="P294" s="30">
        <f t="shared" si="18"/>
        <v>76650</v>
      </c>
      <c r="Q294" s="47">
        <f t="shared" si="14"/>
        <v>1</v>
      </c>
      <c r="R294" s="7">
        <f t="shared" si="16"/>
        <v>600</v>
      </c>
      <c r="S294" s="30">
        <v>1</v>
      </c>
      <c r="T294" s="27">
        <v>1</v>
      </c>
      <c r="U294" s="28" t="s">
        <v>62</v>
      </c>
    </row>
    <row r="295" spans="1:21" hidden="1" x14ac:dyDescent="0.25">
      <c r="A295" s="10" t="s">
        <v>632</v>
      </c>
      <c r="B295" s="11" t="s">
        <v>633</v>
      </c>
      <c r="C295" s="11" t="s">
        <v>634</v>
      </c>
      <c r="D295" s="9">
        <v>4540026</v>
      </c>
      <c r="G295" s="14"/>
      <c r="H295" s="13" t="s">
        <v>17</v>
      </c>
      <c r="K295" s="25">
        <v>296</v>
      </c>
      <c r="L295" s="25">
        <v>349</v>
      </c>
      <c r="M295" s="25">
        <v>339</v>
      </c>
      <c r="N295" s="25">
        <v>271</v>
      </c>
      <c r="O295" s="25">
        <v>1255</v>
      </c>
      <c r="Q295" s="47"/>
      <c r="R295" s="7"/>
    </row>
    <row r="296" spans="1:21" hidden="1" x14ac:dyDescent="0.25">
      <c r="A296" s="10" t="s">
        <v>635</v>
      </c>
      <c r="B296" s="25" t="s">
        <v>636</v>
      </c>
      <c r="C296" s="11" t="s">
        <v>634</v>
      </c>
      <c r="D296" s="9">
        <v>4540026</v>
      </c>
      <c r="G296" s="14"/>
      <c r="H296" s="13" t="s">
        <v>17</v>
      </c>
      <c r="K296" s="25">
        <v>24</v>
      </c>
      <c r="L296" s="25">
        <v>278</v>
      </c>
      <c r="M296" s="25">
        <v>58</v>
      </c>
      <c r="N296" s="25">
        <v>18</v>
      </c>
      <c r="O296" s="25">
        <v>378</v>
      </c>
      <c r="Q296" s="47"/>
      <c r="R296" s="7"/>
    </row>
    <row r="297" spans="1:21" s="9" customFormat="1" hidden="1" x14ac:dyDescent="0.25">
      <c r="A297" s="10" t="s">
        <v>637</v>
      </c>
      <c r="B297" s="9" t="s">
        <v>638</v>
      </c>
      <c r="C297" s="11" t="s">
        <v>634</v>
      </c>
      <c r="D297" s="9">
        <v>4540026</v>
      </c>
      <c r="E297" s="9">
        <v>4540026</v>
      </c>
      <c r="F297" s="9">
        <v>112</v>
      </c>
      <c r="G297" s="14"/>
      <c r="H297" s="13" t="s">
        <v>17</v>
      </c>
      <c r="K297" s="9">
        <v>2</v>
      </c>
      <c r="L297" s="9">
        <v>169</v>
      </c>
      <c r="M297" s="9">
        <v>30</v>
      </c>
      <c r="N297" s="9">
        <v>0</v>
      </c>
      <c r="O297" s="9">
        <v>201</v>
      </c>
      <c r="P297" s="6">
        <f>SUM(O296-O297+O295)*1000</f>
        <v>1432000</v>
      </c>
      <c r="Q297" s="47">
        <f t="shared" ref="Q297:Q361" si="19">SUM(P297/76650)</f>
        <v>18.68232224396608</v>
      </c>
      <c r="R297" s="7">
        <f t="shared" si="16"/>
        <v>11209.393346379647</v>
      </c>
      <c r="S297" s="6">
        <v>18.68</v>
      </c>
      <c r="T297" s="7">
        <v>17.53</v>
      </c>
      <c r="U297" s="28" t="s">
        <v>58</v>
      </c>
    </row>
    <row r="298" spans="1:21" hidden="1" x14ac:dyDescent="0.25">
      <c r="A298" s="10" t="s">
        <v>639</v>
      </c>
      <c r="B298" s="25" t="s">
        <v>640</v>
      </c>
      <c r="C298" s="11" t="s">
        <v>641</v>
      </c>
      <c r="D298" s="9">
        <v>4540029</v>
      </c>
      <c r="G298" s="14"/>
      <c r="H298" s="13" t="s">
        <v>17</v>
      </c>
      <c r="K298" s="25">
        <v>0</v>
      </c>
      <c r="L298" s="25">
        <v>0</v>
      </c>
      <c r="M298" s="25">
        <v>0</v>
      </c>
      <c r="N298" s="25">
        <v>0</v>
      </c>
      <c r="O298" s="25">
        <v>0</v>
      </c>
      <c r="Q298" s="47"/>
      <c r="R298" s="7"/>
    </row>
    <row r="299" spans="1:21" hidden="1" x14ac:dyDescent="0.25">
      <c r="A299" s="10" t="s">
        <v>642</v>
      </c>
      <c r="B299" s="25" t="s">
        <v>643</v>
      </c>
      <c r="C299" s="11" t="s">
        <v>644</v>
      </c>
      <c r="D299" s="9">
        <v>4540029</v>
      </c>
      <c r="G299" s="14"/>
      <c r="H299" s="13" t="s">
        <v>17</v>
      </c>
      <c r="K299" s="25">
        <v>47</v>
      </c>
      <c r="L299" s="25">
        <v>42</v>
      </c>
      <c r="M299" s="25">
        <v>35</v>
      </c>
      <c r="N299" s="25">
        <v>50</v>
      </c>
      <c r="O299" s="25">
        <v>174</v>
      </c>
      <c r="Q299" s="47"/>
      <c r="R299" s="7"/>
    </row>
    <row r="300" spans="1:21" hidden="1" x14ac:dyDescent="0.25">
      <c r="A300" s="10" t="s">
        <v>645</v>
      </c>
      <c r="B300" s="25" t="s">
        <v>646</v>
      </c>
      <c r="C300" s="11" t="s">
        <v>647</v>
      </c>
      <c r="D300" s="9">
        <v>4540029</v>
      </c>
      <c r="G300" s="14"/>
      <c r="H300" s="13" t="s">
        <v>17</v>
      </c>
      <c r="K300" s="25">
        <v>0</v>
      </c>
      <c r="L300" s="25">
        <v>0</v>
      </c>
      <c r="M300" s="25">
        <v>0</v>
      </c>
      <c r="N300" s="25">
        <v>0</v>
      </c>
      <c r="O300" s="25">
        <v>0</v>
      </c>
      <c r="Q300" s="47"/>
      <c r="R300" s="7"/>
    </row>
    <row r="301" spans="1:21" hidden="1" x14ac:dyDescent="0.25">
      <c r="A301" s="10" t="s">
        <v>648</v>
      </c>
      <c r="B301" s="25" t="s">
        <v>649</v>
      </c>
      <c r="C301" s="11" t="s">
        <v>650</v>
      </c>
      <c r="D301" s="9">
        <v>4540029</v>
      </c>
      <c r="E301" s="9">
        <v>4540029</v>
      </c>
      <c r="F301" s="9">
        <v>113</v>
      </c>
      <c r="G301" s="14"/>
      <c r="H301" s="13" t="s">
        <v>17</v>
      </c>
      <c r="K301" s="25">
        <v>0</v>
      </c>
      <c r="L301" s="25">
        <v>0</v>
      </c>
      <c r="M301" s="25">
        <v>0</v>
      </c>
      <c r="N301" s="25">
        <v>0</v>
      </c>
      <c r="O301" s="25">
        <v>0</v>
      </c>
      <c r="P301" s="30">
        <v>174000</v>
      </c>
      <c r="Q301" s="47">
        <f t="shared" si="19"/>
        <v>2.2700587084148727</v>
      </c>
      <c r="R301" s="7">
        <f t="shared" si="16"/>
        <v>1362.0352250489236</v>
      </c>
      <c r="S301" s="30">
        <v>2.27</v>
      </c>
      <c r="T301" s="27">
        <v>1</v>
      </c>
      <c r="U301" s="28" t="s">
        <v>58</v>
      </c>
    </row>
    <row r="302" spans="1:21" hidden="1" x14ac:dyDescent="0.25">
      <c r="A302" s="10" t="s">
        <v>651</v>
      </c>
      <c r="B302" s="11" t="s">
        <v>652</v>
      </c>
      <c r="C302" s="11" t="s">
        <v>653</v>
      </c>
      <c r="D302" s="9">
        <v>4540037</v>
      </c>
      <c r="E302" s="9">
        <v>4540037</v>
      </c>
      <c r="F302" s="9">
        <v>114</v>
      </c>
      <c r="G302" s="14"/>
      <c r="H302" s="13" t="s">
        <v>17</v>
      </c>
      <c r="K302" s="25">
        <v>21</v>
      </c>
      <c r="L302" s="25">
        <v>21</v>
      </c>
      <c r="M302" s="25">
        <v>19</v>
      </c>
      <c r="N302" s="25">
        <v>17</v>
      </c>
      <c r="O302" s="25">
        <v>78</v>
      </c>
      <c r="P302" s="30">
        <f>SUM(O302*1000)</f>
        <v>78000</v>
      </c>
      <c r="Q302" s="47">
        <f t="shared" si="19"/>
        <v>1.0176125244618395</v>
      </c>
      <c r="R302" s="7">
        <f t="shared" si="16"/>
        <v>610.56751467710365</v>
      </c>
      <c r="S302" s="30">
        <v>1.02</v>
      </c>
    </row>
    <row r="303" spans="1:21" s="43" customFormat="1" hidden="1" x14ac:dyDescent="0.25">
      <c r="A303" s="10" t="s">
        <v>654</v>
      </c>
      <c r="B303" s="43" t="s">
        <v>655</v>
      </c>
      <c r="C303" s="43" t="s">
        <v>656</v>
      </c>
      <c r="D303" s="43">
        <v>4540043</v>
      </c>
      <c r="G303" s="54"/>
      <c r="H303" s="44" t="s">
        <v>17</v>
      </c>
      <c r="K303" s="43">
        <v>9</v>
      </c>
      <c r="L303" s="43">
        <v>90</v>
      </c>
      <c r="M303" s="43">
        <v>14</v>
      </c>
      <c r="N303" s="43">
        <v>0</v>
      </c>
      <c r="O303" s="43">
        <v>113</v>
      </c>
      <c r="P303" s="45"/>
      <c r="Q303" s="47"/>
      <c r="R303" s="7"/>
      <c r="S303" s="45"/>
      <c r="T303" s="46"/>
    </row>
    <row r="304" spans="1:21" s="9" customFormat="1" hidden="1" x14ac:dyDescent="0.25">
      <c r="A304" s="10" t="s">
        <v>657</v>
      </c>
      <c r="B304" s="9" t="s">
        <v>658</v>
      </c>
      <c r="C304" s="9" t="s">
        <v>656</v>
      </c>
      <c r="D304" s="9">
        <v>4540043</v>
      </c>
      <c r="E304" s="9">
        <v>4540043</v>
      </c>
      <c r="F304" s="9">
        <v>115</v>
      </c>
      <c r="G304" s="14"/>
      <c r="H304" s="13" t="s">
        <v>17</v>
      </c>
      <c r="K304" s="9">
        <v>30</v>
      </c>
      <c r="L304" s="9">
        <v>142</v>
      </c>
      <c r="M304" s="9">
        <v>66</v>
      </c>
      <c r="N304" s="9">
        <v>58</v>
      </c>
      <c r="O304" s="9">
        <v>296</v>
      </c>
      <c r="P304" s="6">
        <f>SUM(O304-O303)*1000</f>
        <v>183000</v>
      </c>
      <c r="Q304" s="47">
        <f t="shared" si="19"/>
        <v>2.3874755381604698</v>
      </c>
      <c r="R304" s="7">
        <f t="shared" si="16"/>
        <v>1432.4853228962818</v>
      </c>
      <c r="S304" s="6">
        <v>2.39</v>
      </c>
      <c r="T304" s="7">
        <v>3.54</v>
      </c>
      <c r="U304" s="28" t="s">
        <v>22</v>
      </c>
    </row>
    <row r="305" spans="1:21" hidden="1" x14ac:dyDescent="0.25">
      <c r="A305" s="10" t="s">
        <v>659</v>
      </c>
      <c r="B305" s="11" t="s">
        <v>660</v>
      </c>
      <c r="C305" s="11" t="s">
        <v>661</v>
      </c>
      <c r="D305" s="9">
        <v>4540045</v>
      </c>
      <c r="E305" s="9">
        <v>4540045</v>
      </c>
      <c r="F305" s="9">
        <v>116</v>
      </c>
      <c r="G305" s="14"/>
      <c r="H305" s="13" t="s">
        <v>17</v>
      </c>
      <c r="K305" s="25">
        <v>34</v>
      </c>
      <c r="L305" s="25">
        <v>42</v>
      </c>
      <c r="M305" s="25">
        <v>34</v>
      </c>
      <c r="N305" s="25">
        <v>32</v>
      </c>
      <c r="O305" s="25">
        <v>142</v>
      </c>
      <c r="P305" s="30">
        <v>142000</v>
      </c>
      <c r="Q305" s="47">
        <f t="shared" si="19"/>
        <v>1.8525766470971949</v>
      </c>
      <c r="R305" s="7">
        <f t="shared" si="16"/>
        <v>1111.545988258317</v>
      </c>
      <c r="S305" s="30">
        <v>1.85</v>
      </c>
      <c r="T305" s="27">
        <v>1</v>
      </c>
      <c r="U305" s="28" t="s">
        <v>22</v>
      </c>
    </row>
    <row r="306" spans="1:21" hidden="1" x14ac:dyDescent="0.25">
      <c r="A306" s="10"/>
      <c r="B306" s="11" t="s">
        <v>662</v>
      </c>
      <c r="C306" s="11" t="s">
        <v>663</v>
      </c>
      <c r="D306" s="9">
        <v>4540047</v>
      </c>
      <c r="E306" s="9">
        <v>4540047</v>
      </c>
      <c r="F306" s="9">
        <v>117</v>
      </c>
      <c r="G306" s="14"/>
      <c r="H306" s="13" t="s">
        <v>17</v>
      </c>
      <c r="K306" s="25">
        <v>21</v>
      </c>
      <c r="L306" s="25">
        <v>8</v>
      </c>
      <c r="M306" s="25">
        <v>5</v>
      </c>
      <c r="N306" s="25">
        <v>5</v>
      </c>
      <c r="O306" s="25">
        <v>76.650000000000006</v>
      </c>
      <c r="P306" s="30">
        <f>SUM(O306*1000)</f>
        <v>76650</v>
      </c>
      <c r="Q306" s="47">
        <f t="shared" si="19"/>
        <v>1</v>
      </c>
      <c r="R306" s="7">
        <f t="shared" si="16"/>
        <v>600</v>
      </c>
      <c r="S306" s="30">
        <v>1</v>
      </c>
      <c r="T306" s="27">
        <v>1</v>
      </c>
      <c r="U306" s="28" t="s">
        <v>62</v>
      </c>
    </row>
    <row r="307" spans="1:21" hidden="1" x14ac:dyDescent="0.25">
      <c r="A307" s="10" t="s">
        <v>664</v>
      </c>
      <c r="B307" s="11" t="s">
        <v>665</v>
      </c>
      <c r="C307" s="11" t="s">
        <v>666</v>
      </c>
      <c r="D307" s="9">
        <v>4540049</v>
      </c>
      <c r="E307" s="9">
        <v>4540049</v>
      </c>
      <c r="F307" s="9">
        <v>118</v>
      </c>
      <c r="G307" s="14"/>
      <c r="H307" s="13" t="s">
        <v>17</v>
      </c>
      <c r="K307" s="25">
        <v>18</v>
      </c>
      <c r="L307" s="25">
        <v>13</v>
      </c>
      <c r="M307" s="25">
        <v>12</v>
      </c>
      <c r="N307" s="25">
        <v>18</v>
      </c>
      <c r="O307" s="25">
        <v>76.650000000000006</v>
      </c>
      <c r="P307" s="30">
        <f>SUM(O307*1000)</f>
        <v>76650</v>
      </c>
      <c r="Q307" s="47">
        <f t="shared" si="19"/>
        <v>1</v>
      </c>
      <c r="R307" s="7">
        <f t="shared" si="16"/>
        <v>600</v>
      </c>
      <c r="S307" s="30">
        <v>1</v>
      </c>
      <c r="T307" s="27">
        <v>1</v>
      </c>
      <c r="U307" s="28" t="s">
        <v>62</v>
      </c>
    </row>
    <row r="308" spans="1:21" s="9" customFormat="1" hidden="1" x14ac:dyDescent="0.25">
      <c r="A308" s="10" t="s">
        <v>667</v>
      </c>
      <c r="B308" s="11" t="s">
        <v>668</v>
      </c>
      <c r="C308" s="11" t="s">
        <v>28</v>
      </c>
      <c r="D308" s="9">
        <v>2210016</v>
      </c>
      <c r="G308" s="13"/>
      <c r="H308" s="13" t="s">
        <v>17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6"/>
      <c r="Q308" s="47"/>
      <c r="R308" s="7"/>
      <c r="S308" s="6"/>
      <c r="T308" s="7"/>
    </row>
    <row r="309" spans="1:21" hidden="1" x14ac:dyDescent="0.25">
      <c r="A309" s="10" t="s">
        <v>669</v>
      </c>
      <c r="B309" s="11" t="s">
        <v>670</v>
      </c>
      <c r="C309" s="11" t="s">
        <v>28</v>
      </c>
      <c r="D309" s="9">
        <v>2210016</v>
      </c>
      <c r="H309" s="13" t="s">
        <v>17</v>
      </c>
      <c r="K309" s="25">
        <v>0</v>
      </c>
      <c r="L309" s="25">
        <v>2</v>
      </c>
      <c r="M309" s="25">
        <v>2</v>
      </c>
      <c r="N309" s="25">
        <v>1</v>
      </c>
      <c r="O309" s="25">
        <v>5</v>
      </c>
      <c r="Q309" s="47"/>
      <c r="R309" s="7"/>
    </row>
    <row r="310" spans="1:21" hidden="1" x14ac:dyDescent="0.25">
      <c r="A310" s="10" t="s">
        <v>290</v>
      </c>
      <c r="B310" s="5" t="s">
        <v>291</v>
      </c>
      <c r="C310" s="11" t="s">
        <v>28</v>
      </c>
      <c r="D310" s="9">
        <v>2210016</v>
      </c>
      <c r="H310" s="13" t="s">
        <v>17</v>
      </c>
      <c r="K310" s="25">
        <v>10</v>
      </c>
      <c r="L310" s="25">
        <v>58</v>
      </c>
      <c r="M310" s="25">
        <v>17</v>
      </c>
      <c r="N310" s="25">
        <v>0</v>
      </c>
      <c r="O310" s="25">
        <v>85</v>
      </c>
      <c r="Q310" s="47"/>
      <c r="R310" s="7"/>
    </row>
    <row r="311" spans="1:21" s="9" customFormat="1" hidden="1" x14ac:dyDescent="0.25">
      <c r="A311" s="10" t="s">
        <v>292</v>
      </c>
      <c r="B311" s="9" t="s">
        <v>293</v>
      </c>
      <c r="C311" s="11" t="s">
        <v>28</v>
      </c>
      <c r="D311" s="9">
        <v>2210016</v>
      </c>
      <c r="G311" s="13"/>
      <c r="H311" s="13" t="s">
        <v>17</v>
      </c>
      <c r="K311" s="9">
        <v>26</v>
      </c>
      <c r="L311" s="9">
        <v>80</v>
      </c>
      <c r="M311" s="9">
        <v>25</v>
      </c>
      <c r="N311" s="9">
        <v>7</v>
      </c>
      <c r="O311" s="9">
        <v>138</v>
      </c>
      <c r="P311" s="6"/>
      <c r="Q311" s="47"/>
      <c r="R311" s="7"/>
      <c r="S311" s="6"/>
      <c r="T311" s="7"/>
    </row>
    <row r="312" spans="1:21" hidden="1" x14ac:dyDescent="0.25">
      <c r="A312" s="10" t="s">
        <v>287</v>
      </c>
      <c r="B312" s="11" t="s">
        <v>288</v>
      </c>
      <c r="C312" s="11" t="s">
        <v>28</v>
      </c>
      <c r="D312" s="9">
        <v>2210016</v>
      </c>
      <c r="E312" s="9">
        <v>2210016</v>
      </c>
      <c r="H312" s="13" t="s">
        <v>17</v>
      </c>
      <c r="K312" s="25">
        <v>1</v>
      </c>
      <c r="L312" s="25">
        <v>14</v>
      </c>
      <c r="M312" s="25">
        <v>27</v>
      </c>
      <c r="N312" s="25">
        <v>27</v>
      </c>
      <c r="O312" s="25">
        <v>69</v>
      </c>
      <c r="P312" s="30">
        <f>SUM(O308:O312)*1000</f>
        <v>297000</v>
      </c>
      <c r="Q312" s="47">
        <f t="shared" si="19"/>
        <v>3.8747553816046967</v>
      </c>
      <c r="R312" s="7">
        <f t="shared" si="16"/>
        <v>2324.8532289628179</v>
      </c>
      <c r="S312" s="30">
        <v>3.87</v>
      </c>
      <c r="T312" s="27">
        <v>3.71</v>
      </c>
      <c r="U312" s="28" t="s">
        <v>58</v>
      </c>
    </row>
    <row r="313" spans="1:21" hidden="1" x14ac:dyDescent="0.25">
      <c r="A313" s="31"/>
      <c r="B313" t="s">
        <v>671</v>
      </c>
      <c r="C313" t="s">
        <v>672</v>
      </c>
      <c r="D313" s="39">
        <v>4540060</v>
      </c>
      <c r="H313" s="13" t="s">
        <v>17</v>
      </c>
      <c r="K313">
        <v>0</v>
      </c>
      <c r="L313">
        <v>50</v>
      </c>
      <c r="M313">
        <v>14</v>
      </c>
      <c r="N313">
        <v>0</v>
      </c>
      <c r="O313">
        <v>64</v>
      </c>
      <c r="Q313" s="47"/>
      <c r="R313" s="7"/>
    </row>
    <row r="314" spans="1:21" s="43" customFormat="1" hidden="1" x14ac:dyDescent="0.25">
      <c r="A314" s="31"/>
      <c r="B314" s="55" t="s">
        <v>673</v>
      </c>
      <c r="C314" s="55" t="s">
        <v>674</v>
      </c>
      <c r="D314" s="39">
        <v>4540060</v>
      </c>
      <c r="G314" s="44" t="s">
        <v>33</v>
      </c>
      <c r="H314" s="13" t="s">
        <v>17</v>
      </c>
      <c r="K314" s="55">
        <v>1</v>
      </c>
      <c r="L314" s="55">
        <v>132</v>
      </c>
      <c r="M314" s="55">
        <v>83</v>
      </c>
      <c r="N314" s="55">
        <v>0</v>
      </c>
      <c r="O314" s="55">
        <v>216</v>
      </c>
      <c r="P314" s="45"/>
      <c r="Q314" s="47"/>
      <c r="R314" s="7"/>
      <c r="S314" s="45"/>
      <c r="T314" s="46"/>
    </row>
    <row r="315" spans="1:21" hidden="1" x14ac:dyDescent="0.25">
      <c r="A315" s="31"/>
      <c r="B315" t="s">
        <v>675</v>
      </c>
      <c r="C315" t="s">
        <v>676</v>
      </c>
      <c r="D315" s="39">
        <v>4540060</v>
      </c>
      <c r="H315" s="13" t="s">
        <v>17</v>
      </c>
      <c r="K315">
        <v>36</v>
      </c>
      <c r="L315">
        <v>17</v>
      </c>
      <c r="M315">
        <v>15</v>
      </c>
      <c r="N315">
        <v>17</v>
      </c>
      <c r="O315">
        <v>85</v>
      </c>
      <c r="Q315" s="47"/>
      <c r="R315" s="7"/>
    </row>
    <row r="316" spans="1:21" hidden="1" x14ac:dyDescent="0.25">
      <c r="A316" s="31"/>
      <c r="B316" t="s">
        <v>677</v>
      </c>
      <c r="C316" t="s">
        <v>678</v>
      </c>
      <c r="D316" s="39">
        <v>4540060</v>
      </c>
      <c r="H316" s="13" t="s">
        <v>17</v>
      </c>
      <c r="K316">
        <v>3</v>
      </c>
      <c r="L316">
        <v>3</v>
      </c>
      <c r="M316">
        <v>4</v>
      </c>
      <c r="N316">
        <v>3</v>
      </c>
      <c r="O316">
        <v>13</v>
      </c>
      <c r="Q316" s="47"/>
      <c r="R316" s="7"/>
    </row>
    <row r="317" spans="1:21" hidden="1" x14ac:dyDescent="0.25">
      <c r="A317" s="31"/>
      <c r="B317" t="s">
        <v>679</v>
      </c>
      <c r="C317" t="s">
        <v>676</v>
      </c>
      <c r="D317" s="39">
        <v>4540060</v>
      </c>
      <c r="H317" s="13" t="s">
        <v>17</v>
      </c>
      <c r="K317">
        <v>6</v>
      </c>
      <c r="L317">
        <v>7</v>
      </c>
      <c r="M317">
        <v>5</v>
      </c>
      <c r="N317">
        <v>5</v>
      </c>
      <c r="O317">
        <v>23</v>
      </c>
      <c r="Q317" s="47"/>
      <c r="R317" s="7"/>
    </row>
    <row r="318" spans="1:21" hidden="1" x14ac:dyDescent="0.25">
      <c r="A318" s="31"/>
      <c r="B318" t="s">
        <v>680</v>
      </c>
      <c r="C318" t="s">
        <v>676</v>
      </c>
      <c r="D318" s="39">
        <v>4540060</v>
      </c>
      <c r="H318" s="13" t="s">
        <v>17</v>
      </c>
      <c r="K318">
        <v>31</v>
      </c>
      <c r="L318">
        <v>23</v>
      </c>
      <c r="M318">
        <v>20</v>
      </c>
      <c r="N318">
        <v>16</v>
      </c>
      <c r="O318">
        <v>90</v>
      </c>
      <c r="Q318" s="47"/>
      <c r="R318" s="7"/>
    </row>
    <row r="319" spans="1:21" hidden="1" x14ac:dyDescent="0.25">
      <c r="A319" s="31"/>
      <c r="B319" t="s">
        <v>681</v>
      </c>
      <c r="C319" t="s">
        <v>672</v>
      </c>
      <c r="D319" s="39">
        <v>4540060</v>
      </c>
      <c r="E319" s="25">
        <v>4540060</v>
      </c>
      <c r="H319" s="13" t="s">
        <v>17</v>
      </c>
      <c r="K319">
        <v>9</v>
      </c>
      <c r="L319">
        <v>57</v>
      </c>
      <c r="M319">
        <v>21</v>
      </c>
      <c r="N319">
        <v>5</v>
      </c>
      <c r="O319">
        <v>92</v>
      </c>
      <c r="P319" s="30">
        <f>SUM(O319+O318+O317+O316+O315+O313-O314)*1000</f>
        <v>151000</v>
      </c>
      <c r="Q319" s="47">
        <f t="shared" si="19"/>
        <v>1.9699934768427918</v>
      </c>
      <c r="R319" s="7">
        <f t="shared" ref="R319:R382" si="20">SUM(Q319*600)</f>
        <v>1181.996086105675</v>
      </c>
      <c r="S319" s="30">
        <v>2.04</v>
      </c>
      <c r="T319" s="27">
        <v>4.01</v>
      </c>
      <c r="U319" s="28" t="s">
        <v>22</v>
      </c>
    </row>
    <row r="320" spans="1:21" hidden="1" x14ac:dyDescent="0.25">
      <c r="A320" s="33" t="s">
        <v>682</v>
      </c>
      <c r="B320" s="56" t="s">
        <v>683</v>
      </c>
      <c r="C320" s="56" t="s">
        <v>684</v>
      </c>
      <c r="D320" s="57">
        <v>4540112</v>
      </c>
      <c r="E320" s="57">
        <v>4540112</v>
      </c>
      <c r="F320" s="58">
        <v>120</v>
      </c>
      <c r="G320" s="58"/>
      <c r="H320" s="59" t="s">
        <v>17</v>
      </c>
      <c r="K320">
        <v>7</v>
      </c>
      <c r="L320">
        <v>5</v>
      </c>
      <c r="M320">
        <v>9</v>
      </c>
      <c r="N320">
        <v>7</v>
      </c>
      <c r="O320">
        <v>76.650000000000006</v>
      </c>
      <c r="P320" s="30">
        <f>SUM(O320*1000)</f>
        <v>76650</v>
      </c>
      <c r="Q320" s="47">
        <f t="shared" si="19"/>
        <v>1</v>
      </c>
      <c r="R320" s="7">
        <f t="shared" si="20"/>
        <v>600</v>
      </c>
      <c r="S320" s="30">
        <v>1</v>
      </c>
      <c r="T320" s="27">
        <v>1</v>
      </c>
      <c r="U320" s="28" t="s">
        <v>62</v>
      </c>
    </row>
    <row r="321" spans="1:21" hidden="1" x14ac:dyDescent="0.25">
      <c r="A321" s="33" t="s">
        <v>685</v>
      </c>
      <c r="B321" s="56" t="s">
        <v>686</v>
      </c>
      <c r="C321" s="56" t="s">
        <v>687</v>
      </c>
      <c r="D321" s="57">
        <v>4540166</v>
      </c>
      <c r="E321" s="57">
        <v>4540166</v>
      </c>
      <c r="F321" s="58"/>
      <c r="G321" s="58"/>
      <c r="H321" s="59" t="s">
        <v>17</v>
      </c>
      <c r="K321">
        <v>3</v>
      </c>
      <c r="L321">
        <v>3</v>
      </c>
      <c r="M321">
        <v>3</v>
      </c>
      <c r="N321">
        <v>5</v>
      </c>
      <c r="O321">
        <v>76.650000000000006</v>
      </c>
      <c r="P321" s="30">
        <f t="shared" ref="P321:P332" si="21">SUM(O321*1000)</f>
        <v>76650</v>
      </c>
      <c r="Q321" s="47">
        <f t="shared" si="19"/>
        <v>1</v>
      </c>
      <c r="R321" s="7">
        <f t="shared" si="20"/>
        <v>600</v>
      </c>
      <c r="S321" s="30">
        <v>1</v>
      </c>
      <c r="T321" s="27">
        <v>1</v>
      </c>
      <c r="U321" s="28" t="s">
        <v>62</v>
      </c>
    </row>
    <row r="322" spans="1:21" hidden="1" x14ac:dyDescent="0.25">
      <c r="A322" s="33" t="s">
        <v>688</v>
      </c>
      <c r="B322" t="s">
        <v>689</v>
      </c>
      <c r="C322" s="56" t="s">
        <v>690</v>
      </c>
      <c r="D322" s="57">
        <v>4540172</v>
      </c>
      <c r="E322" s="57"/>
      <c r="F322" s="58"/>
      <c r="G322" s="58"/>
      <c r="H322" s="59" t="s">
        <v>17</v>
      </c>
      <c r="K322">
        <v>15</v>
      </c>
      <c r="L322">
        <v>71</v>
      </c>
      <c r="M322">
        <v>34</v>
      </c>
      <c r="N322">
        <v>13</v>
      </c>
      <c r="O322">
        <v>133</v>
      </c>
      <c r="Q322" s="47">
        <f t="shared" si="19"/>
        <v>0</v>
      </c>
      <c r="R322" s="7">
        <f t="shared" si="20"/>
        <v>0</v>
      </c>
      <c r="S322" s="30">
        <v>1.74</v>
      </c>
      <c r="T322" s="27">
        <v>3.31</v>
      </c>
      <c r="U322" s="28" t="s">
        <v>22</v>
      </c>
    </row>
    <row r="323" spans="1:21" hidden="1" x14ac:dyDescent="0.25">
      <c r="A323" s="33" t="s">
        <v>691</v>
      </c>
      <c r="B323" t="s">
        <v>692</v>
      </c>
      <c r="C323" s="60" t="s">
        <v>693</v>
      </c>
      <c r="D323" s="61">
        <v>4540172</v>
      </c>
      <c r="E323" s="61">
        <v>4540172</v>
      </c>
      <c r="F323" s="62">
        <v>122</v>
      </c>
      <c r="G323" s="62" t="s">
        <v>33</v>
      </c>
      <c r="H323" s="63" t="s">
        <v>17</v>
      </c>
      <c r="K323">
        <v>5</v>
      </c>
      <c r="L323">
        <v>60</v>
      </c>
      <c r="M323">
        <v>21</v>
      </c>
      <c r="N323">
        <v>0</v>
      </c>
      <c r="O323">
        <v>86</v>
      </c>
      <c r="P323" s="30">
        <v>76650</v>
      </c>
      <c r="Q323" s="47">
        <f t="shared" si="19"/>
        <v>1</v>
      </c>
      <c r="R323" s="7">
        <f t="shared" si="20"/>
        <v>600</v>
      </c>
      <c r="S323" s="30">
        <v>1.1200000000000001</v>
      </c>
      <c r="T323" s="27">
        <v>1</v>
      </c>
      <c r="U323" s="28" t="s">
        <v>58</v>
      </c>
    </row>
    <row r="324" spans="1:21" hidden="1" x14ac:dyDescent="0.25">
      <c r="A324" s="33" t="s">
        <v>694</v>
      </c>
      <c r="B324" s="56" t="s">
        <v>695</v>
      </c>
      <c r="C324" s="56" t="s">
        <v>696</v>
      </c>
      <c r="D324" s="57">
        <v>4540177</v>
      </c>
      <c r="E324" s="57">
        <v>4540177</v>
      </c>
      <c r="F324" s="58">
        <v>123</v>
      </c>
      <c r="G324" s="58"/>
      <c r="H324" s="59" t="s">
        <v>17</v>
      </c>
      <c r="K324">
        <v>3</v>
      </c>
      <c r="L324">
        <v>3</v>
      </c>
      <c r="M324">
        <v>5</v>
      </c>
      <c r="N324">
        <v>3</v>
      </c>
      <c r="O324">
        <v>76.650000000000006</v>
      </c>
      <c r="P324" s="30">
        <f t="shared" si="21"/>
        <v>76650</v>
      </c>
      <c r="Q324" s="47">
        <f t="shared" si="19"/>
        <v>1</v>
      </c>
      <c r="R324" s="7">
        <f t="shared" si="20"/>
        <v>600</v>
      </c>
      <c r="S324" s="30">
        <v>1</v>
      </c>
      <c r="T324" s="27">
        <v>1</v>
      </c>
      <c r="U324" s="28" t="s">
        <v>62</v>
      </c>
    </row>
    <row r="325" spans="1:21" x14ac:dyDescent="0.25">
      <c r="A325" s="33" t="s">
        <v>697</v>
      </c>
      <c r="B325" s="56" t="s">
        <v>698</v>
      </c>
      <c r="C325" s="56" t="s">
        <v>699</v>
      </c>
      <c r="D325" s="57">
        <v>4540183</v>
      </c>
      <c r="E325" s="57">
        <v>4540183</v>
      </c>
      <c r="F325" s="58"/>
      <c r="G325" s="58"/>
      <c r="H325" s="59" t="s">
        <v>17</v>
      </c>
      <c r="O325" s="5">
        <v>76.650000000000006</v>
      </c>
      <c r="P325" s="30">
        <f t="shared" si="21"/>
        <v>76650</v>
      </c>
      <c r="Q325" s="47">
        <f t="shared" si="19"/>
        <v>1</v>
      </c>
      <c r="R325" s="7">
        <f t="shared" si="20"/>
        <v>600</v>
      </c>
      <c r="S325" s="30">
        <v>1</v>
      </c>
      <c r="T325" s="27">
        <v>1</v>
      </c>
      <c r="U325" s="28" t="s">
        <v>62</v>
      </c>
    </row>
    <row r="326" spans="1:21" hidden="1" x14ac:dyDescent="0.25">
      <c r="A326" s="33" t="s">
        <v>700</v>
      </c>
      <c r="B326" s="56" t="s">
        <v>701</v>
      </c>
      <c r="C326" s="56" t="s">
        <v>702</v>
      </c>
      <c r="D326" s="57">
        <v>4540192</v>
      </c>
      <c r="E326" s="57">
        <v>4540192</v>
      </c>
      <c r="F326" s="58">
        <v>124</v>
      </c>
      <c r="G326" s="58"/>
      <c r="H326" s="59" t="s">
        <v>17</v>
      </c>
      <c r="K326">
        <v>32</v>
      </c>
      <c r="L326">
        <v>40</v>
      </c>
      <c r="M326">
        <v>17</v>
      </c>
      <c r="N326">
        <v>18</v>
      </c>
      <c r="O326">
        <v>107</v>
      </c>
      <c r="Q326" s="47"/>
      <c r="R326" s="7"/>
    </row>
    <row r="327" spans="1:21" hidden="1" x14ac:dyDescent="0.25">
      <c r="A327" s="33" t="s">
        <v>703</v>
      </c>
      <c r="B327" s="56" t="s">
        <v>701</v>
      </c>
      <c r="C327" s="56" t="s">
        <v>704</v>
      </c>
      <c r="D327" s="57">
        <v>4540192</v>
      </c>
      <c r="E327" s="57"/>
      <c r="F327" s="58"/>
      <c r="G327" s="58"/>
      <c r="H327" s="59" t="s">
        <v>17</v>
      </c>
      <c r="K327">
        <v>343</v>
      </c>
      <c r="L327">
        <v>347</v>
      </c>
      <c r="M327">
        <v>331</v>
      </c>
      <c r="N327">
        <v>276</v>
      </c>
      <c r="O327">
        <v>1297</v>
      </c>
      <c r="P327" s="30">
        <f>SUM(O326:O327)*1000</f>
        <v>1404000</v>
      </c>
      <c r="Q327" s="47">
        <f t="shared" si="19"/>
        <v>18.317025440313113</v>
      </c>
      <c r="R327" s="7">
        <f t="shared" si="20"/>
        <v>10990.215264187867</v>
      </c>
      <c r="S327" s="30">
        <v>18.32</v>
      </c>
      <c r="T327" s="27">
        <v>16.13</v>
      </c>
      <c r="U327" s="28" t="s">
        <v>58</v>
      </c>
    </row>
    <row r="328" spans="1:21" hidden="1" x14ac:dyDescent="0.25">
      <c r="A328" s="33" t="s">
        <v>705</v>
      </c>
      <c r="B328" s="56" t="s">
        <v>706</v>
      </c>
      <c r="C328" s="56" t="s">
        <v>707</v>
      </c>
      <c r="D328" s="57">
        <v>4540195</v>
      </c>
      <c r="E328" s="57">
        <v>4540195</v>
      </c>
      <c r="F328" s="58">
        <v>125</v>
      </c>
      <c r="G328" s="58"/>
      <c r="H328" s="59" t="s">
        <v>17</v>
      </c>
      <c r="K328">
        <v>107</v>
      </c>
      <c r="L328">
        <v>75</v>
      </c>
      <c r="M328">
        <v>79</v>
      </c>
      <c r="N328">
        <v>46</v>
      </c>
      <c r="O328">
        <v>307</v>
      </c>
      <c r="P328" s="30">
        <f t="shared" si="21"/>
        <v>307000</v>
      </c>
      <c r="Q328" s="47">
        <f t="shared" si="19"/>
        <v>4.0052185257664714</v>
      </c>
      <c r="R328" s="7">
        <f t="shared" si="20"/>
        <v>2403.1311154598829</v>
      </c>
      <c r="S328" s="30">
        <v>4.01</v>
      </c>
      <c r="T328" s="27">
        <v>2.79</v>
      </c>
      <c r="U328" s="28" t="s">
        <v>22</v>
      </c>
    </row>
    <row r="329" spans="1:21" hidden="1" x14ac:dyDescent="0.25">
      <c r="A329" s="33"/>
      <c r="B329" s="56" t="s">
        <v>708</v>
      </c>
      <c r="C329" s="56" t="s">
        <v>709</v>
      </c>
      <c r="D329" s="64">
        <v>4540200</v>
      </c>
      <c r="E329" s="57">
        <v>4540200</v>
      </c>
      <c r="F329" s="58">
        <v>126</v>
      </c>
      <c r="G329" s="58"/>
      <c r="H329" s="59" t="s">
        <v>17</v>
      </c>
      <c r="K329">
        <v>17</v>
      </c>
      <c r="L329">
        <v>124</v>
      </c>
      <c r="M329">
        <v>34</v>
      </c>
      <c r="N329">
        <v>3</v>
      </c>
      <c r="O329">
        <v>178</v>
      </c>
      <c r="Q329" s="47"/>
      <c r="R329" s="7"/>
      <c r="U329" s="28"/>
    </row>
    <row r="330" spans="1:21" hidden="1" x14ac:dyDescent="0.25">
      <c r="A330" s="33" t="s">
        <v>710</v>
      </c>
      <c r="B330" t="s">
        <v>711</v>
      </c>
      <c r="C330" s="56" t="s">
        <v>712</v>
      </c>
      <c r="D330" s="64">
        <v>4540200</v>
      </c>
      <c r="E330" s="57"/>
      <c r="F330" s="58"/>
      <c r="G330" s="58"/>
      <c r="H330" s="59" t="s">
        <v>17</v>
      </c>
      <c r="K330">
        <v>28</v>
      </c>
      <c r="L330">
        <v>31</v>
      </c>
      <c r="M330">
        <v>30</v>
      </c>
      <c r="N330">
        <v>28</v>
      </c>
      <c r="O330">
        <v>117</v>
      </c>
      <c r="P330" s="30">
        <f>SUM(O329:O330)*1000</f>
        <v>295000</v>
      </c>
      <c r="Q330" s="47">
        <f>SUM(P330/76650)</f>
        <v>3.8486627527723418</v>
      </c>
      <c r="R330" s="7">
        <f>SUM(Q330*600)</f>
        <v>2309.1976516634049</v>
      </c>
      <c r="S330" s="30">
        <v>3.85</v>
      </c>
      <c r="T330" s="27">
        <v>4.47</v>
      </c>
      <c r="U330" s="28" t="s">
        <v>22</v>
      </c>
    </row>
    <row r="331" spans="1:21" hidden="1" x14ac:dyDescent="0.25">
      <c r="A331" s="33" t="s">
        <v>713</v>
      </c>
      <c r="B331" s="56" t="s">
        <v>714</v>
      </c>
      <c r="C331" s="57" t="s">
        <v>715</v>
      </c>
      <c r="D331" s="57">
        <v>4540205</v>
      </c>
      <c r="E331" s="57">
        <v>4540205</v>
      </c>
      <c r="F331" s="58">
        <v>127</v>
      </c>
      <c r="G331" s="58"/>
      <c r="H331" s="59" t="s">
        <v>17</v>
      </c>
      <c r="K331">
        <v>157</v>
      </c>
      <c r="L331">
        <v>238</v>
      </c>
      <c r="M331">
        <v>3</v>
      </c>
      <c r="N331">
        <v>4</v>
      </c>
      <c r="O331">
        <v>402</v>
      </c>
      <c r="P331" s="25">
        <f>SUM(O331*1000)</f>
        <v>402000</v>
      </c>
      <c r="Q331" s="47">
        <f>SUM(P331/76650)</f>
        <v>5.244618395303327</v>
      </c>
      <c r="R331" s="7">
        <f>SUM(Q331*600)</f>
        <v>3146.7710371819962</v>
      </c>
      <c r="S331" s="25">
        <v>5.24</v>
      </c>
      <c r="T331" s="25">
        <v>3.84</v>
      </c>
      <c r="U331" s="28" t="s">
        <v>58</v>
      </c>
    </row>
    <row r="332" spans="1:21" hidden="1" x14ac:dyDescent="0.25">
      <c r="A332" s="33" t="s">
        <v>716</v>
      </c>
      <c r="B332" s="56" t="s">
        <v>717</v>
      </c>
      <c r="C332" s="56" t="s">
        <v>718</v>
      </c>
      <c r="D332" s="57">
        <v>4540209</v>
      </c>
      <c r="E332" s="57">
        <v>4540209</v>
      </c>
      <c r="F332" s="58">
        <v>128</v>
      </c>
      <c r="G332" s="58"/>
      <c r="H332" s="59" t="s">
        <v>17</v>
      </c>
      <c r="K332">
        <v>24</v>
      </c>
      <c r="L332">
        <v>23</v>
      </c>
      <c r="M332">
        <v>20</v>
      </c>
      <c r="N332">
        <v>14</v>
      </c>
      <c r="O332">
        <v>81</v>
      </c>
      <c r="P332" s="30">
        <f t="shared" si="21"/>
        <v>81000</v>
      </c>
      <c r="Q332" s="47">
        <f t="shared" si="19"/>
        <v>1.0567514677103718</v>
      </c>
      <c r="R332" s="7">
        <f t="shared" si="20"/>
        <v>634.05088062622303</v>
      </c>
      <c r="S332" s="30">
        <v>1.06</v>
      </c>
      <c r="T332" s="27">
        <v>1</v>
      </c>
      <c r="U332" s="28" t="s">
        <v>58</v>
      </c>
    </row>
    <row r="333" spans="1:21" hidden="1" x14ac:dyDescent="0.25">
      <c r="A333" s="33" t="s">
        <v>719</v>
      </c>
      <c r="B333" s="56" t="s">
        <v>720</v>
      </c>
      <c r="C333" s="56" t="s">
        <v>721</v>
      </c>
      <c r="D333" s="64">
        <v>4540210</v>
      </c>
      <c r="E333" s="25"/>
      <c r="F333" s="58">
        <v>129</v>
      </c>
      <c r="G333" s="58"/>
      <c r="H333" s="59" t="s">
        <v>17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Q333" s="47"/>
      <c r="R333" s="7"/>
    </row>
    <row r="334" spans="1:21" hidden="1" x14ac:dyDescent="0.25">
      <c r="A334" s="33" t="s">
        <v>722</v>
      </c>
      <c r="B334" s="56" t="s">
        <v>720</v>
      </c>
      <c r="C334" s="56" t="s">
        <v>723</v>
      </c>
      <c r="D334" s="64">
        <v>4540210</v>
      </c>
      <c r="E334" s="57"/>
      <c r="F334" s="58"/>
      <c r="G334" s="58"/>
      <c r="H334" s="59" t="s">
        <v>17</v>
      </c>
      <c r="K334">
        <v>91</v>
      </c>
      <c r="L334">
        <v>105</v>
      </c>
      <c r="M334">
        <v>81</v>
      </c>
      <c r="N334">
        <v>77</v>
      </c>
      <c r="O334">
        <v>354</v>
      </c>
      <c r="Q334" s="47"/>
      <c r="R334" s="7"/>
    </row>
    <row r="335" spans="1:21" hidden="1" x14ac:dyDescent="0.25">
      <c r="A335" s="33" t="s">
        <v>724</v>
      </c>
      <c r="B335" s="56" t="s">
        <v>720</v>
      </c>
      <c r="C335" s="57" t="s">
        <v>725</v>
      </c>
      <c r="D335" s="64">
        <v>4540210</v>
      </c>
      <c r="E335" s="57">
        <v>4540210</v>
      </c>
      <c r="F335" s="58"/>
      <c r="G335" s="58"/>
      <c r="H335" s="59" t="s">
        <v>17</v>
      </c>
      <c r="K335">
        <v>67</v>
      </c>
      <c r="L335">
        <v>62</v>
      </c>
      <c r="M335">
        <v>52</v>
      </c>
      <c r="N335">
        <v>47</v>
      </c>
      <c r="O335">
        <v>228</v>
      </c>
      <c r="P335" s="30">
        <f>SUM(O333:O335)*1000</f>
        <v>582000</v>
      </c>
      <c r="Q335" s="47">
        <f t="shared" si="19"/>
        <v>7.5929549902152642</v>
      </c>
      <c r="R335" s="7">
        <f t="shared" si="20"/>
        <v>4555.7729941291582</v>
      </c>
      <c r="S335" s="30">
        <v>7.59</v>
      </c>
      <c r="T335" s="27">
        <v>8.3800000000000008</v>
      </c>
      <c r="U335" s="28" t="s">
        <v>22</v>
      </c>
    </row>
    <row r="336" spans="1:21" hidden="1" x14ac:dyDescent="0.25">
      <c r="A336" s="33" t="s">
        <v>726</v>
      </c>
      <c r="B336" s="56" t="s">
        <v>727</v>
      </c>
      <c r="C336" s="56" t="s">
        <v>728</v>
      </c>
      <c r="D336" s="57">
        <v>4540213</v>
      </c>
      <c r="E336" s="57">
        <v>4540213</v>
      </c>
      <c r="F336" s="58">
        <v>130</v>
      </c>
      <c r="G336" s="58"/>
      <c r="H336" s="59" t="s">
        <v>17</v>
      </c>
      <c r="K336">
        <v>3</v>
      </c>
      <c r="L336">
        <v>5</v>
      </c>
      <c r="M336">
        <v>14</v>
      </c>
      <c r="N336">
        <v>2</v>
      </c>
      <c r="O336">
        <v>76.650000000000006</v>
      </c>
      <c r="P336" s="30">
        <f>SUM(O336*1000)</f>
        <v>76650</v>
      </c>
      <c r="Q336" s="47">
        <f t="shared" si="19"/>
        <v>1</v>
      </c>
      <c r="R336" s="7">
        <f t="shared" si="20"/>
        <v>600</v>
      </c>
      <c r="S336" s="30">
        <v>1</v>
      </c>
      <c r="T336" s="27">
        <v>1</v>
      </c>
      <c r="U336" s="28" t="s">
        <v>62</v>
      </c>
    </row>
    <row r="337" spans="1:21" hidden="1" x14ac:dyDescent="0.25">
      <c r="A337" s="33" t="s">
        <v>729</v>
      </c>
      <c r="B337" s="56" t="s">
        <v>730</v>
      </c>
      <c r="C337" s="56" t="s">
        <v>731</v>
      </c>
      <c r="D337" s="57">
        <v>4540214</v>
      </c>
      <c r="E337" s="57">
        <v>4540214</v>
      </c>
      <c r="F337" s="58">
        <v>131</v>
      </c>
      <c r="G337" s="58"/>
      <c r="H337" s="59" t="s">
        <v>17</v>
      </c>
      <c r="K337">
        <v>6</v>
      </c>
      <c r="L337">
        <v>9</v>
      </c>
      <c r="M337">
        <v>5</v>
      </c>
      <c r="N337">
        <v>6</v>
      </c>
      <c r="O337">
        <v>76.650000000000006</v>
      </c>
      <c r="P337" s="30">
        <f t="shared" ref="P337:P344" si="22">SUM(O337*1000)</f>
        <v>76650</v>
      </c>
      <c r="Q337" s="47">
        <f t="shared" si="19"/>
        <v>1</v>
      </c>
      <c r="R337" s="7">
        <f t="shared" si="20"/>
        <v>600</v>
      </c>
      <c r="S337" s="30">
        <v>1</v>
      </c>
      <c r="T337" s="27">
        <v>1</v>
      </c>
      <c r="U337" s="28" t="s">
        <v>62</v>
      </c>
    </row>
    <row r="338" spans="1:21" hidden="1" x14ac:dyDescent="0.25">
      <c r="A338" s="33" t="s">
        <v>732</v>
      </c>
      <c r="B338" s="56" t="s">
        <v>733</v>
      </c>
      <c r="C338" s="56" t="s">
        <v>734</v>
      </c>
      <c r="D338" s="57">
        <v>4540220</v>
      </c>
      <c r="E338" s="57">
        <v>4540220</v>
      </c>
      <c r="F338" s="58">
        <v>132</v>
      </c>
      <c r="G338" s="58"/>
      <c r="H338" s="59" t="s">
        <v>17</v>
      </c>
      <c r="K338">
        <v>24</v>
      </c>
      <c r="L338">
        <v>44</v>
      </c>
      <c r="M338">
        <v>18</v>
      </c>
      <c r="N338">
        <v>15</v>
      </c>
      <c r="O338">
        <v>101</v>
      </c>
      <c r="P338" s="30">
        <f t="shared" si="22"/>
        <v>101000</v>
      </c>
      <c r="Q338" s="47">
        <f t="shared" si="19"/>
        <v>1.3176777560339203</v>
      </c>
      <c r="R338" s="7">
        <f t="shared" si="20"/>
        <v>790.60665362035218</v>
      </c>
      <c r="S338" s="30">
        <v>1.32</v>
      </c>
      <c r="T338" s="27">
        <v>1.49</v>
      </c>
      <c r="U338" s="28" t="s">
        <v>22</v>
      </c>
    </row>
    <row r="339" spans="1:21" x14ac:dyDescent="0.25">
      <c r="A339" s="33" t="s">
        <v>735</v>
      </c>
      <c r="B339" s="56" t="s">
        <v>736</v>
      </c>
      <c r="C339" s="56" t="s">
        <v>737</v>
      </c>
      <c r="D339" s="57">
        <v>4540221</v>
      </c>
      <c r="E339" s="57">
        <v>4540221</v>
      </c>
      <c r="F339" s="58">
        <v>133</v>
      </c>
      <c r="G339" s="58"/>
      <c r="H339" s="59" t="s">
        <v>17</v>
      </c>
      <c r="O339" s="5">
        <v>76.650000000000006</v>
      </c>
      <c r="P339" s="30">
        <f t="shared" si="22"/>
        <v>76650</v>
      </c>
      <c r="Q339" s="47">
        <f t="shared" si="19"/>
        <v>1</v>
      </c>
      <c r="R339" s="7">
        <f t="shared" si="20"/>
        <v>600</v>
      </c>
      <c r="S339" s="30">
        <v>1</v>
      </c>
      <c r="T339" s="27">
        <v>1</v>
      </c>
      <c r="U339" s="28" t="s">
        <v>62</v>
      </c>
    </row>
    <row r="340" spans="1:21" hidden="1" x14ac:dyDescent="0.25">
      <c r="A340" s="33" t="s">
        <v>738</v>
      </c>
      <c r="B340" s="56" t="s">
        <v>739</v>
      </c>
      <c r="C340" s="56" t="s">
        <v>740</v>
      </c>
      <c r="D340" s="57">
        <v>4540224</v>
      </c>
      <c r="E340" s="57">
        <v>4540224</v>
      </c>
      <c r="F340" s="58">
        <v>134</v>
      </c>
      <c r="G340" s="58"/>
      <c r="H340" s="59" t="s">
        <v>17</v>
      </c>
      <c r="K340">
        <v>5</v>
      </c>
      <c r="L340">
        <v>9</v>
      </c>
      <c r="M340">
        <v>10</v>
      </c>
      <c r="N340">
        <v>9</v>
      </c>
      <c r="O340">
        <v>76.650000000000006</v>
      </c>
      <c r="P340" s="30">
        <f t="shared" si="22"/>
        <v>76650</v>
      </c>
      <c r="Q340" s="47">
        <f t="shared" si="19"/>
        <v>1</v>
      </c>
      <c r="R340" s="7">
        <f t="shared" si="20"/>
        <v>600</v>
      </c>
      <c r="S340" s="30">
        <v>1</v>
      </c>
      <c r="T340" s="27">
        <v>1</v>
      </c>
      <c r="U340" s="28" t="s">
        <v>62</v>
      </c>
    </row>
    <row r="341" spans="1:21" x14ac:dyDescent="0.25">
      <c r="A341" s="33"/>
      <c r="B341" s="56" t="s">
        <v>741</v>
      </c>
      <c r="C341" s="56" t="s">
        <v>742</v>
      </c>
      <c r="D341" s="57">
        <v>4540225</v>
      </c>
      <c r="E341" s="57">
        <v>4540225</v>
      </c>
      <c r="F341" s="58">
        <v>135</v>
      </c>
      <c r="G341" s="58"/>
      <c r="H341" s="59" t="s">
        <v>17</v>
      </c>
      <c r="O341" s="5">
        <v>76.650000000000006</v>
      </c>
      <c r="P341" s="30">
        <f t="shared" si="22"/>
        <v>76650</v>
      </c>
      <c r="Q341" s="47">
        <f t="shared" si="19"/>
        <v>1</v>
      </c>
      <c r="R341" s="7">
        <f t="shared" si="20"/>
        <v>600</v>
      </c>
      <c r="S341" s="30">
        <v>1</v>
      </c>
      <c r="T341" s="27">
        <v>1</v>
      </c>
      <c r="U341" s="28" t="s">
        <v>62</v>
      </c>
    </row>
    <row r="342" spans="1:21" hidden="1" x14ac:dyDescent="0.25">
      <c r="A342" s="33"/>
      <c r="B342" s="56" t="s">
        <v>743</v>
      </c>
      <c r="C342" s="56" t="s">
        <v>744</v>
      </c>
      <c r="D342" s="57">
        <v>4540232</v>
      </c>
      <c r="E342" s="57">
        <v>4540232</v>
      </c>
      <c r="F342" s="58">
        <v>136</v>
      </c>
      <c r="G342" s="58"/>
      <c r="H342" s="59" t="s">
        <v>17</v>
      </c>
      <c r="K342">
        <v>2</v>
      </c>
      <c r="L342">
        <v>2</v>
      </c>
      <c r="M342">
        <v>2</v>
      </c>
      <c r="N342">
        <v>1</v>
      </c>
      <c r="O342" s="5">
        <v>76.650000000000006</v>
      </c>
      <c r="P342" s="30">
        <f t="shared" si="22"/>
        <v>76650</v>
      </c>
      <c r="Q342" s="47">
        <f t="shared" si="19"/>
        <v>1</v>
      </c>
      <c r="R342" s="7">
        <f t="shared" si="20"/>
        <v>600</v>
      </c>
      <c r="S342" s="30">
        <v>1</v>
      </c>
    </row>
    <row r="343" spans="1:21" hidden="1" x14ac:dyDescent="0.25">
      <c r="A343" s="33" t="s">
        <v>745</v>
      </c>
      <c r="B343" s="56" t="s">
        <v>746</v>
      </c>
      <c r="C343" s="56" t="s">
        <v>747</v>
      </c>
      <c r="D343" s="57">
        <v>4540240</v>
      </c>
      <c r="E343" s="57">
        <v>4540240</v>
      </c>
      <c r="F343" s="58">
        <v>137</v>
      </c>
      <c r="G343" s="58"/>
      <c r="H343" s="59" t="s">
        <v>17</v>
      </c>
      <c r="K343">
        <v>4</v>
      </c>
      <c r="L343">
        <v>5</v>
      </c>
      <c r="M343">
        <v>5</v>
      </c>
      <c r="N343">
        <v>7</v>
      </c>
      <c r="O343" s="5">
        <v>76.650000000000006</v>
      </c>
      <c r="P343" s="30">
        <f t="shared" si="22"/>
        <v>76650</v>
      </c>
      <c r="Q343" s="47">
        <f t="shared" si="19"/>
        <v>1</v>
      </c>
      <c r="R343" s="7">
        <f t="shared" si="20"/>
        <v>600</v>
      </c>
      <c r="S343" s="30">
        <v>1</v>
      </c>
    </row>
    <row r="344" spans="1:21" hidden="1" x14ac:dyDescent="0.25">
      <c r="A344" s="33" t="s">
        <v>748</v>
      </c>
      <c r="B344" s="56" t="s">
        <v>749</v>
      </c>
      <c r="C344" s="56" t="s">
        <v>750</v>
      </c>
      <c r="D344" s="57">
        <v>4540248</v>
      </c>
      <c r="E344" s="57">
        <v>4540248</v>
      </c>
      <c r="F344" s="58">
        <v>138</v>
      </c>
      <c r="G344" s="58"/>
      <c r="H344" s="59" t="s">
        <v>17</v>
      </c>
      <c r="K344">
        <v>7</v>
      </c>
      <c r="L344">
        <v>10</v>
      </c>
      <c r="M344">
        <v>6</v>
      </c>
      <c r="N344">
        <v>7</v>
      </c>
      <c r="O344" s="5">
        <v>76.650000000000006</v>
      </c>
      <c r="P344" s="30">
        <f t="shared" si="22"/>
        <v>76650</v>
      </c>
      <c r="Q344" s="47">
        <f t="shared" si="19"/>
        <v>1</v>
      </c>
      <c r="R344" s="7">
        <f t="shared" si="20"/>
        <v>600</v>
      </c>
      <c r="S344" s="30">
        <v>1</v>
      </c>
    </row>
    <row r="345" spans="1:21" hidden="1" x14ac:dyDescent="0.25">
      <c r="A345" s="33" t="s">
        <v>751</v>
      </c>
      <c r="B345" t="s">
        <v>752</v>
      </c>
      <c r="C345" t="s">
        <v>753</v>
      </c>
      <c r="D345" s="64">
        <v>4540255</v>
      </c>
      <c r="E345" s="25"/>
      <c r="F345" s="58">
        <v>139</v>
      </c>
      <c r="G345" s="58"/>
      <c r="H345" s="59" t="s">
        <v>17</v>
      </c>
      <c r="K345">
        <v>39</v>
      </c>
      <c r="L345">
        <v>285</v>
      </c>
      <c r="M345">
        <v>46</v>
      </c>
      <c r="N345">
        <v>0</v>
      </c>
      <c r="O345">
        <v>370</v>
      </c>
      <c r="Q345" s="47"/>
      <c r="R345" s="7"/>
    </row>
    <row r="346" spans="1:21" hidden="1" x14ac:dyDescent="0.25">
      <c r="A346" s="33" t="s">
        <v>754</v>
      </c>
      <c r="B346" t="s">
        <v>755</v>
      </c>
      <c r="C346" t="s">
        <v>753</v>
      </c>
      <c r="D346" s="64">
        <v>4540255</v>
      </c>
      <c r="E346" s="57"/>
      <c r="F346" s="58"/>
      <c r="G346" s="58"/>
      <c r="H346" s="59" t="s">
        <v>17</v>
      </c>
      <c r="K346">
        <v>107</v>
      </c>
      <c r="L346">
        <v>83</v>
      </c>
      <c r="M346">
        <v>96</v>
      </c>
      <c r="N346">
        <v>99</v>
      </c>
      <c r="O346">
        <v>385</v>
      </c>
      <c r="Q346" s="47"/>
      <c r="R346" s="7"/>
    </row>
    <row r="347" spans="1:21" hidden="1" x14ac:dyDescent="0.25">
      <c r="A347" s="33"/>
      <c r="B347" s="56" t="s">
        <v>756</v>
      </c>
      <c r="C347" t="s">
        <v>757</v>
      </c>
      <c r="D347" s="64">
        <v>4540255</v>
      </c>
      <c r="E347" s="57"/>
      <c r="F347" s="58"/>
      <c r="G347" s="58"/>
      <c r="H347" s="59" t="s">
        <v>17</v>
      </c>
      <c r="K347">
        <v>2</v>
      </c>
      <c r="L347">
        <v>2</v>
      </c>
      <c r="M347">
        <v>1</v>
      </c>
      <c r="N347">
        <v>2</v>
      </c>
      <c r="O347">
        <v>7</v>
      </c>
      <c r="Q347" s="47"/>
      <c r="R347" s="7"/>
    </row>
    <row r="348" spans="1:21" hidden="1" x14ac:dyDescent="0.25">
      <c r="A348" s="33" t="s">
        <v>758</v>
      </c>
      <c r="B348" t="s">
        <v>759</v>
      </c>
      <c r="C348" s="56" t="s">
        <v>760</v>
      </c>
      <c r="D348" s="64">
        <v>4540255</v>
      </c>
      <c r="E348" s="57"/>
      <c r="F348" s="58"/>
      <c r="G348" s="58"/>
      <c r="H348" s="59" t="s">
        <v>17</v>
      </c>
      <c r="K348">
        <v>40</v>
      </c>
      <c r="L348">
        <v>70</v>
      </c>
      <c r="M348">
        <v>53</v>
      </c>
      <c r="N348">
        <v>47</v>
      </c>
      <c r="O348">
        <v>210</v>
      </c>
      <c r="Q348" s="47"/>
      <c r="R348" s="7"/>
    </row>
    <row r="349" spans="1:21" hidden="1" x14ac:dyDescent="0.25">
      <c r="A349" s="33" t="s">
        <v>761</v>
      </c>
      <c r="B349" t="s">
        <v>762</v>
      </c>
      <c r="C349" t="s">
        <v>763</v>
      </c>
      <c r="D349" s="64">
        <v>4540255</v>
      </c>
      <c r="E349" s="57"/>
      <c r="F349" s="58"/>
      <c r="G349" s="58"/>
      <c r="H349" s="59" t="s">
        <v>17</v>
      </c>
      <c r="K349">
        <v>152</v>
      </c>
      <c r="L349">
        <v>128</v>
      </c>
      <c r="M349">
        <v>104</v>
      </c>
      <c r="N349">
        <v>92</v>
      </c>
      <c r="O349">
        <v>476</v>
      </c>
      <c r="Q349" s="47"/>
      <c r="R349" s="7"/>
    </row>
    <row r="350" spans="1:21" hidden="1" x14ac:dyDescent="0.25">
      <c r="A350" s="33" t="s">
        <v>764</v>
      </c>
      <c r="B350" t="s">
        <v>759</v>
      </c>
      <c r="C350" s="56" t="s">
        <v>765</v>
      </c>
      <c r="D350" s="64">
        <v>4540255</v>
      </c>
      <c r="E350" s="57"/>
      <c r="F350" s="58"/>
      <c r="G350" s="58"/>
      <c r="H350" s="59" t="s">
        <v>17</v>
      </c>
      <c r="K350">
        <v>245</v>
      </c>
      <c r="L350">
        <v>475</v>
      </c>
      <c r="M350">
        <v>329</v>
      </c>
      <c r="N350">
        <v>204</v>
      </c>
      <c r="O350">
        <v>1253</v>
      </c>
      <c r="Q350" s="47"/>
      <c r="R350" s="7"/>
    </row>
    <row r="351" spans="1:21" s="9" customFormat="1" hidden="1" x14ac:dyDescent="0.25">
      <c r="A351" s="33" t="s">
        <v>766</v>
      </c>
      <c r="B351" s="57" t="s">
        <v>767</v>
      </c>
      <c r="C351" s="56" t="s">
        <v>765</v>
      </c>
      <c r="D351" s="57">
        <v>4540255</v>
      </c>
      <c r="E351" s="57"/>
      <c r="F351" s="58"/>
      <c r="G351" s="58"/>
      <c r="H351" s="59" t="s">
        <v>17</v>
      </c>
      <c r="K351" s="57">
        <v>453</v>
      </c>
      <c r="L351" s="57">
        <v>707</v>
      </c>
      <c r="M351" s="57">
        <v>544</v>
      </c>
      <c r="N351" s="57">
        <v>425</v>
      </c>
      <c r="O351" s="57">
        <v>2129</v>
      </c>
      <c r="P351" s="6"/>
      <c r="Q351" s="7"/>
      <c r="R351" s="7"/>
      <c r="S351" s="6"/>
      <c r="T351" s="7"/>
    </row>
    <row r="352" spans="1:21" hidden="1" x14ac:dyDescent="0.25">
      <c r="A352" s="33"/>
      <c r="B352" t="s">
        <v>759</v>
      </c>
      <c r="C352" s="57" t="s">
        <v>768</v>
      </c>
      <c r="D352" s="64">
        <v>4540255</v>
      </c>
      <c r="E352" s="57"/>
      <c r="F352" s="58"/>
      <c r="G352" s="58"/>
      <c r="H352" s="59" t="s">
        <v>17</v>
      </c>
      <c r="K352">
        <v>7</v>
      </c>
      <c r="L352">
        <v>7</v>
      </c>
      <c r="M352">
        <v>8</v>
      </c>
      <c r="N352">
        <v>6</v>
      </c>
      <c r="O352">
        <v>28</v>
      </c>
      <c r="Q352" s="47"/>
      <c r="R352" s="7"/>
    </row>
    <row r="353" spans="1:21" hidden="1" x14ac:dyDescent="0.25">
      <c r="A353" s="31"/>
      <c r="B353" t="s">
        <v>759</v>
      </c>
      <c r="C353" t="s">
        <v>769</v>
      </c>
      <c r="D353" s="64">
        <v>4540255</v>
      </c>
      <c r="K353">
        <v>0</v>
      </c>
      <c r="L353">
        <v>0</v>
      </c>
      <c r="M353">
        <v>34</v>
      </c>
      <c r="N353">
        <v>46</v>
      </c>
      <c r="O353">
        <v>80</v>
      </c>
      <c r="Q353" s="47"/>
      <c r="R353" s="7"/>
    </row>
    <row r="354" spans="1:21" hidden="1" x14ac:dyDescent="0.25">
      <c r="A354" s="31"/>
      <c r="B354" t="s">
        <v>759</v>
      </c>
      <c r="C354" t="s">
        <v>770</v>
      </c>
      <c r="D354" s="64">
        <v>4540255</v>
      </c>
      <c r="E354" s="57">
        <v>4540255</v>
      </c>
      <c r="K354">
        <v>59</v>
      </c>
      <c r="L354">
        <v>4</v>
      </c>
      <c r="M354">
        <v>0</v>
      </c>
      <c r="N354">
        <v>0</v>
      </c>
      <c r="O354">
        <v>63</v>
      </c>
      <c r="P354" s="30">
        <f>SUM(O346+O347+O348+O349+O351-O350+O352+O353+O354)*1000</f>
        <v>2125000</v>
      </c>
      <c r="Q354" s="47">
        <f t="shared" si="19"/>
        <v>27.723418134377038</v>
      </c>
      <c r="R354" s="7">
        <f t="shared" si="20"/>
        <v>16634.050880626222</v>
      </c>
      <c r="S354" s="30">
        <v>27.72</v>
      </c>
      <c r="T354" s="27">
        <v>42.71</v>
      </c>
      <c r="U354" s="28" t="s">
        <v>22</v>
      </c>
    </row>
    <row r="355" spans="1:21" hidden="1" x14ac:dyDescent="0.25">
      <c r="A355" s="33" t="s">
        <v>771</v>
      </c>
      <c r="B355" s="56" t="s">
        <v>772</v>
      </c>
      <c r="C355" s="56" t="s">
        <v>773</v>
      </c>
      <c r="D355" s="57">
        <v>4540260</v>
      </c>
      <c r="E355" s="57">
        <v>4540260</v>
      </c>
      <c r="F355" s="58">
        <v>140</v>
      </c>
      <c r="G355" s="58"/>
      <c r="H355" s="59" t="s">
        <v>17</v>
      </c>
      <c r="K355">
        <v>84</v>
      </c>
      <c r="L355">
        <v>35</v>
      </c>
      <c r="M355">
        <v>36</v>
      </c>
      <c r="N355">
        <v>20</v>
      </c>
      <c r="O355">
        <v>175</v>
      </c>
      <c r="P355" s="30">
        <f>SUM(O355*1000)</f>
        <v>175000</v>
      </c>
      <c r="Q355" s="47">
        <f t="shared" si="19"/>
        <v>2.2831050228310503</v>
      </c>
      <c r="R355" s="7">
        <f t="shared" si="20"/>
        <v>1369.8630136986301</v>
      </c>
      <c r="S355" s="30">
        <v>2.2799999999999998</v>
      </c>
      <c r="T355" s="27">
        <v>1</v>
      </c>
      <c r="U355" s="28" t="s">
        <v>58</v>
      </c>
    </row>
    <row r="356" spans="1:21" hidden="1" x14ac:dyDescent="0.25">
      <c r="A356" s="33" t="s">
        <v>774</v>
      </c>
      <c r="B356" t="s">
        <v>775</v>
      </c>
      <c r="C356" s="56" t="s">
        <v>776</v>
      </c>
      <c r="D356" s="57">
        <v>4540265</v>
      </c>
      <c r="E356" s="57">
        <v>4540265</v>
      </c>
      <c r="F356" s="58">
        <v>141</v>
      </c>
      <c r="G356" s="58"/>
      <c r="H356" s="59" t="s">
        <v>17</v>
      </c>
      <c r="K356">
        <v>144</v>
      </c>
      <c r="L356">
        <v>180</v>
      </c>
      <c r="M356">
        <v>151</v>
      </c>
      <c r="N356">
        <v>152</v>
      </c>
      <c r="O356">
        <v>627</v>
      </c>
      <c r="Q356" s="47"/>
      <c r="R356" s="7">
        <f t="shared" si="20"/>
        <v>0</v>
      </c>
    </row>
    <row r="357" spans="1:21" hidden="1" x14ac:dyDescent="0.25">
      <c r="A357" s="33" t="s">
        <v>777</v>
      </c>
      <c r="B357" t="s">
        <v>778</v>
      </c>
      <c r="C357" s="56" t="s">
        <v>776</v>
      </c>
      <c r="D357" s="57">
        <v>4540265</v>
      </c>
      <c r="E357" s="57">
        <v>4540265</v>
      </c>
      <c r="F357" s="58"/>
      <c r="G357" s="58"/>
      <c r="H357" s="59" t="s">
        <v>17</v>
      </c>
      <c r="K357">
        <v>2009</v>
      </c>
      <c r="L357">
        <v>2289</v>
      </c>
      <c r="M357">
        <v>2413</v>
      </c>
      <c r="N357">
        <v>2117</v>
      </c>
      <c r="O357">
        <v>8828</v>
      </c>
      <c r="P357" s="30">
        <f>SUM(O357-O356)*1000</f>
        <v>8201000</v>
      </c>
      <c r="Q357" s="47">
        <f t="shared" si="19"/>
        <v>106.99282452707111</v>
      </c>
      <c r="R357" s="7">
        <f t="shared" si="20"/>
        <v>64195.694716242666</v>
      </c>
      <c r="S357" s="30">
        <v>106.99</v>
      </c>
      <c r="T357" s="27">
        <v>104.29</v>
      </c>
      <c r="U357" s="28" t="s">
        <v>58</v>
      </c>
    </row>
    <row r="358" spans="1:21" x14ac:dyDescent="0.25">
      <c r="A358" s="33" t="s">
        <v>779</v>
      </c>
      <c r="B358" s="57" t="s">
        <v>780</v>
      </c>
      <c r="C358" s="56" t="s">
        <v>781</v>
      </c>
      <c r="D358" s="65">
        <v>4540279</v>
      </c>
      <c r="E358" s="65">
        <v>4540279</v>
      </c>
      <c r="F358" s="58">
        <v>142</v>
      </c>
      <c r="G358" s="58"/>
      <c r="H358" s="59" t="s">
        <v>17</v>
      </c>
      <c r="O358" s="5">
        <v>76.650000000000006</v>
      </c>
      <c r="P358" s="30">
        <f>SUM(O358*1000)</f>
        <v>76650</v>
      </c>
      <c r="Q358" s="47">
        <f t="shared" si="19"/>
        <v>1</v>
      </c>
      <c r="R358" s="7">
        <f t="shared" si="20"/>
        <v>600</v>
      </c>
      <c r="S358" s="30">
        <v>1</v>
      </c>
      <c r="T358" s="27">
        <v>1</v>
      </c>
      <c r="U358" s="28" t="s">
        <v>62</v>
      </c>
    </row>
    <row r="359" spans="1:21" x14ac:dyDescent="0.25">
      <c r="A359" s="33" t="s">
        <v>782</v>
      </c>
      <c r="B359" s="57" t="s">
        <v>783</v>
      </c>
      <c r="C359" s="56" t="s">
        <v>653</v>
      </c>
      <c r="D359" s="65">
        <v>4540282</v>
      </c>
      <c r="E359" s="65">
        <v>4540282</v>
      </c>
      <c r="F359" s="58">
        <v>143</v>
      </c>
      <c r="G359" s="58"/>
      <c r="H359" s="59" t="s">
        <v>17</v>
      </c>
      <c r="O359" s="5">
        <v>76.650000000000006</v>
      </c>
      <c r="P359" s="30">
        <f>SUM(O359*1000)</f>
        <v>76650</v>
      </c>
      <c r="Q359" s="47">
        <f t="shared" si="19"/>
        <v>1</v>
      </c>
      <c r="R359" s="7">
        <f t="shared" si="20"/>
        <v>600</v>
      </c>
      <c r="S359" s="30">
        <v>1</v>
      </c>
      <c r="T359" s="27">
        <v>1</v>
      </c>
      <c r="U359" s="28" t="s">
        <v>62</v>
      </c>
    </row>
    <row r="360" spans="1:21" hidden="1" x14ac:dyDescent="0.25">
      <c r="A360" s="33" t="s">
        <v>784</v>
      </c>
      <c r="B360" s="56" t="s">
        <v>785</v>
      </c>
      <c r="C360" s="56" t="s">
        <v>786</v>
      </c>
      <c r="D360" s="57">
        <v>4540290</v>
      </c>
      <c r="E360" s="57">
        <v>4540290</v>
      </c>
      <c r="F360" s="58">
        <v>144</v>
      </c>
      <c r="G360" s="58"/>
      <c r="H360" s="59" t="s">
        <v>17</v>
      </c>
      <c r="K360">
        <v>50</v>
      </c>
      <c r="L360">
        <v>110</v>
      </c>
      <c r="M360">
        <v>103</v>
      </c>
      <c r="N360">
        <v>36</v>
      </c>
      <c r="O360">
        <v>299</v>
      </c>
      <c r="P360" s="30">
        <f>SUM(O360*1000)</f>
        <v>299000</v>
      </c>
      <c r="Q360" s="47">
        <f t="shared" si="19"/>
        <v>3.9008480104370515</v>
      </c>
      <c r="R360" s="7">
        <f t="shared" si="20"/>
        <v>2340.5088062622308</v>
      </c>
      <c r="S360" s="30">
        <v>3.9</v>
      </c>
      <c r="T360" s="27">
        <v>1</v>
      </c>
      <c r="U360" s="28" t="s">
        <v>58</v>
      </c>
    </row>
    <row r="361" spans="1:21" s="9" customFormat="1" hidden="1" x14ac:dyDescent="0.25">
      <c r="A361" s="33" t="s">
        <v>787</v>
      </c>
      <c r="B361" s="57" t="s">
        <v>788</v>
      </c>
      <c r="C361" s="56" t="s">
        <v>789</v>
      </c>
      <c r="D361" s="57">
        <v>4540300</v>
      </c>
      <c r="E361" s="57"/>
      <c r="F361" s="58"/>
      <c r="G361" s="58"/>
      <c r="H361" s="59" t="s">
        <v>17</v>
      </c>
      <c r="K361" s="57">
        <v>96</v>
      </c>
      <c r="L361" s="57">
        <v>103</v>
      </c>
      <c r="M361" s="57">
        <v>77</v>
      </c>
      <c r="N361" s="57">
        <v>68</v>
      </c>
      <c r="O361" s="57">
        <v>344</v>
      </c>
      <c r="P361" s="6">
        <f>SUM(O361*1000)</f>
        <v>344000</v>
      </c>
      <c r="Q361" s="7">
        <f t="shared" si="19"/>
        <v>4.4879321591650356</v>
      </c>
      <c r="R361" s="7">
        <f t="shared" si="20"/>
        <v>2692.7592954990214</v>
      </c>
      <c r="S361" s="6">
        <v>4.49</v>
      </c>
      <c r="T361" s="7">
        <v>2.82</v>
      </c>
      <c r="U361" s="20" t="s">
        <v>58</v>
      </c>
    </row>
    <row r="362" spans="1:21" hidden="1" x14ac:dyDescent="0.25">
      <c r="A362" s="33"/>
      <c r="B362" t="s">
        <v>790</v>
      </c>
      <c r="C362" s="60"/>
      <c r="D362" s="61"/>
      <c r="E362" s="61"/>
      <c r="F362" s="62"/>
      <c r="G362" s="62" t="s">
        <v>33</v>
      </c>
      <c r="H362" s="63"/>
      <c r="K362">
        <v>0</v>
      </c>
      <c r="L362">
        <v>50</v>
      </c>
      <c r="M362">
        <v>45</v>
      </c>
      <c r="N362">
        <v>0</v>
      </c>
      <c r="O362">
        <v>95</v>
      </c>
      <c r="P362" s="6"/>
      <c r="Q362" s="7"/>
      <c r="R362" s="7"/>
      <c r="U362" s="28" t="s">
        <v>58</v>
      </c>
    </row>
    <row r="363" spans="1:21" hidden="1" x14ac:dyDescent="0.25">
      <c r="A363" s="33"/>
      <c r="B363" s="56" t="s">
        <v>791</v>
      </c>
      <c r="C363" s="56" t="s">
        <v>792</v>
      </c>
      <c r="D363" s="57">
        <v>4540302</v>
      </c>
      <c r="E363" s="57">
        <v>4540302</v>
      </c>
      <c r="F363" s="58">
        <v>146</v>
      </c>
      <c r="G363" s="58"/>
      <c r="H363" s="59" t="s">
        <v>17</v>
      </c>
      <c r="K363">
        <v>39</v>
      </c>
      <c r="L363">
        <v>98</v>
      </c>
      <c r="M363">
        <v>43</v>
      </c>
      <c r="N363">
        <v>31</v>
      </c>
      <c r="O363">
        <v>211</v>
      </c>
      <c r="P363" s="6">
        <f t="shared" ref="P363:P365" si="23">SUM(O363*1000)</f>
        <v>211000</v>
      </c>
      <c r="Q363" s="7">
        <f t="shared" ref="Q363:Q412" si="24">SUM(P363/76650)</f>
        <v>2.7527723418134378</v>
      </c>
      <c r="R363" s="7">
        <f t="shared" si="20"/>
        <v>1651.6634050880627</v>
      </c>
      <c r="S363" s="30">
        <v>2.75</v>
      </c>
      <c r="T363" s="27">
        <v>2.77</v>
      </c>
      <c r="U363" s="28" t="s">
        <v>22</v>
      </c>
    </row>
    <row r="364" spans="1:21" x14ac:dyDescent="0.25">
      <c r="A364" s="33" t="s">
        <v>793</v>
      </c>
      <c r="B364" s="56" t="s">
        <v>794</v>
      </c>
      <c r="C364" s="56" t="s">
        <v>795</v>
      </c>
      <c r="D364" s="57">
        <v>4540304</v>
      </c>
      <c r="E364" s="57">
        <v>4540304</v>
      </c>
      <c r="F364" s="58">
        <v>147</v>
      </c>
      <c r="G364" s="58"/>
      <c r="H364" s="59" t="s">
        <v>17</v>
      </c>
      <c r="O364" s="5">
        <v>76.650000000000006</v>
      </c>
      <c r="P364" s="6">
        <f t="shared" si="23"/>
        <v>76650</v>
      </c>
      <c r="Q364" s="7">
        <f t="shared" si="24"/>
        <v>1</v>
      </c>
      <c r="R364" s="7">
        <f t="shared" si="20"/>
        <v>600</v>
      </c>
      <c r="S364" s="30">
        <v>1</v>
      </c>
      <c r="T364" s="27">
        <v>1</v>
      </c>
      <c r="U364" s="28" t="s">
        <v>62</v>
      </c>
    </row>
    <row r="365" spans="1:21" hidden="1" x14ac:dyDescent="0.25">
      <c r="A365" s="33" t="s">
        <v>796</v>
      </c>
      <c r="B365" s="56" t="s">
        <v>797</v>
      </c>
      <c r="C365" s="56" t="s">
        <v>798</v>
      </c>
      <c r="D365" s="57">
        <v>4540310</v>
      </c>
      <c r="E365" s="57">
        <v>4540310</v>
      </c>
      <c r="F365" s="58">
        <v>147</v>
      </c>
      <c r="G365" s="58"/>
      <c r="H365" s="59" t="s">
        <v>17</v>
      </c>
      <c r="K365" s="66">
        <v>7</v>
      </c>
      <c r="L365" s="66">
        <v>87</v>
      </c>
      <c r="M365" s="66">
        <v>21</v>
      </c>
      <c r="N365" s="66">
        <v>4</v>
      </c>
      <c r="O365" s="66">
        <v>119</v>
      </c>
      <c r="P365" s="6">
        <f t="shared" si="23"/>
        <v>119000</v>
      </c>
      <c r="Q365" s="7">
        <f t="shared" si="24"/>
        <v>1.5525114155251141</v>
      </c>
      <c r="R365" s="7">
        <f t="shared" si="20"/>
        <v>931.50684931506839</v>
      </c>
      <c r="S365" s="30">
        <v>1.55</v>
      </c>
      <c r="T365" s="27">
        <v>3.34</v>
      </c>
      <c r="U365" s="28" t="s">
        <v>22</v>
      </c>
    </row>
    <row r="366" spans="1:21" hidden="1" x14ac:dyDescent="0.25">
      <c r="A366" s="33" t="s">
        <v>799</v>
      </c>
      <c r="B366" s="56" t="s">
        <v>800</v>
      </c>
      <c r="C366" s="56" t="s">
        <v>801</v>
      </c>
      <c r="D366" s="34">
        <v>4540315</v>
      </c>
      <c r="E366" s="57">
        <v>4540315</v>
      </c>
      <c r="F366" s="58">
        <v>148</v>
      </c>
      <c r="G366" s="58"/>
      <c r="H366" s="59" t="s">
        <v>17</v>
      </c>
      <c r="K366">
        <v>0</v>
      </c>
      <c r="L366">
        <v>0</v>
      </c>
      <c r="M366">
        <v>1</v>
      </c>
      <c r="N366">
        <v>1</v>
      </c>
      <c r="O366">
        <v>2</v>
      </c>
      <c r="Q366" s="7"/>
      <c r="R366" s="7"/>
    </row>
    <row r="367" spans="1:21" hidden="1" x14ac:dyDescent="0.25">
      <c r="A367" s="33" t="s">
        <v>802</v>
      </c>
      <c r="B367" s="56" t="s">
        <v>800</v>
      </c>
      <c r="C367" s="56" t="s">
        <v>803</v>
      </c>
      <c r="D367" s="34">
        <v>4540315</v>
      </c>
      <c r="E367" s="57"/>
      <c r="F367" s="57"/>
      <c r="G367" s="58"/>
      <c r="H367" s="59" t="s">
        <v>17</v>
      </c>
      <c r="K367">
        <v>0</v>
      </c>
      <c r="L367">
        <v>1</v>
      </c>
      <c r="M367">
        <v>1</v>
      </c>
      <c r="N367">
        <v>1</v>
      </c>
      <c r="O367">
        <v>3</v>
      </c>
      <c r="Q367" s="7"/>
      <c r="R367" s="7"/>
    </row>
    <row r="368" spans="1:21" hidden="1" x14ac:dyDescent="0.25">
      <c r="A368" s="33" t="s">
        <v>804</v>
      </c>
      <c r="B368" s="56" t="s">
        <v>800</v>
      </c>
      <c r="C368" s="56" t="s">
        <v>805</v>
      </c>
      <c r="D368" s="34">
        <v>4540315</v>
      </c>
      <c r="E368" s="57"/>
      <c r="F368" s="58"/>
      <c r="G368" s="58"/>
      <c r="H368" s="59" t="s">
        <v>17</v>
      </c>
      <c r="K368">
        <v>14</v>
      </c>
      <c r="L368">
        <v>15</v>
      </c>
      <c r="M368">
        <v>14</v>
      </c>
      <c r="N368">
        <v>14</v>
      </c>
      <c r="O368">
        <v>57</v>
      </c>
      <c r="Q368" s="7"/>
      <c r="R368" s="7"/>
    </row>
    <row r="369" spans="1:21" hidden="1" x14ac:dyDescent="0.25">
      <c r="A369" s="33" t="s">
        <v>806</v>
      </c>
      <c r="B369" s="56" t="s">
        <v>800</v>
      </c>
      <c r="C369" s="56" t="s">
        <v>807</v>
      </c>
      <c r="D369" s="34">
        <v>4540315</v>
      </c>
      <c r="E369" s="57"/>
      <c r="F369" s="58"/>
      <c r="G369" s="58"/>
      <c r="H369" s="59" t="s">
        <v>17</v>
      </c>
      <c r="K369">
        <v>11</v>
      </c>
      <c r="L369">
        <v>18</v>
      </c>
      <c r="M369">
        <v>14</v>
      </c>
      <c r="N369">
        <v>8</v>
      </c>
      <c r="O369">
        <v>51</v>
      </c>
      <c r="Q369" s="7"/>
      <c r="R369" s="7"/>
    </row>
    <row r="370" spans="1:21" hidden="1" x14ac:dyDescent="0.25">
      <c r="A370" s="33" t="s">
        <v>808</v>
      </c>
      <c r="B370" s="56" t="s">
        <v>800</v>
      </c>
      <c r="C370" s="56" t="s">
        <v>809</v>
      </c>
      <c r="D370" s="34">
        <v>4540315</v>
      </c>
      <c r="E370" s="57"/>
      <c r="F370" s="58"/>
      <c r="G370" s="58"/>
      <c r="H370" s="59" t="s">
        <v>17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Q370" s="7"/>
      <c r="R370" s="7"/>
    </row>
    <row r="371" spans="1:21" hidden="1" x14ac:dyDescent="0.25">
      <c r="A371" s="33" t="s">
        <v>810</v>
      </c>
      <c r="B371" s="56" t="s">
        <v>800</v>
      </c>
      <c r="C371" s="56" t="s">
        <v>811</v>
      </c>
      <c r="D371" s="34">
        <v>4540315</v>
      </c>
      <c r="E371" s="57"/>
      <c r="F371" s="58"/>
      <c r="G371" s="58"/>
      <c r="H371" s="59" t="s">
        <v>17</v>
      </c>
      <c r="K371">
        <v>34</v>
      </c>
      <c r="L371">
        <v>171</v>
      </c>
      <c r="M371">
        <v>31</v>
      </c>
      <c r="N371">
        <v>45</v>
      </c>
      <c r="O371">
        <v>281</v>
      </c>
      <c r="Q371" s="7"/>
      <c r="R371" s="7"/>
    </row>
    <row r="372" spans="1:21" hidden="1" x14ac:dyDescent="0.25">
      <c r="A372" s="33" t="s">
        <v>812</v>
      </c>
      <c r="B372" s="56" t="s">
        <v>800</v>
      </c>
      <c r="C372" s="56" t="s">
        <v>811</v>
      </c>
      <c r="D372" s="34">
        <v>4540315</v>
      </c>
      <c r="E372" s="57"/>
      <c r="F372" s="58"/>
      <c r="G372" s="58"/>
      <c r="H372" s="59" t="s">
        <v>17</v>
      </c>
      <c r="K372">
        <v>67</v>
      </c>
      <c r="L372">
        <v>29</v>
      </c>
      <c r="M372">
        <v>17</v>
      </c>
      <c r="N372">
        <v>14</v>
      </c>
      <c r="O372">
        <v>127</v>
      </c>
      <c r="Q372" s="7"/>
      <c r="R372" s="7"/>
    </row>
    <row r="373" spans="1:21" hidden="1" x14ac:dyDescent="0.25">
      <c r="A373" s="33" t="s">
        <v>813</v>
      </c>
      <c r="B373" s="56" t="s">
        <v>800</v>
      </c>
      <c r="C373" s="56" t="s">
        <v>814</v>
      </c>
      <c r="D373" s="34">
        <v>4540315</v>
      </c>
      <c r="E373" s="57"/>
      <c r="F373" s="58"/>
      <c r="G373" s="58"/>
      <c r="H373" s="59" t="s">
        <v>17</v>
      </c>
      <c r="K373">
        <v>7</v>
      </c>
      <c r="L373">
        <v>14</v>
      </c>
      <c r="M373">
        <v>10</v>
      </c>
      <c r="N373">
        <v>15</v>
      </c>
      <c r="O373">
        <v>46</v>
      </c>
      <c r="Q373" s="7"/>
      <c r="R373" s="7"/>
    </row>
    <row r="374" spans="1:21" hidden="1" x14ac:dyDescent="0.25">
      <c r="A374" s="33" t="s">
        <v>815</v>
      </c>
      <c r="B374" s="56" t="s">
        <v>800</v>
      </c>
      <c r="C374" s="56" t="s">
        <v>816</v>
      </c>
      <c r="D374" s="34">
        <v>4540315</v>
      </c>
      <c r="E374" s="57"/>
      <c r="F374" s="58"/>
      <c r="G374" s="58"/>
      <c r="H374" s="59" t="s">
        <v>17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Q374" s="7"/>
      <c r="R374" s="7"/>
    </row>
    <row r="375" spans="1:21" hidden="1" x14ac:dyDescent="0.25">
      <c r="A375" s="33" t="s">
        <v>817</v>
      </c>
      <c r="B375" s="56" t="s">
        <v>800</v>
      </c>
      <c r="C375" s="56" t="s">
        <v>818</v>
      </c>
      <c r="D375" s="34">
        <v>4540315</v>
      </c>
      <c r="E375" s="57"/>
      <c r="F375" s="58"/>
      <c r="G375" s="58"/>
      <c r="H375" s="59" t="s">
        <v>17</v>
      </c>
      <c r="K375">
        <v>11</v>
      </c>
      <c r="L375">
        <v>9</v>
      </c>
      <c r="M375">
        <v>8</v>
      </c>
      <c r="N375">
        <v>7</v>
      </c>
      <c r="O375">
        <v>35</v>
      </c>
      <c r="Q375" s="7"/>
      <c r="R375" s="7"/>
    </row>
    <row r="376" spans="1:21" hidden="1" x14ac:dyDescent="0.25">
      <c r="A376" s="33" t="s">
        <v>819</v>
      </c>
      <c r="B376" s="56" t="s">
        <v>800</v>
      </c>
      <c r="C376" s="56" t="s">
        <v>820</v>
      </c>
      <c r="D376" s="34">
        <v>4540315</v>
      </c>
      <c r="E376" s="57"/>
      <c r="F376" s="58"/>
      <c r="G376" s="58"/>
      <c r="H376" s="59" t="s">
        <v>17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Q376" s="7"/>
      <c r="R376" s="7"/>
    </row>
    <row r="377" spans="1:21" hidden="1" x14ac:dyDescent="0.25">
      <c r="A377" s="33"/>
      <c r="B377" s="56" t="s">
        <v>800</v>
      </c>
      <c r="C377" s="56" t="s">
        <v>821</v>
      </c>
      <c r="D377" s="34">
        <v>4540315</v>
      </c>
      <c r="E377" s="57"/>
      <c r="F377" s="58"/>
      <c r="G377" s="58"/>
      <c r="H377" s="59" t="s">
        <v>17</v>
      </c>
      <c r="K377">
        <v>2</v>
      </c>
      <c r="L377">
        <v>2</v>
      </c>
      <c r="M377">
        <v>2</v>
      </c>
      <c r="N377">
        <v>1</v>
      </c>
      <c r="O377">
        <v>7</v>
      </c>
      <c r="Q377" s="7"/>
      <c r="R377" s="7"/>
    </row>
    <row r="378" spans="1:21" hidden="1" x14ac:dyDescent="0.25">
      <c r="A378" s="33"/>
      <c r="B378" s="56" t="s">
        <v>822</v>
      </c>
      <c r="C378" s="56" t="s">
        <v>821</v>
      </c>
      <c r="D378" s="34">
        <v>4540315</v>
      </c>
      <c r="E378" s="57"/>
      <c r="F378" s="58"/>
      <c r="G378" s="58"/>
      <c r="H378" s="59"/>
      <c r="K378">
        <v>6</v>
      </c>
      <c r="L378">
        <v>7</v>
      </c>
      <c r="M378">
        <v>8</v>
      </c>
      <c r="N378">
        <v>8</v>
      </c>
      <c r="O378">
        <v>29</v>
      </c>
      <c r="Q378" s="7"/>
      <c r="R378" s="7"/>
    </row>
    <row r="379" spans="1:21" hidden="1" x14ac:dyDescent="0.25">
      <c r="A379" s="33" t="s">
        <v>823</v>
      </c>
      <c r="B379" s="56" t="s">
        <v>824</v>
      </c>
      <c r="C379" s="56" t="s">
        <v>825</v>
      </c>
      <c r="D379" s="34">
        <v>4540315</v>
      </c>
      <c r="E379" s="57"/>
      <c r="F379" s="58"/>
      <c r="G379" s="58"/>
      <c r="H379" s="59" t="s">
        <v>17</v>
      </c>
      <c r="K379">
        <v>165</v>
      </c>
      <c r="L379">
        <v>159</v>
      </c>
      <c r="M379">
        <v>157</v>
      </c>
      <c r="N379">
        <v>155</v>
      </c>
      <c r="O379">
        <v>636</v>
      </c>
      <c r="P379" s="30">
        <f>SUM(O366:O379)*1000</f>
        <v>1274000</v>
      </c>
      <c r="Q379" s="7">
        <f t="shared" si="24"/>
        <v>16.621004566210047</v>
      </c>
      <c r="R379" s="7">
        <f t="shared" si="20"/>
        <v>9972.6027397260277</v>
      </c>
      <c r="S379" s="30">
        <v>8.3000000000000007</v>
      </c>
      <c r="T379" s="27">
        <v>15.73</v>
      </c>
      <c r="U379" s="28" t="s">
        <v>22</v>
      </c>
    </row>
    <row r="380" spans="1:21" hidden="1" x14ac:dyDescent="0.25">
      <c r="A380" s="33" t="s">
        <v>826</v>
      </c>
      <c r="B380" s="56" t="s">
        <v>827</v>
      </c>
      <c r="C380" s="56" t="s">
        <v>828</v>
      </c>
      <c r="D380" s="57">
        <v>4540320</v>
      </c>
      <c r="E380" s="57"/>
      <c r="F380" s="58"/>
      <c r="G380" s="58"/>
      <c r="H380" s="59" t="s">
        <v>17</v>
      </c>
      <c r="K380">
        <v>139</v>
      </c>
      <c r="L380">
        <v>209</v>
      </c>
      <c r="M380">
        <v>120</v>
      </c>
      <c r="N380">
        <v>86</v>
      </c>
      <c r="O380">
        <v>554</v>
      </c>
      <c r="P380" s="30">
        <f t="shared" ref="P380:P387" si="25">SUM(O367:O3800*1000)</f>
        <v>554000</v>
      </c>
      <c r="Q380" s="7">
        <f t="shared" si="24"/>
        <v>7.2276581865622962</v>
      </c>
      <c r="R380" s="7">
        <f t="shared" si="20"/>
        <v>4336.5949119373781</v>
      </c>
      <c r="S380" s="30">
        <v>7.23</v>
      </c>
      <c r="T380" s="27">
        <v>7.64</v>
      </c>
    </row>
    <row r="381" spans="1:21" x14ac:dyDescent="0.25">
      <c r="A381" s="33" t="s">
        <v>829</v>
      </c>
      <c r="B381" s="56" t="s">
        <v>830</v>
      </c>
      <c r="C381" s="56" t="s">
        <v>831</v>
      </c>
      <c r="D381" s="67">
        <v>4540328</v>
      </c>
      <c r="E381" s="58">
        <v>4540328</v>
      </c>
      <c r="F381" s="58">
        <v>150</v>
      </c>
      <c r="G381" s="58"/>
      <c r="H381" s="59" t="s">
        <v>17</v>
      </c>
      <c r="O381" s="5">
        <v>76.650000000000006</v>
      </c>
      <c r="P381" s="30">
        <f t="shared" si="25"/>
        <v>76650</v>
      </c>
      <c r="Q381" s="7">
        <f t="shared" si="24"/>
        <v>1</v>
      </c>
      <c r="R381" s="7">
        <f t="shared" si="20"/>
        <v>600</v>
      </c>
      <c r="S381" s="30">
        <v>1</v>
      </c>
      <c r="T381" s="27">
        <v>1</v>
      </c>
    </row>
    <row r="382" spans="1:21" hidden="1" x14ac:dyDescent="0.25">
      <c r="A382" s="33" t="s">
        <v>832</v>
      </c>
      <c r="B382" s="56" t="s">
        <v>833</v>
      </c>
      <c r="C382" s="56" t="s">
        <v>834</v>
      </c>
      <c r="D382" s="57">
        <v>4540332</v>
      </c>
      <c r="E382" s="57">
        <v>4540332</v>
      </c>
      <c r="F382" s="58">
        <v>151</v>
      </c>
      <c r="G382" s="58"/>
      <c r="H382" s="59" t="s">
        <v>17</v>
      </c>
      <c r="K382">
        <v>4</v>
      </c>
      <c r="L382">
        <v>6</v>
      </c>
      <c r="M382">
        <v>3</v>
      </c>
      <c r="N382">
        <v>4</v>
      </c>
      <c r="O382" s="5">
        <v>76.650000000000006</v>
      </c>
      <c r="P382" s="30">
        <f t="shared" si="25"/>
        <v>76650</v>
      </c>
      <c r="Q382" s="7">
        <f t="shared" si="24"/>
        <v>1</v>
      </c>
      <c r="R382" s="7">
        <f t="shared" si="20"/>
        <v>600</v>
      </c>
      <c r="S382" s="30">
        <v>1</v>
      </c>
      <c r="T382" s="27">
        <v>1</v>
      </c>
    </row>
    <row r="383" spans="1:21" hidden="1" x14ac:dyDescent="0.25">
      <c r="A383" s="33" t="s">
        <v>835</v>
      </c>
      <c r="B383" s="56" t="s">
        <v>836</v>
      </c>
      <c r="C383" s="56" t="s">
        <v>837</v>
      </c>
      <c r="D383" s="57">
        <v>4540336</v>
      </c>
      <c r="E383" s="57">
        <v>4540336</v>
      </c>
      <c r="F383" s="58">
        <v>152</v>
      </c>
      <c r="G383" s="58"/>
      <c r="H383" s="59" t="s">
        <v>17</v>
      </c>
      <c r="K383">
        <v>341</v>
      </c>
      <c r="L383">
        <v>453</v>
      </c>
      <c r="M383">
        <v>359</v>
      </c>
      <c r="N383">
        <v>206</v>
      </c>
      <c r="O383">
        <v>1359</v>
      </c>
      <c r="P383" s="30">
        <f t="shared" si="25"/>
        <v>1359000</v>
      </c>
      <c r="Q383" s="7">
        <f t="shared" si="24"/>
        <v>17.729941291585128</v>
      </c>
      <c r="R383" s="7">
        <f t="shared" ref="R383:R413" si="26">SUM(Q383*600)</f>
        <v>10637.964774951077</v>
      </c>
      <c r="S383" s="30">
        <v>17.73</v>
      </c>
      <c r="T383" s="27">
        <v>15.25</v>
      </c>
    </row>
    <row r="384" spans="1:21" hidden="1" x14ac:dyDescent="0.25">
      <c r="A384" s="33" t="s">
        <v>838</v>
      </c>
      <c r="B384" s="56" t="s">
        <v>839</v>
      </c>
      <c r="C384" s="56" t="s">
        <v>828</v>
      </c>
      <c r="D384" s="57">
        <v>4540339</v>
      </c>
      <c r="E384" s="57">
        <v>4540339</v>
      </c>
      <c r="F384" s="58">
        <v>153</v>
      </c>
      <c r="G384" s="58"/>
      <c r="H384" s="59" t="s">
        <v>17</v>
      </c>
      <c r="K384">
        <v>30</v>
      </c>
      <c r="L384">
        <v>284</v>
      </c>
      <c r="M384">
        <v>43</v>
      </c>
      <c r="N384">
        <v>18</v>
      </c>
      <c r="O384">
        <v>375</v>
      </c>
      <c r="P384" s="30">
        <f t="shared" si="25"/>
        <v>375000</v>
      </c>
      <c r="Q384" s="7">
        <f t="shared" si="24"/>
        <v>4.8923679060665366</v>
      </c>
      <c r="R384" s="7">
        <f t="shared" si="26"/>
        <v>2935.420743639922</v>
      </c>
      <c r="S384" s="30">
        <v>4.8899999999999997</v>
      </c>
      <c r="T384" s="27">
        <v>4.8099999999999996</v>
      </c>
    </row>
    <row r="385" spans="1:20" hidden="1" x14ac:dyDescent="0.25">
      <c r="A385" s="33" t="s">
        <v>840</v>
      </c>
      <c r="B385" s="56" t="s">
        <v>841</v>
      </c>
      <c r="C385" s="56" t="s">
        <v>842</v>
      </c>
      <c r="D385" s="57">
        <v>4540347</v>
      </c>
      <c r="E385" s="57">
        <v>4540347</v>
      </c>
      <c r="F385" s="58">
        <v>154</v>
      </c>
      <c r="G385" s="58"/>
      <c r="H385" s="59" t="s">
        <v>17</v>
      </c>
      <c r="K385">
        <v>128</v>
      </c>
      <c r="L385">
        <v>126</v>
      </c>
      <c r="M385">
        <v>117</v>
      </c>
      <c r="N385">
        <v>87</v>
      </c>
      <c r="O385">
        <v>458</v>
      </c>
      <c r="P385" s="30">
        <f t="shared" si="25"/>
        <v>458000</v>
      </c>
      <c r="Q385" s="7">
        <f t="shared" si="24"/>
        <v>5.975212002609263</v>
      </c>
      <c r="R385" s="7">
        <f t="shared" si="26"/>
        <v>3585.1272015655577</v>
      </c>
      <c r="S385" s="30">
        <v>5.98</v>
      </c>
      <c r="T385" s="27">
        <v>3.91</v>
      </c>
    </row>
    <row r="386" spans="1:20" hidden="1" x14ac:dyDescent="0.25">
      <c r="A386" s="33" t="s">
        <v>843</v>
      </c>
      <c r="B386" s="56" t="s">
        <v>844</v>
      </c>
      <c r="C386" s="56" t="s">
        <v>845</v>
      </c>
      <c r="D386" s="57">
        <v>4540353</v>
      </c>
      <c r="E386" s="57">
        <v>4540353</v>
      </c>
      <c r="F386" s="58">
        <v>155</v>
      </c>
      <c r="G386" s="58"/>
      <c r="H386" s="59" t="s">
        <v>17</v>
      </c>
      <c r="K386">
        <v>7</v>
      </c>
      <c r="L386">
        <v>7</v>
      </c>
      <c r="M386">
        <v>10</v>
      </c>
      <c r="N386">
        <v>5</v>
      </c>
      <c r="O386">
        <v>76.650000000000006</v>
      </c>
      <c r="P386" s="30">
        <f t="shared" si="25"/>
        <v>76650</v>
      </c>
      <c r="Q386" s="7">
        <f t="shared" si="24"/>
        <v>1</v>
      </c>
      <c r="R386" s="7">
        <f t="shared" si="26"/>
        <v>600</v>
      </c>
      <c r="S386" s="30">
        <v>1</v>
      </c>
      <c r="T386" s="27">
        <v>1</v>
      </c>
    </row>
    <row r="387" spans="1:20" hidden="1" x14ac:dyDescent="0.25">
      <c r="A387" s="33" t="s">
        <v>846</v>
      </c>
      <c r="B387" s="56" t="s">
        <v>847</v>
      </c>
      <c r="C387" s="56" t="s">
        <v>848</v>
      </c>
      <c r="D387" s="57">
        <v>4540358</v>
      </c>
      <c r="E387" s="57">
        <v>4540358</v>
      </c>
      <c r="F387" s="58">
        <v>156</v>
      </c>
      <c r="G387" s="58"/>
      <c r="H387" s="59" t="s">
        <v>17</v>
      </c>
      <c r="K387">
        <v>11</v>
      </c>
      <c r="L387">
        <v>12</v>
      </c>
      <c r="M387">
        <v>10</v>
      </c>
      <c r="N387">
        <v>11</v>
      </c>
      <c r="O387">
        <v>76.650000000000006</v>
      </c>
      <c r="P387" s="30">
        <f t="shared" si="25"/>
        <v>76650</v>
      </c>
      <c r="Q387" s="7">
        <f t="shared" si="24"/>
        <v>1</v>
      </c>
      <c r="R387" s="7">
        <f t="shared" si="26"/>
        <v>600</v>
      </c>
      <c r="S387" s="30">
        <v>1</v>
      </c>
      <c r="T387" s="27">
        <v>1</v>
      </c>
    </row>
    <row r="388" spans="1:20" hidden="1" x14ac:dyDescent="0.25">
      <c r="A388" s="33" t="s">
        <v>849</v>
      </c>
      <c r="B388" s="60" t="s">
        <v>847</v>
      </c>
      <c r="C388" s="60" t="s">
        <v>850</v>
      </c>
      <c r="D388" s="61">
        <v>4540358</v>
      </c>
      <c r="E388" s="61"/>
      <c r="F388" s="62"/>
      <c r="G388" s="62" t="s">
        <v>33</v>
      </c>
      <c r="H388" s="63" t="s">
        <v>17</v>
      </c>
      <c r="K388">
        <v>0</v>
      </c>
      <c r="L388">
        <v>0</v>
      </c>
      <c r="M388">
        <v>0</v>
      </c>
      <c r="N388">
        <v>0</v>
      </c>
      <c r="O388">
        <v>0</v>
      </c>
      <c r="Q388" s="7"/>
      <c r="R388" s="7"/>
    </row>
    <row r="389" spans="1:20" hidden="1" x14ac:dyDescent="0.25">
      <c r="A389" s="56" t="s">
        <v>851</v>
      </c>
      <c r="B389" t="s">
        <v>852</v>
      </c>
      <c r="C389" s="56" t="s">
        <v>853</v>
      </c>
      <c r="D389" s="57">
        <v>4540369</v>
      </c>
      <c r="E389" s="57">
        <v>4540369</v>
      </c>
      <c r="F389" s="58">
        <v>157</v>
      </c>
      <c r="G389" s="58"/>
      <c r="H389" s="59" t="s">
        <v>17</v>
      </c>
      <c r="K389">
        <v>394</v>
      </c>
      <c r="L389">
        <v>397</v>
      </c>
      <c r="M389">
        <v>359</v>
      </c>
      <c r="N389">
        <v>276</v>
      </c>
      <c r="O389">
        <v>1426</v>
      </c>
      <c r="P389" s="30">
        <f>SUM(O389-O390)*1000</f>
        <v>1359000</v>
      </c>
      <c r="Q389" s="7">
        <f t="shared" si="24"/>
        <v>17.729941291585128</v>
      </c>
      <c r="R389" s="7">
        <f t="shared" si="26"/>
        <v>10637.964774951077</v>
      </c>
      <c r="S389" s="30">
        <v>18.600000000000001</v>
      </c>
      <c r="T389" s="27">
        <v>16.73</v>
      </c>
    </row>
    <row r="390" spans="1:20" hidden="1" x14ac:dyDescent="0.25">
      <c r="A390" s="60" t="s">
        <v>854</v>
      </c>
      <c r="B390" t="s">
        <v>855</v>
      </c>
      <c r="C390" s="60" t="s">
        <v>856</v>
      </c>
      <c r="D390" s="61">
        <v>4540369</v>
      </c>
      <c r="E390" s="61"/>
      <c r="F390" s="62"/>
      <c r="G390" s="62" t="s">
        <v>33</v>
      </c>
      <c r="H390" s="63" t="s">
        <v>17</v>
      </c>
      <c r="K390">
        <v>27</v>
      </c>
      <c r="L390">
        <v>21</v>
      </c>
      <c r="M390">
        <v>11</v>
      </c>
      <c r="N390">
        <v>8</v>
      </c>
      <c r="O390">
        <v>67</v>
      </c>
      <c r="Q390" s="7"/>
      <c r="R390" s="7"/>
    </row>
    <row r="391" spans="1:20" hidden="1" x14ac:dyDescent="0.25">
      <c r="A391" s="56" t="s">
        <v>857</v>
      </c>
      <c r="B391" s="56" t="s">
        <v>858</v>
      </c>
      <c r="C391" s="56" t="s">
        <v>859</v>
      </c>
      <c r="D391" s="34">
        <v>4540380</v>
      </c>
      <c r="E391" s="57">
        <v>4540380</v>
      </c>
      <c r="F391" s="58">
        <v>158</v>
      </c>
      <c r="G391" s="58"/>
      <c r="H391" s="59" t="s">
        <v>17</v>
      </c>
      <c r="K391">
        <v>145</v>
      </c>
      <c r="L391">
        <v>150</v>
      </c>
      <c r="M391">
        <v>149</v>
      </c>
      <c r="N391">
        <v>142</v>
      </c>
      <c r="O391">
        <v>586</v>
      </c>
      <c r="Q391" s="7"/>
      <c r="R391" s="7"/>
    </row>
    <row r="392" spans="1:20" hidden="1" x14ac:dyDescent="0.25">
      <c r="A392" s="56" t="s">
        <v>860</v>
      </c>
      <c r="B392" s="56" t="s">
        <v>858</v>
      </c>
      <c r="C392" s="56" t="s">
        <v>861</v>
      </c>
      <c r="D392" s="34">
        <v>4540380</v>
      </c>
      <c r="E392" s="57">
        <v>4540380</v>
      </c>
      <c r="F392" s="57"/>
      <c r="G392" s="58"/>
      <c r="H392" s="59" t="s">
        <v>17</v>
      </c>
      <c r="K392">
        <v>2</v>
      </c>
      <c r="L392">
        <v>3</v>
      </c>
      <c r="M392">
        <v>3</v>
      </c>
      <c r="N392">
        <v>2</v>
      </c>
      <c r="O392">
        <v>10</v>
      </c>
      <c r="Q392" s="7"/>
      <c r="R392" s="7"/>
    </row>
    <row r="393" spans="1:20" hidden="1" x14ac:dyDescent="0.25">
      <c r="A393" s="56" t="s">
        <v>862</v>
      </c>
      <c r="B393" s="56" t="s">
        <v>858</v>
      </c>
      <c r="C393" s="56" t="s">
        <v>863</v>
      </c>
      <c r="D393" s="34">
        <v>4540380</v>
      </c>
      <c r="E393" s="57">
        <v>4540380</v>
      </c>
      <c r="F393" s="58"/>
      <c r="G393" s="58"/>
      <c r="H393" s="59" t="s">
        <v>17</v>
      </c>
      <c r="K393">
        <v>79</v>
      </c>
      <c r="L393">
        <v>84</v>
      </c>
      <c r="M393">
        <v>74</v>
      </c>
      <c r="N393">
        <v>61</v>
      </c>
      <c r="O393">
        <v>298</v>
      </c>
      <c r="Q393" s="7"/>
      <c r="R393" s="7"/>
    </row>
    <row r="394" spans="1:20" hidden="1" x14ac:dyDescent="0.25">
      <c r="A394" s="56" t="s">
        <v>864</v>
      </c>
      <c r="B394" s="56" t="s">
        <v>858</v>
      </c>
      <c r="C394" s="56" t="s">
        <v>865</v>
      </c>
      <c r="D394" s="34">
        <v>4540380</v>
      </c>
      <c r="E394" s="57">
        <v>4540380</v>
      </c>
      <c r="F394" s="58"/>
      <c r="G394" s="58"/>
      <c r="H394" s="59" t="s">
        <v>17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Q394" s="7"/>
      <c r="R394" s="7"/>
    </row>
    <row r="395" spans="1:20" hidden="1" x14ac:dyDescent="0.25">
      <c r="A395" s="56" t="s">
        <v>866</v>
      </c>
      <c r="B395" s="56" t="s">
        <v>858</v>
      </c>
      <c r="C395" s="56" t="s">
        <v>867</v>
      </c>
      <c r="D395" s="34">
        <v>4540380</v>
      </c>
      <c r="E395" s="57">
        <v>4540380</v>
      </c>
      <c r="F395" s="58"/>
      <c r="G395" s="58"/>
      <c r="H395" s="59" t="s">
        <v>17</v>
      </c>
      <c r="K395">
        <v>19</v>
      </c>
      <c r="L395">
        <v>18</v>
      </c>
      <c r="M395">
        <v>18</v>
      </c>
      <c r="N395">
        <v>16</v>
      </c>
      <c r="O395">
        <v>71</v>
      </c>
      <c r="Q395" s="7"/>
      <c r="R395" s="7"/>
    </row>
    <row r="396" spans="1:20" hidden="1" x14ac:dyDescent="0.25">
      <c r="A396" s="60" t="s">
        <v>868</v>
      </c>
      <c r="B396" s="60" t="s">
        <v>858</v>
      </c>
      <c r="C396" s="60" t="s">
        <v>865</v>
      </c>
      <c r="D396" s="34">
        <v>4540380</v>
      </c>
      <c r="E396" s="61"/>
      <c r="F396" s="62"/>
      <c r="G396" s="62"/>
      <c r="H396" s="63" t="s">
        <v>17</v>
      </c>
      <c r="K396">
        <v>84</v>
      </c>
      <c r="L396">
        <v>85</v>
      </c>
      <c r="M396">
        <v>93</v>
      </c>
      <c r="N396">
        <v>87</v>
      </c>
      <c r="O396">
        <v>349</v>
      </c>
      <c r="Q396" s="7"/>
      <c r="R396" s="7"/>
    </row>
    <row r="397" spans="1:20" hidden="1" x14ac:dyDescent="0.25">
      <c r="A397" s="56" t="s">
        <v>869</v>
      </c>
      <c r="B397" s="56" t="s">
        <v>858</v>
      </c>
      <c r="C397" s="56" t="s">
        <v>870</v>
      </c>
      <c r="D397" s="34">
        <v>4540380</v>
      </c>
      <c r="E397" s="57"/>
      <c r="F397" s="57"/>
      <c r="G397" s="58"/>
      <c r="H397" s="59" t="s">
        <v>17</v>
      </c>
      <c r="K397">
        <v>3</v>
      </c>
      <c r="L397">
        <v>3</v>
      </c>
      <c r="M397">
        <v>3</v>
      </c>
      <c r="N397">
        <v>3</v>
      </c>
      <c r="O397">
        <v>12</v>
      </c>
      <c r="P397" s="30">
        <f>SUM(O391:O397)*1000</f>
        <v>1326000</v>
      </c>
      <c r="Q397" s="7">
        <f t="shared" si="24"/>
        <v>17.299412915851271</v>
      </c>
      <c r="R397" s="7">
        <f t="shared" si="26"/>
        <v>10379.647749510763</v>
      </c>
      <c r="S397" s="30">
        <v>17.3</v>
      </c>
      <c r="T397" s="27">
        <v>15.59</v>
      </c>
    </row>
    <row r="398" spans="1:20" hidden="1" x14ac:dyDescent="0.25">
      <c r="B398" t="s">
        <v>871</v>
      </c>
      <c r="C398" t="s">
        <v>872</v>
      </c>
      <c r="D398" s="34">
        <v>4540380</v>
      </c>
      <c r="G398" s="13" t="s">
        <v>33</v>
      </c>
      <c r="H398" s="59" t="s">
        <v>17</v>
      </c>
      <c r="K398">
        <v>0</v>
      </c>
      <c r="L398">
        <v>0</v>
      </c>
      <c r="M398">
        <v>1</v>
      </c>
      <c r="N398">
        <v>0</v>
      </c>
      <c r="O398">
        <v>1</v>
      </c>
      <c r="Q398" s="7"/>
      <c r="R398" s="7"/>
    </row>
    <row r="399" spans="1:20" hidden="1" x14ac:dyDescent="0.25">
      <c r="B399" s="56" t="s">
        <v>873</v>
      </c>
      <c r="C399" s="56" t="s">
        <v>874</v>
      </c>
      <c r="D399" s="34">
        <v>4540385</v>
      </c>
      <c r="E399" s="57"/>
      <c r="F399" s="57"/>
      <c r="G399" s="58"/>
      <c r="H399" s="59" t="s">
        <v>17</v>
      </c>
      <c r="K399">
        <v>47</v>
      </c>
      <c r="L399">
        <v>349</v>
      </c>
      <c r="M399">
        <v>125</v>
      </c>
      <c r="N399">
        <v>0</v>
      </c>
      <c r="O399">
        <v>521</v>
      </c>
      <c r="Q399" s="7"/>
      <c r="R399" s="7"/>
    </row>
    <row r="400" spans="1:20" hidden="1" x14ac:dyDescent="0.25">
      <c r="B400" s="56" t="s">
        <v>875</v>
      </c>
      <c r="C400" s="56" t="s">
        <v>876</v>
      </c>
      <c r="D400" s="34">
        <v>4540385</v>
      </c>
      <c r="E400" s="57"/>
      <c r="F400" s="57"/>
      <c r="G400" s="58"/>
      <c r="H400" s="59" t="s">
        <v>17</v>
      </c>
      <c r="K400">
        <v>7</v>
      </c>
      <c r="L400">
        <v>9</v>
      </c>
      <c r="M400">
        <v>7</v>
      </c>
      <c r="N400">
        <v>8</v>
      </c>
      <c r="O400">
        <v>31</v>
      </c>
      <c r="Q400" s="7"/>
      <c r="R400" s="7"/>
    </row>
    <row r="401" spans="2:20" hidden="1" x14ac:dyDescent="0.25">
      <c r="B401" s="56" t="s">
        <v>877</v>
      </c>
      <c r="C401" s="56" t="s">
        <v>876</v>
      </c>
      <c r="D401" s="34">
        <v>4540385</v>
      </c>
      <c r="E401" s="57"/>
      <c r="F401" s="57"/>
      <c r="G401" s="58"/>
      <c r="H401" s="59" t="s">
        <v>17</v>
      </c>
      <c r="K401">
        <v>8</v>
      </c>
      <c r="L401">
        <v>10</v>
      </c>
      <c r="M401">
        <v>4</v>
      </c>
      <c r="N401">
        <v>0</v>
      </c>
      <c r="O401">
        <v>22</v>
      </c>
      <c r="Q401" s="7"/>
      <c r="R401" s="7"/>
    </row>
    <row r="402" spans="2:20" hidden="1" x14ac:dyDescent="0.25">
      <c r="B402" s="56" t="s">
        <v>878</v>
      </c>
      <c r="C402" s="56" t="s">
        <v>876</v>
      </c>
      <c r="D402" s="34">
        <v>4540385</v>
      </c>
      <c r="E402" s="57"/>
      <c r="F402" s="57"/>
      <c r="G402" s="58"/>
      <c r="H402" s="59" t="s">
        <v>17</v>
      </c>
      <c r="K402">
        <v>0</v>
      </c>
      <c r="L402">
        <v>0</v>
      </c>
      <c r="M402">
        <v>0</v>
      </c>
      <c r="N402">
        <v>0</v>
      </c>
      <c r="O402">
        <v>0</v>
      </c>
      <c r="Q402" s="7"/>
      <c r="R402" s="7"/>
    </row>
    <row r="403" spans="2:20" hidden="1" x14ac:dyDescent="0.25">
      <c r="B403" s="56" t="s">
        <v>877</v>
      </c>
      <c r="C403" s="56" t="s">
        <v>879</v>
      </c>
      <c r="D403" s="34">
        <v>4540385</v>
      </c>
      <c r="E403" s="57"/>
      <c r="F403" s="57"/>
      <c r="G403" s="58"/>
      <c r="H403" s="59" t="s">
        <v>17</v>
      </c>
      <c r="K403">
        <v>42</v>
      </c>
      <c r="L403">
        <v>44</v>
      </c>
      <c r="M403">
        <v>34</v>
      </c>
      <c r="N403">
        <v>38</v>
      </c>
      <c r="O403">
        <v>158</v>
      </c>
      <c r="Q403" s="7"/>
      <c r="R403" s="7"/>
    </row>
    <row r="404" spans="2:20" hidden="1" x14ac:dyDescent="0.25">
      <c r="B404" s="56" t="s">
        <v>873</v>
      </c>
      <c r="C404" s="56" t="s">
        <v>880</v>
      </c>
      <c r="D404" s="34">
        <v>4540385</v>
      </c>
      <c r="E404" s="57"/>
      <c r="F404" s="57"/>
      <c r="G404" s="58"/>
      <c r="H404" s="59" t="s">
        <v>17</v>
      </c>
      <c r="K404">
        <v>12</v>
      </c>
      <c r="L404">
        <v>12</v>
      </c>
      <c r="M404">
        <v>10</v>
      </c>
      <c r="N404">
        <v>8</v>
      </c>
      <c r="O404">
        <v>42</v>
      </c>
      <c r="Q404" s="7"/>
      <c r="R404" s="7"/>
    </row>
    <row r="405" spans="2:20" hidden="1" x14ac:dyDescent="0.25">
      <c r="B405" s="56" t="s">
        <v>873</v>
      </c>
      <c r="C405" s="56" t="s">
        <v>881</v>
      </c>
      <c r="D405" s="34">
        <v>4540385</v>
      </c>
      <c r="E405" s="57"/>
      <c r="F405" s="58"/>
      <c r="G405" s="58"/>
      <c r="H405" s="59" t="s">
        <v>17</v>
      </c>
      <c r="K405">
        <v>111</v>
      </c>
      <c r="L405">
        <v>108</v>
      </c>
      <c r="M405">
        <v>65</v>
      </c>
      <c r="N405">
        <v>62</v>
      </c>
      <c r="O405">
        <v>346</v>
      </c>
      <c r="Q405" s="7"/>
      <c r="R405" s="7"/>
    </row>
    <row r="406" spans="2:20" hidden="1" x14ac:dyDescent="0.25">
      <c r="B406" s="56" t="s">
        <v>873</v>
      </c>
      <c r="C406" s="56" t="s">
        <v>874</v>
      </c>
      <c r="D406" s="34">
        <v>4540385</v>
      </c>
      <c r="E406" s="57"/>
      <c r="F406" s="58"/>
      <c r="G406" s="58"/>
      <c r="H406" s="59" t="s">
        <v>17</v>
      </c>
      <c r="K406">
        <v>0</v>
      </c>
      <c r="L406">
        <v>0</v>
      </c>
      <c r="M406">
        <v>0</v>
      </c>
      <c r="N406">
        <v>2</v>
      </c>
      <c r="O406">
        <v>2</v>
      </c>
      <c r="P406" s="30">
        <f>SUM(O399:O406)*1000</f>
        <v>1122000</v>
      </c>
      <c r="Q406" s="7">
        <f t="shared" si="24"/>
        <v>14.637964774951076</v>
      </c>
      <c r="R406" s="7">
        <f t="shared" si="26"/>
        <v>8782.7788649706454</v>
      </c>
      <c r="S406" s="30">
        <v>14.64</v>
      </c>
      <c r="T406" s="27">
        <v>12.21</v>
      </c>
    </row>
    <row r="407" spans="2:20" hidden="1" x14ac:dyDescent="0.25">
      <c r="B407" t="s">
        <v>882</v>
      </c>
      <c r="C407" t="s">
        <v>883</v>
      </c>
      <c r="D407" s="57">
        <v>4540392</v>
      </c>
      <c r="E407" s="57"/>
      <c r="F407" s="58"/>
      <c r="G407" s="58"/>
      <c r="H407" s="59" t="s">
        <v>17</v>
      </c>
      <c r="K407">
        <v>2</v>
      </c>
      <c r="L407">
        <v>3</v>
      </c>
      <c r="M407">
        <v>3</v>
      </c>
      <c r="N407">
        <v>2</v>
      </c>
      <c r="O407">
        <v>76.650000000000006</v>
      </c>
      <c r="P407" s="30">
        <f>SUM(O407*1000)</f>
        <v>76650</v>
      </c>
      <c r="Q407" s="7">
        <f t="shared" si="24"/>
        <v>1</v>
      </c>
      <c r="R407" s="7">
        <f t="shared" si="26"/>
        <v>600</v>
      </c>
      <c r="S407" s="30">
        <v>1</v>
      </c>
      <c r="T407" s="27">
        <v>1</v>
      </c>
    </row>
    <row r="408" spans="2:20" hidden="1" x14ac:dyDescent="0.25">
      <c r="B408" t="s">
        <v>884</v>
      </c>
      <c r="C408" t="s">
        <v>885</v>
      </c>
      <c r="D408" s="57">
        <v>4540394</v>
      </c>
      <c r="E408" s="57"/>
      <c r="F408" s="58"/>
      <c r="G408" s="58"/>
      <c r="H408" s="59" t="s">
        <v>17</v>
      </c>
      <c r="K408">
        <v>35</v>
      </c>
      <c r="L408">
        <v>52</v>
      </c>
      <c r="M408">
        <v>35</v>
      </c>
      <c r="N408">
        <v>30</v>
      </c>
      <c r="O408">
        <v>152</v>
      </c>
      <c r="P408" s="30">
        <f t="shared" ref="P408:P412" si="27">SUM(O408*1000)</f>
        <v>152000</v>
      </c>
      <c r="Q408" s="7">
        <f t="shared" si="24"/>
        <v>1.9830397912589692</v>
      </c>
      <c r="R408" s="7">
        <f t="shared" si="26"/>
        <v>1189.8238747553814</v>
      </c>
      <c r="S408" s="30">
        <v>1.98</v>
      </c>
    </row>
    <row r="409" spans="2:20" hidden="1" x14ac:dyDescent="0.25">
      <c r="B409" s="56" t="s">
        <v>886</v>
      </c>
      <c r="C409" s="56" t="s">
        <v>887</v>
      </c>
      <c r="D409" s="57">
        <v>4540395</v>
      </c>
      <c r="E409" s="57">
        <v>4540395</v>
      </c>
      <c r="F409" s="58">
        <v>161</v>
      </c>
      <c r="G409" s="58"/>
      <c r="H409" s="59" t="s">
        <v>17</v>
      </c>
      <c r="K409">
        <v>62</v>
      </c>
      <c r="L409">
        <v>62</v>
      </c>
      <c r="M409">
        <v>63</v>
      </c>
      <c r="N409">
        <v>60</v>
      </c>
      <c r="O409">
        <v>247</v>
      </c>
      <c r="P409" s="30">
        <f t="shared" si="27"/>
        <v>247000</v>
      </c>
      <c r="Q409" s="7">
        <f t="shared" si="24"/>
        <v>3.2224396607958252</v>
      </c>
      <c r="R409" s="7">
        <f t="shared" si="26"/>
        <v>1933.4637964774952</v>
      </c>
      <c r="S409" s="30">
        <v>3.22</v>
      </c>
      <c r="T409" s="27">
        <v>3.39</v>
      </c>
    </row>
    <row r="410" spans="2:20" hidden="1" x14ac:dyDescent="0.25">
      <c r="B410" s="56" t="s">
        <v>888</v>
      </c>
      <c r="C410" s="56" t="s">
        <v>889</v>
      </c>
      <c r="D410" s="57">
        <v>4540401</v>
      </c>
      <c r="E410" s="57">
        <v>4540401</v>
      </c>
      <c r="F410" s="58">
        <v>162</v>
      </c>
      <c r="G410" s="58"/>
      <c r="H410" s="59" t="s">
        <v>17</v>
      </c>
      <c r="K410">
        <v>405</v>
      </c>
      <c r="L410">
        <v>429</v>
      </c>
      <c r="M410">
        <v>318</v>
      </c>
      <c r="N410">
        <v>244</v>
      </c>
      <c r="O410">
        <v>1396</v>
      </c>
      <c r="P410" s="30">
        <f t="shared" si="27"/>
        <v>1396000</v>
      </c>
      <c r="Q410" s="7">
        <f t="shared" si="24"/>
        <v>18.212654924983692</v>
      </c>
      <c r="R410" s="7">
        <f t="shared" si="26"/>
        <v>10927.592954990216</v>
      </c>
      <c r="S410" s="30">
        <v>18.21</v>
      </c>
      <c r="T410" s="27">
        <v>17.45</v>
      </c>
    </row>
    <row r="411" spans="2:20" hidden="1" x14ac:dyDescent="0.25">
      <c r="B411" s="56" t="s">
        <v>890</v>
      </c>
      <c r="C411" s="56" t="s">
        <v>891</v>
      </c>
      <c r="D411" s="57">
        <v>4540411</v>
      </c>
      <c r="E411" s="57">
        <v>4540411</v>
      </c>
      <c r="F411" s="58"/>
      <c r="G411" s="58"/>
      <c r="H411" s="59" t="s">
        <v>17</v>
      </c>
      <c r="K411">
        <v>7</v>
      </c>
      <c r="L411">
        <v>21</v>
      </c>
      <c r="M411">
        <v>36</v>
      </c>
      <c r="N411">
        <v>28</v>
      </c>
      <c r="O411">
        <v>92</v>
      </c>
      <c r="P411" s="30">
        <f t="shared" si="27"/>
        <v>92000</v>
      </c>
      <c r="Q411" s="7">
        <f t="shared" si="24"/>
        <v>1.2002609262883235</v>
      </c>
      <c r="R411" s="7">
        <f t="shared" si="26"/>
        <v>720.15655577299412</v>
      </c>
      <c r="S411" s="30">
        <v>1.2</v>
      </c>
      <c r="T411" s="27">
        <v>1.48</v>
      </c>
    </row>
    <row r="412" spans="2:20" x14ac:dyDescent="0.25">
      <c r="D412" s="25">
        <v>5980030</v>
      </c>
      <c r="H412" s="9" t="s">
        <v>110</v>
      </c>
      <c r="O412" s="5">
        <v>76.650000000000006</v>
      </c>
      <c r="P412" s="30">
        <f t="shared" si="27"/>
        <v>76650</v>
      </c>
      <c r="Q412" s="27">
        <f t="shared" si="24"/>
        <v>1</v>
      </c>
      <c r="R412" s="7">
        <f t="shared" si="26"/>
        <v>600</v>
      </c>
      <c r="S412" s="30">
        <v>1</v>
      </c>
    </row>
    <row r="413" spans="2:20" x14ac:dyDescent="0.25">
      <c r="Q413" s="27">
        <f>SUM(Q3:Q412)</f>
        <v>1315.236138290933</v>
      </c>
      <c r="R413" s="7">
        <f t="shared" si="26"/>
        <v>789141.68297455984</v>
      </c>
      <c r="S413" s="30">
        <f>SUM(S3:S412)</f>
        <v>1311.1099999999997</v>
      </c>
    </row>
    <row r="414" spans="2:20" x14ac:dyDescent="0.25">
      <c r="R414" s="7"/>
    </row>
    <row r="415" spans="2:20" x14ac:dyDescent="0.25">
      <c r="R415" s="7"/>
    </row>
  </sheetData>
  <autoFilter ref="K1:K415" xr:uid="{5FFF4149-C29A-4C4B-B117-1C7A7FDF52C0}">
    <filterColumn colId="0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Foster</dc:creator>
  <cp:lastModifiedBy>markk</cp:lastModifiedBy>
  <dcterms:created xsi:type="dcterms:W3CDTF">2023-01-11T15:14:10Z</dcterms:created>
  <dcterms:modified xsi:type="dcterms:W3CDTF">2023-01-11T18:28:51Z</dcterms:modified>
</cp:coreProperties>
</file>