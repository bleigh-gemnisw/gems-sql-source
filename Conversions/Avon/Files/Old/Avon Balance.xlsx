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Work\Avon\"/>
    </mc:Choice>
  </mc:AlternateContent>
  <xr:revisionPtr revIDLastSave="0" documentId="13_ncr:1_{4DAFF434-D154-4F85-8324-E5E7B999E17C}" xr6:coauthVersionLast="47" xr6:coauthVersionMax="47" xr10:uidLastSave="{00000000-0000-0000-0000-000000000000}"/>
  <bookViews>
    <workbookView xWindow="-120" yWindow="-120" windowWidth="21840" windowHeight="13140" xr2:uid="{DE79703C-E24D-4FCF-AA99-DFD0C012C800}"/>
  </bookViews>
  <sheets>
    <sheet name="Assess" sheetId="1" r:id="rId1"/>
    <sheet name="Collect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5" i="1"/>
  <c r="I4" i="1"/>
  <c r="I2" i="1"/>
  <c r="K11" i="2"/>
  <c r="O13" i="2"/>
  <c r="N13" i="2"/>
  <c r="M13" i="2"/>
  <c r="K12" i="2"/>
  <c r="K10" i="2"/>
  <c r="J12" i="2"/>
  <c r="J11" i="2"/>
  <c r="J10" i="2"/>
  <c r="J9" i="2"/>
  <c r="H4" i="2"/>
  <c r="F11" i="2"/>
  <c r="L12" i="2"/>
  <c r="G12" i="2"/>
  <c r="F12" i="2"/>
  <c r="E12" i="2"/>
  <c r="E7" i="2"/>
  <c r="F7" i="2"/>
  <c r="G7" i="2"/>
  <c r="I7" i="2"/>
  <c r="J7" i="2"/>
  <c r="G11" i="2"/>
  <c r="G10" i="2"/>
  <c r="G9" i="2"/>
  <c r="F10" i="2"/>
  <c r="F9" i="2"/>
  <c r="E10" i="2"/>
  <c r="E9" i="2"/>
  <c r="E11" i="2"/>
  <c r="K4" i="2"/>
  <c r="H5" i="2"/>
  <c r="H3" i="2"/>
  <c r="H2" i="2"/>
  <c r="K5" i="2"/>
  <c r="K2" i="2"/>
  <c r="K9" i="2" s="1"/>
  <c r="K3" i="2"/>
  <c r="J6" i="1"/>
  <c r="J5" i="1"/>
  <c r="J4" i="1"/>
  <c r="J3" i="1"/>
  <c r="J2" i="1"/>
  <c r="D6" i="1"/>
  <c r="D5" i="1"/>
  <c r="D4" i="1"/>
  <c r="D3" i="1"/>
  <c r="D2" i="1"/>
  <c r="H12" i="2" l="1"/>
  <c r="K7" i="2"/>
  <c r="H7" i="2"/>
  <c r="L4" i="2"/>
  <c r="L11" i="2" s="1"/>
  <c r="H9" i="2"/>
  <c r="H11" i="2"/>
  <c r="H10" i="2"/>
  <c r="L2" i="2"/>
  <c r="L3" i="2"/>
  <c r="L10" i="2" s="1"/>
  <c r="L9" i="2" l="1"/>
  <c r="L7" i="2"/>
</calcChain>
</file>

<file path=xl/sharedStrings.xml><?xml version="1.0" encoding="utf-8"?>
<sst xmlns="http://schemas.openxmlformats.org/spreadsheetml/2006/main" count="60" uniqueCount="45">
  <si>
    <t>Motor Vehicle</t>
  </si>
  <si>
    <t>Real Estate</t>
  </si>
  <si>
    <t>Personal Property</t>
  </si>
  <si>
    <t>Suppl MV</t>
  </si>
  <si>
    <t>M35H</t>
  </si>
  <si>
    <t>C Of C's</t>
  </si>
  <si>
    <t xml:space="preserve">Town of Avon Project </t>
  </si>
  <si>
    <t>TBD</t>
  </si>
  <si>
    <t>Avon Accts</t>
  </si>
  <si>
    <t>Diff</t>
  </si>
  <si>
    <t>GEMS Bal</t>
  </si>
  <si>
    <t>Avon Bal/Net</t>
  </si>
  <si>
    <t>Real Estate Exempt</t>
  </si>
  <si>
    <t>GEMS Bal/Net</t>
  </si>
  <si>
    <t>TBD State and Town Benefits</t>
  </si>
  <si>
    <t>R</t>
  </si>
  <si>
    <t>Payments</t>
  </si>
  <si>
    <t>Adj Payments</t>
  </si>
  <si>
    <t>Billed</t>
  </si>
  <si>
    <t>Adds</t>
  </si>
  <si>
    <t>Del/Refunds</t>
  </si>
  <si>
    <t>Adj Balance</t>
  </si>
  <si>
    <t>Amount Due</t>
  </si>
  <si>
    <t>Ovr/Refunds</t>
  </si>
  <si>
    <t>Interest</t>
  </si>
  <si>
    <t>Fees</t>
  </si>
  <si>
    <t>Liens</t>
  </si>
  <si>
    <t>M</t>
  </si>
  <si>
    <t>P</t>
  </si>
  <si>
    <t>S</t>
  </si>
  <si>
    <t>Starting Bal</t>
  </si>
  <si>
    <t>C/C Adds</t>
  </si>
  <si>
    <t>C/C Reductions</t>
  </si>
  <si>
    <t>Over Payments</t>
  </si>
  <si>
    <t>Ending Bal</t>
  </si>
  <si>
    <t>Total Collect</t>
  </si>
  <si>
    <t>Total</t>
  </si>
  <si>
    <t>Avon Bills</t>
  </si>
  <si>
    <t>GEMS BalSheet</t>
  </si>
  <si>
    <t>X</t>
  </si>
  <si>
    <t>Refunds</t>
  </si>
  <si>
    <t>Avon Exemptions</t>
  </si>
  <si>
    <t>Gems Exemptions</t>
  </si>
  <si>
    <t>Diff NET</t>
  </si>
  <si>
    <t>Diff Exempts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</si>
</sst>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4" fontId="0" fillId="0" borderId="0" xfId="0" applyNumberFormat="1"/>
    <xf numFmtId="4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3" fontId="0" fillId="0" borderId="0" xfId="1" applyNumberFormat="1" applyFont="1"/>
    <xf numFmtId="4" fontId="3" fillId="0" borderId="0" xfId="0" applyNumberFormat="1" applyFont="1"/>
    <xf numFmtId="4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2AFA-F1F7-4982-8D4D-B19B800968FA}">
  <dimension ref="A1:K8"/>
  <sheetViews>
    <sheetView tabSelected="1" workbookViewId="0">
      <selection activeCell="G7" sqref="G7"/>
    </sheetView>
  </sheetViews>
  <sheetFormatPr defaultRowHeight="15" x14ac:dyDescent="0.25"/>
  <cols>
    <col min="1" max="1" width="30.28515625" bestFit="1" customWidth="1"/>
    <col min="2" max="2" width="10.7109375" style="4" customWidth="1"/>
    <col min="3" max="3" width="9.140625" style="4"/>
    <col min="4" max="4" width="5.5703125" style="4" customWidth="1"/>
    <col min="5" max="5" width="16.28515625" style="4" customWidth="1"/>
    <col min="6" max="6" width="15.85546875" style="2" customWidth="1"/>
    <col min="7" max="7" width="17.5703125" style="2" customWidth="1"/>
    <col min="8" max="9" width="16" customWidth="1"/>
    <col min="10" max="10" width="13.85546875" customWidth="1"/>
    <col min="11" max="11" width="12.7109375" bestFit="1" customWidth="1"/>
  </cols>
  <sheetData>
    <row r="1" spans="1:11" x14ac:dyDescent="0.25">
      <c r="A1" s="1" t="s">
        <v>6</v>
      </c>
      <c r="B1" s="5" t="s">
        <v>8</v>
      </c>
      <c r="C1" s="5" t="s">
        <v>10</v>
      </c>
      <c r="D1" s="5" t="s">
        <v>9</v>
      </c>
      <c r="E1" s="5" t="s">
        <v>41</v>
      </c>
      <c r="F1" s="3" t="s">
        <v>11</v>
      </c>
      <c r="G1" s="3" t="s">
        <v>42</v>
      </c>
      <c r="H1" s="1" t="s">
        <v>13</v>
      </c>
      <c r="I1" s="1" t="s">
        <v>44</v>
      </c>
      <c r="J1" s="1" t="s">
        <v>43</v>
      </c>
    </row>
    <row r="2" spans="1:11" x14ac:dyDescent="0.25">
      <c r="A2" t="s">
        <v>0</v>
      </c>
      <c r="B2" s="6">
        <v>15878</v>
      </c>
      <c r="C2" s="4">
        <v>15878</v>
      </c>
      <c r="D2" s="4">
        <f>C2-B2</f>
        <v>0</v>
      </c>
      <c r="E2" s="4">
        <v>839020</v>
      </c>
      <c r="F2" s="4">
        <v>240001730</v>
      </c>
      <c r="G2" s="4">
        <v>839020</v>
      </c>
      <c r="H2" s="4">
        <v>240001060</v>
      </c>
      <c r="I2" s="4">
        <f>E2-G2</f>
        <v>0</v>
      </c>
      <c r="J2" s="4">
        <f>H2-F2</f>
        <v>-670</v>
      </c>
    </row>
    <row r="3" spans="1:11" x14ac:dyDescent="0.25">
      <c r="A3" t="s">
        <v>1</v>
      </c>
      <c r="B3" s="4">
        <v>7589</v>
      </c>
      <c r="C3" s="4">
        <v>7591</v>
      </c>
      <c r="D3" s="4">
        <f t="shared" ref="D3:D6" si="0">C3-B3</f>
        <v>2</v>
      </c>
      <c r="E3" s="4">
        <v>2332160</v>
      </c>
      <c r="F3" s="4">
        <v>2569041009</v>
      </c>
      <c r="G3" s="4">
        <v>2332160</v>
      </c>
      <c r="H3" s="4">
        <v>2325038026</v>
      </c>
      <c r="I3" s="4">
        <f t="shared" ref="I3:I5" si="1">E3-G3</f>
        <v>0</v>
      </c>
      <c r="J3" s="4">
        <f>H3-F3</f>
        <v>-244002983</v>
      </c>
      <c r="K3" t="s">
        <v>14</v>
      </c>
    </row>
    <row r="4" spans="1:11" x14ac:dyDescent="0.25">
      <c r="A4" t="s">
        <v>12</v>
      </c>
      <c r="B4" s="4">
        <v>232</v>
      </c>
      <c r="C4" s="4">
        <v>235</v>
      </c>
      <c r="D4" s="4">
        <f t="shared" si="0"/>
        <v>3</v>
      </c>
      <c r="E4" s="4">
        <v>241670823</v>
      </c>
      <c r="F4" s="4"/>
      <c r="G4" s="4">
        <v>241670823</v>
      </c>
      <c r="H4" s="4"/>
      <c r="I4" s="4">
        <f t="shared" si="1"/>
        <v>0</v>
      </c>
      <c r="J4" s="4">
        <f>H4-F4</f>
        <v>0</v>
      </c>
    </row>
    <row r="5" spans="1:11" x14ac:dyDescent="0.25">
      <c r="A5" t="s">
        <v>2</v>
      </c>
      <c r="B5" s="6">
        <v>942</v>
      </c>
      <c r="C5" s="4">
        <v>942</v>
      </c>
      <c r="D5" s="4">
        <f t="shared" si="0"/>
        <v>0</v>
      </c>
      <c r="E5" s="4">
        <v>2180</v>
      </c>
      <c r="F5" s="4">
        <v>121701760</v>
      </c>
      <c r="G5" s="4">
        <v>2180</v>
      </c>
      <c r="H5" s="4">
        <v>121701760</v>
      </c>
      <c r="I5" s="4">
        <f t="shared" si="1"/>
        <v>0</v>
      </c>
      <c r="J5" s="4">
        <f>H5-F5</f>
        <v>0</v>
      </c>
    </row>
    <row r="6" spans="1:11" x14ac:dyDescent="0.25">
      <c r="A6" t="s">
        <v>3</v>
      </c>
      <c r="D6" s="4">
        <f t="shared" si="0"/>
        <v>0</v>
      </c>
      <c r="H6" s="4"/>
      <c r="I6" s="4"/>
      <c r="J6" s="4">
        <f>H6-F6</f>
        <v>0</v>
      </c>
      <c r="K6" t="s">
        <v>7</v>
      </c>
    </row>
    <row r="7" spans="1:11" x14ac:dyDescent="0.25">
      <c r="A7" t="s">
        <v>4</v>
      </c>
      <c r="K7" t="s">
        <v>7</v>
      </c>
    </row>
    <row r="8" spans="1:11" x14ac:dyDescent="0.25">
      <c r="A8" t="s">
        <v>5</v>
      </c>
      <c r="K8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83F9-ACB7-495C-9412-AAD3208760AB}">
  <dimension ref="A1:T22"/>
  <sheetViews>
    <sheetView topLeftCell="C5" workbookViewId="0">
      <selection activeCell="H12" sqref="H12"/>
    </sheetView>
  </sheetViews>
  <sheetFormatPr defaultRowHeight="15" x14ac:dyDescent="0.25"/>
  <cols>
    <col min="1" max="1" width="13.7109375" customWidth="1"/>
    <col min="2" max="2" width="5.42578125" customWidth="1"/>
    <col min="3" max="3" width="3" customWidth="1"/>
    <col min="4" max="4" width="5.5703125" customWidth="1"/>
    <col min="5" max="5" width="12.7109375" bestFit="1" customWidth="1"/>
    <col min="6" max="6" width="14.140625" customWidth="1"/>
    <col min="7" max="7" width="12.42578125" bestFit="1" customWidth="1"/>
    <col min="8" max="8" width="12.7109375" bestFit="1" customWidth="1"/>
    <col min="9" max="9" width="13" customWidth="1"/>
    <col min="10" max="10" width="12.28515625" bestFit="1" customWidth="1"/>
    <col min="11" max="11" width="13.85546875" bestFit="1" customWidth="1"/>
    <col min="12" max="12" width="12.7109375" bestFit="1" customWidth="1"/>
    <col min="13" max="13" width="14.140625" bestFit="1" customWidth="1"/>
    <col min="17" max="17" width="10.140625" bestFit="1" customWidth="1"/>
    <col min="18" max="19" width="12.7109375" bestFit="1" customWidth="1"/>
    <col min="20" max="20" width="12.42578125" customWidth="1"/>
  </cols>
  <sheetData>
    <row r="1" spans="1:20" x14ac:dyDescent="0.25">
      <c r="E1" s="3" t="s">
        <v>18</v>
      </c>
      <c r="F1" s="1" t="s">
        <v>19</v>
      </c>
      <c r="G1" s="1" t="s">
        <v>20</v>
      </c>
      <c r="H1" s="1" t="s">
        <v>21</v>
      </c>
      <c r="I1" s="1" t="s">
        <v>16</v>
      </c>
      <c r="J1" s="1" t="s">
        <v>23</v>
      </c>
      <c r="K1" s="1" t="s">
        <v>17</v>
      </c>
      <c r="L1" s="1" t="s">
        <v>22</v>
      </c>
      <c r="M1" s="1" t="s">
        <v>24</v>
      </c>
      <c r="N1" s="1" t="s">
        <v>25</v>
      </c>
      <c r="O1" s="1" t="s">
        <v>26</v>
      </c>
    </row>
    <row r="2" spans="1:20" x14ac:dyDescent="0.25">
      <c r="A2" t="s">
        <v>37</v>
      </c>
      <c r="B2">
        <v>2020</v>
      </c>
      <c r="C2" t="s">
        <v>27</v>
      </c>
      <c r="E2" s="2">
        <v>6575294.9699999997</v>
      </c>
      <c r="F2" s="2">
        <v>55045.63</v>
      </c>
      <c r="G2" s="2">
        <v>256787.36</v>
      </c>
      <c r="H2" s="2">
        <f>E2+F2-G2</f>
        <v>6373553.2399999993</v>
      </c>
      <c r="I2" s="2">
        <v>6443448.3300000001</v>
      </c>
      <c r="J2" s="2">
        <v>-127010.19</v>
      </c>
      <c r="K2" s="2">
        <f>I2+J2</f>
        <v>6316438.1399999997</v>
      </c>
      <c r="L2" s="2">
        <f>H2-K2</f>
        <v>57115.099999999627</v>
      </c>
    </row>
    <row r="3" spans="1:20" x14ac:dyDescent="0.25">
      <c r="B3">
        <v>2020</v>
      </c>
      <c r="C3" t="s">
        <v>28</v>
      </c>
      <c r="E3" s="2">
        <v>3503945.39</v>
      </c>
      <c r="F3" s="2">
        <v>13453.43</v>
      </c>
      <c r="G3" s="2">
        <v>11519.2</v>
      </c>
      <c r="H3" s="2">
        <f>E3+F3-G3</f>
        <v>3505879.62</v>
      </c>
      <c r="I3" s="2">
        <v>3463177.46</v>
      </c>
      <c r="K3" s="2">
        <f>I3+J3</f>
        <v>3463177.46</v>
      </c>
      <c r="L3" s="2">
        <f>H3-K3</f>
        <v>42702.160000000149</v>
      </c>
    </row>
    <row r="4" spans="1:20" x14ac:dyDescent="0.25">
      <c r="B4">
        <v>2020</v>
      </c>
      <c r="C4" t="s">
        <v>15</v>
      </c>
      <c r="E4" s="2">
        <v>78943670.359999999</v>
      </c>
      <c r="F4" s="2">
        <v>64476.31</v>
      </c>
      <c r="G4" s="2">
        <v>429392.73</v>
      </c>
      <c r="H4" s="2">
        <f>E4+F4-G4</f>
        <v>78578753.939999998</v>
      </c>
      <c r="I4" s="2">
        <v>78317772.010000005</v>
      </c>
      <c r="J4" s="2">
        <v>-35343.730000000003</v>
      </c>
      <c r="K4" s="2">
        <f>I4+J4</f>
        <v>78282428.280000001</v>
      </c>
      <c r="L4" s="2">
        <f>H4-K4</f>
        <v>296325.65999999642</v>
      </c>
    </row>
    <row r="5" spans="1:20" x14ac:dyDescent="0.25">
      <c r="B5">
        <v>2020</v>
      </c>
      <c r="C5" t="s">
        <v>29</v>
      </c>
      <c r="E5" s="2">
        <v>1069105.69</v>
      </c>
      <c r="F5" s="2">
        <v>5739.39</v>
      </c>
      <c r="G5" s="2">
        <v>18977.009999999998</v>
      </c>
      <c r="H5" s="2">
        <f>E5+F5-G5</f>
        <v>1055868.0699999998</v>
      </c>
      <c r="I5" s="2">
        <v>1004674.18</v>
      </c>
      <c r="J5" s="2">
        <v>-4341.3900000000003</v>
      </c>
      <c r="K5" s="2">
        <f>I5+J5</f>
        <v>1000332.79</v>
      </c>
      <c r="L5" s="2">
        <v>55535.28</v>
      </c>
    </row>
    <row r="6" spans="1:20" x14ac:dyDescent="0.25">
      <c r="E6" s="2"/>
      <c r="F6" s="2"/>
      <c r="G6" s="2"/>
      <c r="H6" s="2"/>
      <c r="I6" s="2"/>
      <c r="J6" s="2"/>
      <c r="K6" s="2"/>
      <c r="L6" s="2"/>
    </row>
    <row r="7" spans="1:20" x14ac:dyDescent="0.25">
      <c r="E7" s="2">
        <f t="shared" ref="E7:L7" si="0">SUM(E2:E5)</f>
        <v>90092016.409999996</v>
      </c>
      <c r="F7" s="2">
        <f t="shared" si="0"/>
        <v>138714.76</v>
      </c>
      <c r="G7" s="2">
        <f t="shared" si="0"/>
        <v>716676.3</v>
      </c>
      <c r="H7" s="2">
        <f t="shared" si="0"/>
        <v>89514054.86999999</v>
      </c>
      <c r="I7" s="2">
        <f t="shared" si="0"/>
        <v>89229071.980000019</v>
      </c>
      <c r="J7" s="2">
        <f t="shared" si="0"/>
        <v>-166695.31000000003</v>
      </c>
      <c r="K7" s="2">
        <f t="shared" si="0"/>
        <v>89062376.670000002</v>
      </c>
      <c r="L7" s="2">
        <f t="shared" si="0"/>
        <v>451678.19999999623</v>
      </c>
      <c r="M7" s="2">
        <v>164775.81</v>
      </c>
      <c r="N7" s="2">
        <v>444</v>
      </c>
      <c r="O7" s="2">
        <v>72</v>
      </c>
    </row>
    <row r="8" spans="1:20" x14ac:dyDescent="0.25"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20" x14ac:dyDescent="0.25">
      <c r="A9" t="s">
        <v>9</v>
      </c>
      <c r="C9" t="s">
        <v>27</v>
      </c>
      <c r="E9" s="2">
        <f t="shared" ref="E9:G10" si="1">E16-E2</f>
        <v>0</v>
      </c>
      <c r="F9" s="2">
        <f t="shared" si="1"/>
        <v>-1596.2299999999959</v>
      </c>
      <c r="G9" s="2">
        <f t="shared" si="1"/>
        <v>-1596.2299999999814</v>
      </c>
      <c r="H9" s="2">
        <f>E9+F9-G9</f>
        <v>-1.4551915228366852E-11</v>
      </c>
      <c r="I9" s="7"/>
      <c r="J9" s="7">
        <f>Q16+R16+J2</f>
        <v>0</v>
      </c>
      <c r="K9" s="2">
        <f>H16-Q16-R16-K2</f>
        <v>0</v>
      </c>
      <c r="L9" s="7">
        <f>T16-L2</f>
        <v>3.7107383832335472E-10</v>
      </c>
      <c r="M9" s="7"/>
      <c r="N9" s="7"/>
      <c r="O9" s="7"/>
    </row>
    <row r="10" spans="1:20" x14ac:dyDescent="0.25">
      <c r="C10" t="s">
        <v>28</v>
      </c>
      <c r="E10" s="2">
        <f t="shared" si="1"/>
        <v>0</v>
      </c>
      <c r="F10" s="2">
        <f t="shared" si="1"/>
        <v>0</v>
      </c>
      <c r="G10" s="2">
        <f t="shared" si="1"/>
        <v>0</v>
      </c>
      <c r="H10" s="2">
        <f>E10+F10-G10</f>
        <v>0</v>
      </c>
      <c r="I10" s="7"/>
      <c r="J10" s="7">
        <f>Q17+R17+J3</f>
        <v>0</v>
      </c>
      <c r="K10" s="2">
        <f>H17-Q17-R17-K3</f>
        <v>0</v>
      </c>
      <c r="L10" s="7">
        <f>T17-L3</f>
        <v>-1.4551915228366852E-10</v>
      </c>
    </row>
    <row r="11" spans="1:20" x14ac:dyDescent="0.25">
      <c r="C11" t="s">
        <v>15</v>
      </c>
      <c r="E11" s="2">
        <f>E18-E4</f>
        <v>0</v>
      </c>
      <c r="F11" s="2">
        <f>F18+F20-F4</f>
        <v>-393.41999999999825</v>
      </c>
      <c r="G11" s="2">
        <f>G18-G4</f>
        <v>-393.4199999999837</v>
      </c>
      <c r="H11" s="2">
        <f>E11+F11-G11</f>
        <v>-1.4551915228366852E-11</v>
      </c>
      <c r="I11" s="7"/>
      <c r="J11" s="7">
        <f>Q18+R18+J4</f>
        <v>0</v>
      </c>
      <c r="K11" s="2">
        <f>H18+H20-Q18-R18-Q20-R20-K4</f>
        <v>0</v>
      </c>
      <c r="L11" s="7">
        <f>T18-L4</f>
        <v>3.5506673157215118E-9</v>
      </c>
      <c r="M11" s="2"/>
    </row>
    <row r="12" spans="1:20" x14ac:dyDescent="0.25">
      <c r="C12" t="s">
        <v>29</v>
      </c>
      <c r="E12" s="2">
        <f>E19-E5</f>
        <v>0</v>
      </c>
      <c r="F12" s="2">
        <f>F19-F5</f>
        <v>-1194.96</v>
      </c>
      <c r="G12" s="2">
        <f>G19-G5</f>
        <v>-486.80999999999767</v>
      </c>
      <c r="H12" s="2">
        <f>E12+F12-G12</f>
        <v>-708.15000000000236</v>
      </c>
      <c r="I12" s="7"/>
      <c r="J12" s="7">
        <f>Q19+R19+J5</f>
        <v>0</v>
      </c>
      <c r="K12" s="2">
        <f>H19-Q19-R19-K5</f>
        <v>-708.15000000002328</v>
      </c>
      <c r="L12" s="7">
        <f>T19-L5</f>
        <v>0</v>
      </c>
      <c r="M12" s="7"/>
      <c r="N12" s="7"/>
      <c r="O12" s="7"/>
    </row>
    <row r="13" spans="1:20" x14ac:dyDescent="0.25">
      <c r="M13" s="2">
        <f>I21-M7</f>
        <v>0</v>
      </c>
      <c r="N13" s="2">
        <f t="shared" ref="N13:O13" si="2">J21-N7</f>
        <v>0</v>
      </c>
      <c r="O13" s="2">
        <f t="shared" si="2"/>
        <v>0</v>
      </c>
    </row>
    <row r="14" spans="1:20" x14ac:dyDescent="0.25">
      <c r="M14" s="2"/>
      <c r="N14" s="2"/>
      <c r="O14" s="2"/>
    </row>
    <row r="15" spans="1:20" x14ac:dyDescent="0.25">
      <c r="E15" s="1" t="s">
        <v>30</v>
      </c>
      <c r="F15" s="1" t="s">
        <v>31</v>
      </c>
      <c r="G15" s="1" t="s">
        <v>32</v>
      </c>
      <c r="H15" s="3" t="s">
        <v>16</v>
      </c>
      <c r="I15" s="1" t="s">
        <v>24</v>
      </c>
      <c r="J15" s="1" t="s">
        <v>25</v>
      </c>
      <c r="K15" s="1" t="s">
        <v>26</v>
      </c>
      <c r="L15" s="1"/>
      <c r="M15" s="1"/>
      <c r="N15" s="1"/>
      <c r="O15" s="1"/>
      <c r="P15" s="1"/>
      <c r="Q15" s="1" t="s">
        <v>40</v>
      </c>
      <c r="R15" s="1" t="s">
        <v>33</v>
      </c>
      <c r="S15" s="1" t="s">
        <v>35</v>
      </c>
      <c r="T15" s="1" t="s">
        <v>34</v>
      </c>
    </row>
    <row r="16" spans="1:20" x14ac:dyDescent="0.25">
      <c r="A16" t="s">
        <v>38</v>
      </c>
      <c r="B16">
        <v>2020</v>
      </c>
      <c r="C16" t="s">
        <v>27</v>
      </c>
      <c r="E16" s="8">
        <v>6575294.9699999997</v>
      </c>
      <c r="F16" s="8">
        <v>53449.4</v>
      </c>
      <c r="G16" s="8">
        <v>255191.13</v>
      </c>
      <c r="H16" s="8">
        <v>6443448.3300000001</v>
      </c>
      <c r="I16" s="8">
        <v>34108.730000000003</v>
      </c>
      <c r="J16" s="8">
        <v>390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119191.14</v>
      </c>
      <c r="R16" s="8">
        <v>7819.05</v>
      </c>
      <c r="S16" s="8">
        <v>6477947.0599999996</v>
      </c>
      <c r="T16" s="8">
        <v>57115.1</v>
      </c>
    </row>
    <row r="17" spans="2:20" x14ac:dyDescent="0.25">
      <c r="B17">
        <v>2020</v>
      </c>
      <c r="C17" t="s">
        <v>28</v>
      </c>
      <c r="E17" s="8">
        <v>3503945.39</v>
      </c>
      <c r="F17" s="8">
        <v>13453.43</v>
      </c>
      <c r="G17" s="8">
        <v>11519.2</v>
      </c>
      <c r="H17" s="8">
        <v>3463177.46</v>
      </c>
      <c r="I17" s="8">
        <v>20167.78</v>
      </c>
      <c r="J17" s="8">
        <v>54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3483399.24</v>
      </c>
      <c r="T17" s="8">
        <v>42702.16</v>
      </c>
    </row>
    <row r="18" spans="2:20" x14ac:dyDescent="0.25">
      <c r="B18">
        <v>2020</v>
      </c>
      <c r="C18" t="s">
        <v>15</v>
      </c>
      <c r="E18" s="8">
        <v>78943670.359999999</v>
      </c>
      <c r="F18" s="8">
        <v>9357.49</v>
      </c>
      <c r="G18" s="8">
        <v>428999.31</v>
      </c>
      <c r="H18" s="8">
        <v>78263046.609999999</v>
      </c>
      <c r="I18" s="8">
        <v>104389.14</v>
      </c>
      <c r="J18" s="8">
        <v>0</v>
      </c>
      <c r="K18" s="8">
        <v>72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35343.730000000003</v>
      </c>
      <c r="R18" s="8">
        <v>0</v>
      </c>
      <c r="S18" s="8">
        <v>78367507.75</v>
      </c>
      <c r="T18" s="8">
        <v>296325.65999999997</v>
      </c>
    </row>
    <row r="19" spans="2:20" x14ac:dyDescent="0.25">
      <c r="B19">
        <v>2020</v>
      </c>
      <c r="C19" t="s">
        <v>29</v>
      </c>
      <c r="E19" s="8">
        <v>1069105.69</v>
      </c>
      <c r="F19" s="8">
        <v>4544.43</v>
      </c>
      <c r="G19" s="8">
        <v>18490.2</v>
      </c>
      <c r="H19" s="8">
        <v>1003966.03</v>
      </c>
      <c r="I19" s="8">
        <v>5232.1099999999997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3952.76</v>
      </c>
      <c r="R19" s="8">
        <v>388.63</v>
      </c>
      <c r="S19" s="8">
        <v>1009198.14</v>
      </c>
      <c r="T19" s="8">
        <v>55535.28</v>
      </c>
    </row>
    <row r="20" spans="2:20" x14ac:dyDescent="0.25">
      <c r="B20">
        <v>2020</v>
      </c>
      <c r="C20" t="s">
        <v>39</v>
      </c>
      <c r="E20" s="8">
        <v>0</v>
      </c>
      <c r="F20" s="8">
        <v>54725.4</v>
      </c>
      <c r="G20" s="8">
        <v>0</v>
      </c>
      <c r="H20" s="8">
        <v>102567.75</v>
      </c>
      <c r="I20" s="8">
        <v>878.05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47842.35</v>
      </c>
      <c r="S20" s="8">
        <v>103445.8</v>
      </c>
      <c r="T20" s="8">
        <v>0</v>
      </c>
    </row>
    <row r="21" spans="2:20" x14ac:dyDescent="0.25">
      <c r="C21" t="s">
        <v>36</v>
      </c>
      <c r="E21" s="8">
        <v>90092016.409999996</v>
      </c>
      <c r="F21" s="8">
        <v>135530.15</v>
      </c>
      <c r="G21" s="8">
        <v>714199.84</v>
      </c>
      <c r="H21" s="8">
        <v>89276206.180000007</v>
      </c>
      <c r="I21" s="8">
        <v>164775.81</v>
      </c>
      <c r="J21" s="8">
        <v>444</v>
      </c>
      <c r="K21" s="8">
        <v>72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158487.63</v>
      </c>
      <c r="R21" s="8">
        <v>56050.03</v>
      </c>
      <c r="S21" s="8">
        <v>89441497.989999995</v>
      </c>
      <c r="T21" s="8">
        <v>451678.2</v>
      </c>
    </row>
    <row r="22" spans="2:20" x14ac:dyDescent="0.25"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</vt:lpstr>
      <vt:lpstr>Collect20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markk</dc:creator>
  <cp:lastModifiedBy>markk</cp:lastModifiedBy>
  <dcterms:created xsi:type="dcterms:W3CDTF">2022-12-22T12:57:51Z</dcterms:created>
  <dcterms:modified xsi:type="dcterms:W3CDTF">2023-02-02T19:34:41Z</dcterms:modified>
</cp:coreProperties>
</file>