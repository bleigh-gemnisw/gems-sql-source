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ENGINEERING\_SEWER_FILES\SEWER BILLING &amp; CHARGES\SEWER USE CHARGES\USECHARGE-2022\"/>
    </mc:Choice>
  </mc:AlternateContent>
  <bookViews>
    <workbookView xWindow="0" yWindow="0" windowWidth="25050" windowHeight="11985" activeTab="4"/>
  </bookViews>
  <sheets>
    <sheet name="CWC2022-A" sheetId="1" r:id="rId1"/>
    <sheet name="Sheet4" sheetId="5" r:id="rId2"/>
    <sheet name="Sheet1" sheetId="6" r:id="rId3"/>
    <sheet name="CWC2020comm" sheetId="2" r:id="rId4"/>
    <sheet name="2020manualTDF" sheetId="3" r:id="rId5"/>
    <sheet name="final_comm_EBU's" sheetId="4" r:id="rId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379" i="3" l="1"/>
  <c r="P319" i="3"/>
  <c r="P141" i="3"/>
  <c r="P123" i="3"/>
  <c r="Q123" i="3"/>
  <c r="P36" i="3"/>
  <c r="R5" i="3"/>
  <c r="Q5" i="3"/>
  <c r="P5" i="3"/>
  <c r="P20" i="3"/>
  <c r="P4" i="3" l="1"/>
  <c r="W380" i="6" l="1"/>
  <c r="W357" i="6"/>
  <c r="W360" i="6"/>
  <c r="W361" i="6"/>
  <c r="W362" i="6"/>
  <c r="W363" i="6"/>
  <c r="W364" i="6"/>
  <c r="W365" i="6"/>
  <c r="W366" i="6"/>
  <c r="W367" i="6"/>
  <c r="W368" i="6"/>
  <c r="W369" i="6"/>
  <c r="W370" i="6"/>
  <c r="W371" i="6"/>
  <c r="W372" i="6"/>
  <c r="W373" i="6"/>
  <c r="W374" i="6"/>
  <c r="W375" i="6"/>
  <c r="W376" i="6"/>
  <c r="W377" i="6"/>
  <c r="W378" i="6"/>
  <c r="W379" i="6"/>
  <c r="W330" i="6"/>
  <c r="W331" i="6"/>
  <c r="W332" i="6"/>
  <c r="W333" i="6"/>
  <c r="W335" i="6"/>
  <c r="W336" i="6"/>
  <c r="W337" i="6"/>
  <c r="W338" i="6"/>
  <c r="W339" i="6"/>
  <c r="W340" i="6"/>
  <c r="W341" i="6"/>
  <c r="W342" i="6"/>
  <c r="W343" i="6"/>
  <c r="W344" i="6"/>
  <c r="W345" i="6"/>
  <c r="W346" i="6"/>
  <c r="W347" i="6"/>
  <c r="W348" i="6"/>
  <c r="W349" i="6"/>
  <c r="W350" i="6"/>
  <c r="W352" i="6"/>
  <c r="W353" i="6"/>
  <c r="W354" i="6"/>
  <c r="W355" i="6"/>
  <c r="W356" i="6"/>
  <c r="W301" i="6"/>
  <c r="W302" i="6"/>
  <c r="W303" i="6"/>
  <c r="W304" i="6"/>
  <c r="W305" i="6"/>
  <c r="W306" i="6"/>
  <c r="W307" i="6"/>
  <c r="W308" i="6"/>
  <c r="W309" i="6"/>
  <c r="W310" i="6"/>
  <c r="W312" i="6"/>
  <c r="W314" i="6"/>
  <c r="W315" i="6"/>
  <c r="W316" i="6"/>
  <c r="W317" i="6"/>
  <c r="W318" i="6"/>
  <c r="W319" i="6"/>
  <c r="W320" i="6"/>
  <c r="W321" i="6"/>
  <c r="W323" i="6"/>
  <c r="W324" i="6"/>
  <c r="W325" i="6"/>
  <c r="W326" i="6"/>
  <c r="W328" i="6"/>
  <c r="W280" i="6"/>
  <c r="W281" i="6"/>
  <c r="W282" i="6"/>
  <c r="W283" i="6"/>
  <c r="W284" i="6"/>
  <c r="W285" i="6"/>
  <c r="W286" i="6"/>
  <c r="W287" i="6"/>
  <c r="W288" i="6"/>
  <c r="W289" i="6"/>
  <c r="W290" i="6"/>
  <c r="W291" i="6"/>
  <c r="W292" i="6"/>
  <c r="W293" i="6"/>
  <c r="W294" i="6"/>
  <c r="W295" i="6"/>
  <c r="W296" i="6"/>
  <c r="W298" i="6"/>
  <c r="W299" i="6"/>
  <c r="W300" i="6"/>
  <c r="W268" i="6"/>
  <c r="W271" i="6"/>
  <c r="W272" i="6"/>
  <c r="W273" i="6"/>
  <c r="W274" i="6"/>
  <c r="W275" i="6"/>
  <c r="W276" i="6"/>
  <c r="W277" i="6"/>
  <c r="W278" i="6"/>
  <c r="W279" i="6"/>
  <c r="W241" i="6"/>
  <c r="W242" i="6"/>
  <c r="W243" i="6"/>
  <c r="W244" i="6"/>
  <c r="W245" i="6"/>
  <c r="W246" i="6"/>
  <c r="W247" i="6"/>
  <c r="W248" i="6"/>
  <c r="W249" i="6"/>
  <c r="W250" i="6"/>
  <c r="W253" i="6"/>
  <c r="W254" i="6"/>
  <c r="W255" i="6"/>
  <c r="W256" i="6"/>
  <c r="W257" i="6"/>
  <c r="W258" i="6"/>
  <c r="W259" i="6"/>
  <c r="W260" i="6"/>
  <c r="W262" i="6"/>
  <c r="W263" i="6"/>
  <c r="W267" i="6"/>
  <c r="W216" i="6"/>
  <c r="W217" i="6"/>
  <c r="W218" i="6"/>
  <c r="W219" i="6"/>
  <c r="W220" i="6"/>
  <c r="W223" i="6"/>
  <c r="W224" i="6"/>
  <c r="W225" i="6"/>
  <c r="W226" i="6"/>
  <c r="W227" i="6"/>
  <c r="W230" i="6"/>
  <c r="W231" i="6"/>
  <c r="W232" i="6"/>
  <c r="W233" i="6"/>
  <c r="W234" i="6"/>
  <c r="W235" i="6"/>
  <c r="W236" i="6"/>
  <c r="W237" i="6"/>
  <c r="W238" i="6"/>
  <c r="W239" i="6"/>
  <c r="W240" i="6"/>
  <c r="W196" i="6"/>
  <c r="W197" i="6"/>
  <c r="W198" i="6"/>
  <c r="W199" i="6"/>
  <c r="W200" i="6"/>
  <c r="W201" i="6"/>
  <c r="W202" i="6"/>
  <c r="W203" i="6"/>
  <c r="W204" i="6"/>
  <c r="W205" i="6"/>
  <c r="W206" i="6"/>
  <c r="W207" i="6"/>
  <c r="W208" i="6"/>
  <c r="W209" i="6"/>
  <c r="W210" i="6"/>
  <c r="W211" i="6"/>
  <c r="W212" i="6"/>
  <c r="W213" i="6"/>
  <c r="W214" i="6"/>
  <c r="W215" i="6"/>
  <c r="W170" i="6"/>
  <c r="W171" i="6"/>
  <c r="W172" i="6"/>
  <c r="W173" i="6"/>
  <c r="W174" i="6"/>
  <c r="W175" i="6"/>
  <c r="W176" i="6"/>
  <c r="W177" i="6"/>
  <c r="W178" i="6"/>
  <c r="W179" i="6"/>
  <c r="W180" i="6"/>
  <c r="W181" i="6"/>
  <c r="W182" i="6"/>
  <c r="W183" i="6"/>
  <c r="W184" i="6"/>
  <c r="W185" i="6"/>
  <c r="W186" i="6"/>
  <c r="W187" i="6"/>
  <c r="W188" i="6"/>
  <c r="W189" i="6"/>
  <c r="W190" i="6"/>
  <c r="W191" i="6"/>
  <c r="W192" i="6"/>
  <c r="W193" i="6"/>
  <c r="W194" i="6"/>
  <c r="W195" i="6"/>
  <c r="W148" i="6"/>
  <c r="W149" i="6"/>
  <c r="W152" i="6"/>
  <c r="W153" i="6"/>
  <c r="W154" i="6"/>
  <c r="W155" i="6"/>
  <c r="W156" i="6"/>
  <c r="W157" i="6"/>
  <c r="W158" i="6"/>
  <c r="W159" i="6"/>
  <c r="W160" i="6"/>
  <c r="W161" i="6"/>
  <c r="W162" i="6"/>
  <c r="W163" i="6"/>
  <c r="W164" i="6"/>
  <c r="W165" i="6"/>
  <c r="W166" i="6"/>
  <c r="W167" i="6"/>
  <c r="W168" i="6"/>
  <c r="W169" i="6"/>
  <c r="W121" i="6"/>
  <c r="W122" i="6"/>
  <c r="W123" i="6"/>
  <c r="W125" i="6"/>
  <c r="W129" i="6"/>
  <c r="W130" i="6"/>
  <c r="W131" i="6"/>
  <c r="W132" i="6"/>
  <c r="W133" i="6"/>
  <c r="W134" i="6"/>
  <c r="W135" i="6"/>
  <c r="W136" i="6"/>
  <c r="W137" i="6"/>
  <c r="W138" i="6"/>
  <c r="W139" i="6"/>
  <c r="W140" i="6"/>
  <c r="W142" i="6"/>
  <c r="W143" i="6"/>
  <c r="W98" i="6"/>
  <c r="W99" i="6"/>
  <c r="W100" i="6"/>
  <c r="W101" i="6"/>
  <c r="W102" i="6"/>
  <c r="W103" i="6"/>
  <c r="W104" i="6"/>
  <c r="W105" i="6"/>
  <c r="W106" i="6"/>
  <c r="W107" i="6"/>
  <c r="W110" i="6"/>
  <c r="W111" i="6"/>
  <c r="W112" i="6"/>
  <c r="W113" i="6"/>
  <c r="W116" i="6"/>
  <c r="W117" i="6"/>
  <c r="W119" i="6"/>
  <c r="W78" i="6"/>
  <c r="W79" i="6"/>
  <c r="W80" i="6"/>
  <c r="W81" i="6"/>
  <c r="W82" i="6"/>
  <c r="W83" i="6"/>
  <c r="W84" i="6"/>
  <c r="W85" i="6"/>
  <c r="W86" i="6"/>
  <c r="W87" i="6"/>
  <c r="W88" i="6"/>
  <c r="W89" i="6"/>
  <c r="W90" i="6"/>
  <c r="W91" i="6"/>
  <c r="W92" i="6"/>
  <c r="W93" i="6"/>
  <c r="W95" i="6"/>
  <c r="W96" i="6"/>
  <c r="W97" i="6"/>
  <c r="W55" i="6"/>
  <c r="W56" i="6"/>
  <c r="W57" i="6"/>
  <c r="W58" i="6"/>
  <c r="W59" i="6"/>
  <c r="W60" i="6"/>
  <c r="W61" i="6"/>
  <c r="W62" i="6"/>
  <c r="W63" i="6"/>
  <c r="W64" i="6"/>
  <c r="W65" i="6"/>
  <c r="W66" i="6"/>
  <c r="W67" i="6"/>
  <c r="W68" i="6"/>
  <c r="W69" i="6"/>
  <c r="W70" i="6"/>
  <c r="W71" i="6"/>
  <c r="W72" i="6"/>
  <c r="W74" i="6"/>
  <c r="W41" i="6"/>
  <c r="W42" i="6"/>
  <c r="W43" i="6"/>
  <c r="W44" i="6"/>
  <c r="W45" i="6"/>
  <c r="W46" i="6"/>
  <c r="W47" i="6"/>
  <c r="W48" i="6"/>
  <c r="W49" i="6"/>
  <c r="W50" i="6"/>
  <c r="W52" i="6"/>
  <c r="W53" i="6"/>
  <c r="W54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40" i="6"/>
  <c r="W17" i="6"/>
  <c r="W18" i="6"/>
  <c r="W19" i="6"/>
  <c r="W20" i="6"/>
  <c r="W21" i="6"/>
  <c r="W22" i="6"/>
  <c r="W23" i="6"/>
  <c r="W24" i="6"/>
  <c r="W25" i="6"/>
  <c r="W26" i="6"/>
  <c r="W11" i="6"/>
  <c r="W12" i="6"/>
  <c r="W13" i="6"/>
  <c r="W14" i="6"/>
  <c r="W15" i="6"/>
  <c r="W16" i="6"/>
  <c r="W4" i="6"/>
  <c r="W5" i="6"/>
  <c r="W6" i="6"/>
  <c r="W7" i="6"/>
  <c r="W8" i="6"/>
  <c r="W9" i="6"/>
  <c r="W10" i="6"/>
  <c r="W3" i="6"/>
  <c r="W2" i="6"/>
  <c r="P354" i="3"/>
  <c r="Q319" i="3"/>
  <c r="R319" i="3" s="1"/>
  <c r="P171" i="3"/>
  <c r="Q171" i="3" s="1"/>
  <c r="R171" i="3" s="1"/>
  <c r="Q168" i="3"/>
  <c r="P389" i="3"/>
  <c r="R123" i="3"/>
  <c r="U2" i="5"/>
  <c r="R135" i="3"/>
  <c r="Q135" i="3"/>
  <c r="P135" i="3"/>
  <c r="G187" i="4"/>
  <c r="H187" i="4" s="1"/>
  <c r="P412" i="3"/>
  <c r="Q412" i="3"/>
  <c r="R412" i="3" s="1"/>
  <c r="P302" i="3"/>
  <c r="Q302" i="3" s="1"/>
  <c r="R302" i="3" s="1"/>
  <c r="P227" i="3"/>
  <c r="Q133" i="3"/>
  <c r="R133" i="3" s="1"/>
  <c r="P134" i="3"/>
  <c r="Q134" i="3" s="1"/>
  <c r="R134" i="3" s="1"/>
  <c r="Q82" i="3"/>
  <c r="R82" i="3" s="1"/>
  <c r="P155" i="3"/>
  <c r="Q155" i="3" s="1"/>
  <c r="R155" i="3" s="1"/>
  <c r="S413" i="3"/>
  <c r="P408" i="3"/>
  <c r="Q408" i="3" s="1"/>
  <c r="R408" i="3" s="1"/>
  <c r="P409" i="3"/>
  <c r="Q409" i="3" s="1"/>
  <c r="R409" i="3" s="1"/>
  <c r="P410" i="3"/>
  <c r="Q410" i="3" s="1"/>
  <c r="R410" i="3" s="1"/>
  <c r="P411" i="3"/>
  <c r="Q411" i="3" s="1"/>
  <c r="R411" i="3" s="1"/>
  <c r="P407" i="3"/>
  <c r="Q407" i="3" s="1"/>
  <c r="R407" i="3" s="1"/>
  <c r="P406" i="3"/>
  <c r="Q406" i="3" s="1"/>
  <c r="R406" i="3" s="1"/>
  <c r="P397" i="3"/>
  <c r="Q397" i="3" s="1"/>
  <c r="R397" i="3" s="1"/>
  <c r="P380" i="3"/>
  <c r="Q380" i="3" s="1"/>
  <c r="R380" i="3" s="1"/>
  <c r="P381" i="3"/>
  <c r="Q381" i="3" s="1"/>
  <c r="R381" i="3" s="1"/>
  <c r="P382" i="3"/>
  <c r="Q382" i="3" s="1"/>
  <c r="R382" i="3" s="1"/>
  <c r="P383" i="3"/>
  <c r="Q383" i="3" s="1"/>
  <c r="R383" i="3" s="1"/>
  <c r="P384" i="3"/>
  <c r="Q384" i="3" s="1"/>
  <c r="R384" i="3" s="1"/>
  <c r="P385" i="3"/>
  <c r="Q385" i="3" s="1"/>
  <c r="R385" i="3" s="1"/>
  <c r="P386" i="3"/>
  <c r="Q386" i="3" s="1"/>
  <c r="R386" i="3" s="1"/>
  <c r="P387" i="3"/>
  <c r="Q387" i="3" s="1"/>
  <c r="R387" i="3" s="1"/>
  <c r="Q389" i="3"/>
  <c r="R389" i="3" s="1"/>
  <c r="Q379" i="3"/>
  <c r="R379" i="3" s="1"/>
  <c r="P363" i="3"/>
  <c r="Q363" i="3" s="1"/>
  <c r="R363" i="3" s="1"/>
  <c r="P364" i="3"/>
  <c r="Q364" i="3" s="1"/>
  <c r="R364" i="3" s="1"/>
  <c r="P365" i="3"/>
  <c r="Q365" i="3" s="1"/>
  <c r="R365" i="3" s="1"/>
  <c r="P361" i="3"/>
  <c r="Q361" i="3" s="1"/>
  <c r="R361" i="3" s="1"/>
  <c r="P360" i="3"/>
  <c r="Q360" i="3" s="1"/>
  <c r="R360" i="3" s="1"/>
  <c r="P359" i="3"/>
  <c r="Q359" i="3" s="1"/>
  <c r="R359" i="3" s="1"/>
  <c r="P358" i="3"/>
  <c r="Q358" i="3" s="1"/>
  <c r="R358" i="3" s="1"/>
  <c r="R356" i="3"/>
  <c r="P357" i="3"/>
  <c r="Q357" i="3" s="1"/>
  <c r="R357" i="3" s="1"/>
  <c r="P355" i="3"/>
  <c r="Q355" i="3" s="1"/>
  <c r="R355" i="3" s="1"/>
  <c r="Q354" i="3"/>
  <c r="R354" i="3" s="1"/>
  <c r="P342" i="3"/>
  <c r="Q342" i="3" s="1"/>
  <c r="R342" i="3" s="1"/>
  <c r="P343" i="3"/>
  <c r="Q343" i="3" s="1"/>
  <c r="R343" i="3" s="1"/>
  <c r="P344" i="3"/>
  <c r="Q344" i="3" s="1"/>
  <c r="R344" i="3" s="1"/>
  <c r="P341" i="3"/>
  <c r="Q341" i="3" s="1"/>
  <c r="R341" i="3" s="1"/>
  <c r="P337" i="3"/>
  <c r="Q337" i="3" s="1"/>
  <c r="R337" i="3" s="1"/>
  <c r="P338" i="3"/>
  <c r="Q338" i="3" s="1"/>
  <c r="R338" i="3" s="1"/>
  <c r="P339" i="3"/>
  <c r="Q339" i="3" s="1"/>
  <c r="R339" i="3" s="1"/>
  <c r="P340" i="3"/>
  <c r="Q340" i="3" s="1"/>
  <c r="R340" i="3" s="1"/>
  <c r="P336" i="3"/>
  <c r="Q336" i="3" s="1"/>
  <c r="R336" i="3" s="1"/>
  <c r="P335" i="3"/>
  <c r="Q335" i="3" s="1"/>
  <c r="R335" i="3" s="1"/>
  <c r="P331" i="3"/>
  <c r="Q331" i="3" s="1"/>
  <c r="R331" i="3" s="1"/>
  <c r="P330" i="3"/>
  <c r="Q330" i="3" s="1"/>
  <c r="R330" i="3" s="1"/>
  <c r="P327" i="3"/>
  <c r="Q327" i="3" s="1"/>
  <c r="R327" i="3" s="1"/>
  <c r="P324" i="3"/>
  <c r="Q324" i="3" s="1"/>
  <c r="R324" i="3" s="1"/>
  <c r="P325" i="3"/>
  <c r="Q325" i="3" s="1"/>
  <c r="R325" i="3" s="1"/>
  <c r="P328" i="3"/>
  <c r="Q328" i="3" s="1"/>
  <c r="R328" i="3" s="1"/>
  <c r="P332" i="3"/>
  <c r="Q332" i="3" s="1"/>
  <c r="R332" i="3" s="1"/>
  <c r="P321" i="3"/>
  <c r="Q321" i="3" s="1"/>
  <c r="R321" i="3" s="1"/>
  <c r="Q322" i="3"/>
  <c r="R322" i="3" s="1"/>
  <c r="Q323" i="3"/>
  <c r="R323" i="3" s="1"/>
  <c r="P320" i="3"/>
  <c r="Q320" i="3" s="1"/>
  <c r="R320" i="3" s="1"/>
  <c r="P307" i="3"/>
  <c r="Q307" i="3" s="1"/>
  <c r="R307" i="3" s="1"/>
  <c r="P306" i="3"/>
  <c r="Q306" i="3" s="1"/>
  <c r="R306" i="3" s="1"/>
  <c r="Q305" i="3"/>
  <c r="R305" i="3" s="1"/>
  <c r="Q301" i="3"/>
  <c r="R301" i="3" s="1"/>
  <c r="P292" i="3"/>
  <c r="Q292" i="3" s="1"/>
  <c r="R292" i="3" s="1"/>
  <c r="Q286" i="3"/>
  <c r="R286" i="3" s="1"/>
  <c r="R280" i="3"/>
  <c r="Q281" i="3"/>
  <c r="R281" i="3" s="1"/>
  <c r="P279" i="3"/>
  <c r="Q279" i="3" s="1"/>
  <c r="R279" i="3" s="1"/>
  <c r="Q275" i="3"/>
  <c r="R275" i="3" s="1"/>
  <c r="P252" i="3"/>
  <c r="Q252" i="3" s="1"/>
  <c r="R252" i="3" s="1"/>
  <c r="Q242" i="3"/>
  <c r="R242" i="3" s="1"/>
  <c r="Q243" i="3"/>
  <c r="R243" i="3" s="1"/>
  <c r="P229" i="3"/>
  <c r="R229" i="3" s="1"/>
  <c r="P179" i="3"/>
  <c r="Q179" i="3" s="1"/>
  <c r="R179" i="3" s="1"/>
  <c r="P176" i="3"/>
  <c r="Q176" i="3" s="1"/>
  <c r="R176" i="3" s="1"/>
  <c r="P154" i="3"/>
  <c r="Q154" i="3" s="1"/>
  <c r="R154" i="3" s="1"/>
  <c r="Q172" i="3"/>
  <c r="R172" i="3" s="1"/>
  <c r="Q173" i="3"/>
  <c r="R173" i="3" s="1"/>
  <c r="Q167" i="3"/>
  <c r="R167" i="3" s="1"/>
  <c r="Q162" i="3"/>
  <c r="R162" i="3" s="1"/>
  <c r="Q164" i="3"/>
  <c r="R164" i="3" s="1"/>
  <c r="Q156" i="3"/>
  <c r="R156" i="3" s="1"/>
  <c r="Q144" i="3"/>
  <c r="R144" i="3" s="1"/>
  <c r="Q145" i="3"/>
  <c r="R145" i="3" s="1"/>
  <c r="P147" i="3"/>
  <c r="Q147" i="3" s="1"/>
  <c r="R147" i="3" s="1"/>
  <c r="P146" i="3"/>
  <c r="Q146" i="3" s="1"/>
  <c r="R146" i="3" s="1"/>
  <c r="Q141" i="3"/>
  <c r="R141" i="3" s="1"/>
  <c r="Q131" i="3"/>
  <c r="R131" i="3" s="1"/>
  <c r="Q132" i="3"/>
  <c r="R132" i="3" s="1"/>
  <c r="P129" i="3"/>
  <c r="Q129" i="3" s="1"/>
  <c r="R129" i="3" s="1"/>
  <c r="Q118" i="3"/>
  <c r="R118" i="3" s="1"/>
  <c r="Q119" i="3"/>
  <c r="R119" i="3" s="1"/>
  <c r="Q111" i="3"/>
  <c r="R111" i="3" s="1"/>
  <c r="P110" i="3"/>
  <c r="Q110" i="3" s="1"/>
  <c r="R110" i="3" s="1"/>
  <c r="Q108" i="3"/>
  <c r="R108" i="3" s="1"/>
  <c r="Q109" i="3"/>
  <c r="R109" i="3" s="1"/>
  <c r="P103" i="3"/>
  <c r="Q103" i="3" s="1"/>
  <c r="R103" i="3" s="1"/>
  <c r="P104" i="3"/>
  <c r="Q104" i="3" s="1"/>
  <c r="R104" i="3" s="1"/>
  <c r="P105" i="3"/>
  <c r="Q105" i="3" s="1"/>
  <c r="R105" i="3" s="1"/>
  <c r="P102" i="3"/>
  <c r="Q102" i="3" s="1"/>
  <c r="R102" i="3" s="1"/>
  <c r="Q101" i="3"/>
  <c r="R101" i="3" s="1"/>
  <c r="Q78" i="3"/>
  <c r="R78" i="3" s="1"/>
  <c r="Q77" i="3"/>
  <c r="R77" i="3" s="1"/>
  <c r="P76" i="3"/>
  <c r="Q76" i="3" s="1"/>
  <c r="R76" i="3" s="1"/>
  <c r="Q72" i="3"/>
  <c r="R72" i="3" s="1"/>
  <c r="Q71" i="3"/>
  <c r="R71" i="3" s="1"/>
  <c r="Q70" i="3"/>
  <c r="R70" i="3" s="1"/>
  <c r="Q64" i="3"/>
  <c r="R64" i="3" s="1"/>
  <c r="Q52" i="3"/>
  <c r="R52" i="3" s="1"/>
  <c r="P50" i="3"/>
  <c r="P41" i="3"/>
  <c r="Q41" i="3" s="1"/>
  <c r="R41" i="3" s="1"/>
  <c r="Q60" i="3"/>
  <c r="R60" i="3" s="1"/>
  <c r="P312" i="3"/>
  <c r="Q312" i="3" s="1"/>
  <c r="R312" i="3" s="1"/>
  <c r="P232" i="3"/>
  <c r="Q232" i="3" s="1"/>
  <c r="R232" i="3" s="1"/>
  <c r="Q227" i="3"/>
  <c r="R227" i="3" s="1"/>
  <c r="P175" i="3"/>
  <c r="Q175" i="3" s="1"/>
  <c r="R175" i="3" s="1"/>
  <c r="P166" i="3"/>
  <c r="Q166" i="3" s="1"/>
  <c r="R166" i="3" s="1"/>
  <c r="P160" i="3"/>
  <c r="Q160" i="3" s="1"/>
  <c r="R160" i="3" s="1"/>
  <c r="P158" i="3"/>
  <c r="Q158" i="3" s="1"/>
  <c r="R158" i="3" s="1"/>
  <c r="P151" i="3"/>
  <c r="Q151" i="3" s="1"/>
  <c r="R151" i="3" s="1"/>
  <c r="P143" i="3"/>
  <c r="Q143" i="3" s="1"/>
  <c r="R143" i="3" s="1"/>
  <c r="P81" i="3"/>
  <c r="Q81" i="3" s="1"/>
  <c r="R81" i="3" s="1"/>
  <c r="P117" i="3"/>
  <c r="Q117" i="3" s="1"/>
  <c r="R117" i="3" s="1"/>
  <c r="Q130" i="3"/>
  <c r="R130" i="3" s="1"/>
  <c r="P127" i="3"/>
  <c r="Q127" i="3" s="1"/>
  <c r="R127" i="3" s="1"/>
  <c r="P125" i="3"/>
  <c r="Q125" i="3" s="1"/>
  <c r="R125" i="3" s="1"/>
  <c r="P107" i="3"/>
  <c r="Q107" i="3" s="1"/>
  <c r="R107" i="3" s="1"/>
  <c r="Q51" i="3"/>
  <c r="R51" i="3" s="1"/>
  <c r="P63" i="3" l="1"/>
  <c r="Q63" i="3" s="1"/>
  <c r="R63" i="3" s="1"/>
  <c r="P69" i="3"/>
  <c r="Q69" i="3" s="1"/>
  <c r="R69" i="3" s="1"/>
  <c r="P59" i="3"/>
  <c r="Q59" i="3" s="1"/>
  <c r="R59" i="3" s="1"/>
  <c r="Q40" i="3"/>
  <c r="R40" i="3" s="1"/>
  <c r="Q50" i="3"/>
  <c r="R50" i="3" s="1"/>
  <c r="Q36" i="3"/>
  <c r="R36" i="3" s="1"/>
  <c r="Q20" i="3"/>
  <c r="R20" i="3" s="1"/>
  <c r="P74" i="3"/>
  <c r="Q74" i="3" s="1"/>
  <c r="R74" i="3" s="1"/>
  <c r="P99" i="3"/>
  <c r="Q99" i="3" s="1"/>
  <c r="R99" i="3" s="1"/>
  <c r="P97" i="3"/>
  <c r="Q97" i="3" s="1"/>
  <c r="R97" i="3" s="1"/>
  <c r="P89" i="3"/>
  <c r="Q89" i="3" s="1"/>
  <c r="R89" i="3" s="1"/>
  <c r="P245" i="3"/>
  <c r="Q245" i="3" s="1"/>
  <c r="R245" i="3" s="1"/>
  <c r="P240" i="3"/>
  <c r="Q240" i="3" s="1"/>
  <c r="R240" i="3" s="1"/>
  <c r="P304" i="3"/>
  <c r="Q304" i="3" s="1"/>
  <c r="R304" i="3" s="1"/>
  <c r="P297" i="3"/>
  <c r="Q297" i="3" s="1"/>
  <c r="R297" i="3" s="1"/>
  <c r="P233" i="3"/>
  <c r="Q233" i="3" s="1"/>
  <c r="R233" i="3" s="1"/>
  <c r="P234" i="3"/>
  <c r="Q234" i="3" s="1"/>
  <c r="R234" i="3" s="1"/>
  <c r="P235" i="3"/>
  <c r="Q235" i="3" s="1"/>
  <c r="R235" i="3" s="1"/>
  <c r="P236" i="3"/>
  <c r="Q236" i="3" s="1"/>
  <c r="R236" i="3" s="1"/>
  <c r="P237" i="3"/>
  <c r="Q237" i="3" s="1"/>
  <c r="R237" i="3" s="1"/>
  <c r="P238" i="3"/>
  <c r="Q238" i="3" s="1"/>
  <c r="R238" i="3" s="1"/>
  <c r="P291" i="3"/>
  <c r="Q291" i="3" s="1"/>
  <c r="R291" i="3" s="1"/>
  <c r="P293" i="3"/>
  <c r="Q293" i="3" s="1"/>
  <c r="R293" i="3" s="1"/>
  <c r="P294" i="3"/>
  <c r="Q294" i="3" s="1"/>
  <c r="R294" i="3" s="1"/>
  <c r="P288" i="3"/>
  <c r="Q288" i="3" s="1"/>
  <c r="R288" i="3" s="1"/>
  <c r="P289" i="3"/>
  <c r="P290" i="3"/>
  <c r="Q290" i="3" s="1"/>
  <c r="R290" i="3" s="1"/>
  <c r="P287" i="3"/>
  <c r="Q287" i="3" s="1"/>
  <c r="R287" i="3" s="1"/>
  <c r="P284" i="3"/>
  <c r="Q284" i="3" s="1"/>
  <c r="R284" i="3" s="1"/>
  <c r="P278" i="3"/>
  <c r="Q278" i="3" s="1"/>
  <c r="R278" i="3" s="1"/>
  <c r="P253" i="3"/>
  <c r="Q253" i="3" s="1"/>
  <c r="R253" i="3" s="1"/>
  <c r="P254" i="3"/>
  <c r="Q254" i="3" s="1"/>
  <c r="R254" i="3" s="1"/>
  <c r="P255" i="3"/>
  <c r="Q255" i="3" s="1"/>
  <c r="R255" i="3" s="1"/>
  <c r="P256" i="3"/>
  <c r="Q256" i="3" s="1"/>
  <c r="R256" i="3" s="1"/>
  <c r="P247" i="3"/>
  <c r="Q247" i="3" s="1"/>
  <c r="R247" i="3" s="1"/>
  <c r="P248" i="3"/>
  <c r="Q248" i="3" s="1"/>
  <c r="R248" i="3" s="1"/>
  <c r="P249" i="3"/>
  <c r="Q249" i="3" s="1"/>
  <c r="R249" i="3" s="1"/>
  <c r="P246" i="3"/>
  <c r="Q246" i="3" s="1"/>
  <c r="R246" i="3" s="1"/>
  <c r="P262" i="3"/>
  <c r="Q262" i="3" s="1"/>
  <c r="R262" i="3" s="1"/>
  <c r="P274" i="3"/>
  <c r="Q274" i="3" s="1"/>
  <c r="R274" i="3" s="1"/>
  <c r="P268" i="3"/>
  <c r="Q268" i="3" s="1"/>
  <c r="R268" i="3" s="1"/>
  <c r="P39" i="3"/>
  <c r="Q39" i="3" s="1"/>
  <c r="R39" i="3" s="1"/>
  <c r="P38" i="3"/>
  <c r="Q38" i="3" s="1"/>
  <c r="R38" i="3" s="1"/>
  <c r="P37" i="3"/>
  <c r="Q37" i="3" s="1"/>
  <c r="R37" i="3" s="1"/>
  <c r="P31" i="3"/>
  <c r="Q31" i="3" s="1"/>
  <c r="R31" i="3" s="1"/>
  <c r="P32" i="3"/>
  <c r="Q32" i="3" s="1"/>
  <c r="R32" i="3" s="1"/>
  <c r="P25" i="3"/>
  <c r="Q25" i="3" s="1"/>
  <c r="R25" i="3" s="1"/>
  <c r="P26" i="3"/>
  <c r="Q26" i="3" s="1"/>
  <c r="R26" i="3" s="1"/>
  <c r="P27" i="3"/>
  <c r="Q27" i="3" s="1"/>
  <c r="R27" i="3" s="1"/>
  <c r="P28" i="3"/>
  <c r="Q28" i="3" s="1"/>
  <c r="R28" i="3" s="1"/>
  <c r="P29" i="3"/>
  <c r="Q29" i="3" s="1"/>
  <c r="R29" i="3" s="1"/>
  <c r="P30" i="3"/>
  <c r="Q30" i="3" s="1"/>
  <c r="R30" i="3" s="1"/>
  <c r="P23" i="3"/>
  <c r="Q23" i="3" s="1"/>
  <c r="R23" i="3" s="1"/>
  <c r="P22" i="3"/>
  <c r="Q22" i="3" s="1"/>
  <c r="R22" i="3" s="1"/>
  <c r="P21" i="3"/>
  <c r="Q21" i="3" s="1"/>
  <c r="R21" i="3" s="1"/>
  <c r="Q4" i="3"/>
  <c r="R4" i="3" s="1"/>
  <c r="Q413" i="3" l="1"/>
  <c r="R413" i="3" s="1"/>
</calcChain>
</file>

<file path=xl/sharedStrings.xml><?xml version="1.0" encoding="utf-8"?>
<sst xmlns="http://schemas.openxmlformats.org/spreadsheetml/2006/main" count="11434" uniqueCount="2264">
  <si>
    <t>Account_No</t>
  </si>
  <si>
    <t>Name</t>
  </si>
  <si>
    <t>Address_1</t>
  </si>
  <si>
    <t>Address_2</t>
  </si>
  <si>
    <t>Address_3</t>
  </si>
  <si>
    <t>Description</t>
  </si>
  <si>
    <t>Service_Address</t>
  </si>
  <si>
    <t>State</t>
  </si>
  <si>
    <t>Zipcode</t>
  </si>
  <si>
    <t>CST_Class</t>
  </si>
  <si>
    <t>CurQtr</t>
  </si>
  <si>
    <t>1st_Qtr</t>
  </si>
  <si>
    <t>2nd_Qtr</t>
  </si>
  <si>
    <t>3rd_Qtr</t>
  </si>
  <si>
    <t>Total_Consump</t>
  </si>
  <si>
    <t>Billed_Date</t>
  </si>
  <si>
    <t>0Town of Avon</t>
  </si>
  <si>
    <t>60 W Main St</t>
  </si>
  <si>
    <t>Avon CT</t>
  </si>
  <si>
    <t>06001-3719</t>
  </si>
  <si>
    <t>60 West Main St  Bldg</t>
  </si>
  <si>
    <t>00687289Avon</t>
  </si>
  <si>
    <t>CT</t>
  </si>
  <si>
    <t>122921GA</t>
  </si>
  <si>
    <t>0Russell Speeders Car Wash</t>
  </si>
  <si>
    <t>7200 A Windsor Dr</t>
  </si>
  <si>
    <t>Allentown PA</t>
  </si>
  <si>
    <t>18106-9318</t>
  </si>
  <si>
    <t>265 West Main St - Ded</t>
  </si>
  <si>
    <t>00675266Avon</t>
  </si>
  <si>
    <t>COM</t>
  </si>
  <si>
    <t>265 West Main St - Pri</t>
  </si>
  <si>
    <t>00676253Avon</t>
  </si>
  <si>
    <t>021 Arch Rd Assoc Inc</t>
  </si>
  <si>
    <t>21 Arch Rd</t>
  </si>
  <si>
    <t>06001-4202</t>
  </si>
  <si>
    <t>00670857Avon</t>
  </si>
  <si>
    <t>0St Ann Church</t>
  </si>
  <si>
    <t>289 Arch Rd</t>
  </si>
  <si>
    <t>06001-4209</t>
  </si>
  <si>
    <t>00675306Avon</t>
  </si>
  <si>
    <t>0Farmington Valley Arts Center</t>
  </si>
  <si>
    <t>25 Arts Center Ln</t>
  </si>
  <si>
    <t>06001-3746</t>
  </si>
  <si>
    <t>25 Arts Center Lane</t>
  </si>
  <si>
    <t>00671199Avon</t>
  </si>
  <si>
    <t>0Farm.valley Arts Center</t>
  </si>
  <si>
    <t>27 Arts Center Ln</t>
  </si>
  <si>
    <t>27 Arts Center Lane</t>
  </si>
  <si>
    <t>00675174Avon</t>
  </si>
  <si>
    <t>0Robert Hensley &amp; Assoc</t>
  </si>
  <si>
    <t>10 Avon Meadow LN Ste 1</t>
  </si>
  <si>
    <t>06001-3737</t>
  </si>
  <si>
    <t>10 Avon Meadow Lane</t>
  </si>
  <si>
    <t>00671253Avon</t>
  </si>
  <si>
    <t>0Const Billing &amp; Financial Sv</t>
  </si>
  <si>
    <t>PO Box 1021</t>
  </si>
  <si>
    <t>06001-1021</t>
  </si>
  <si>
    <t>100 Avon Meadow Lane</t>
  </si>
  <si>
    <t>00671261Avon</t>
  </si>
  <si>
    <t>0Corridor Property Mgmt, LLC</t>
  </si>
  <si>
    <t>20 Avon Meadow Ln Ste 120</t>
  </si>
  <si>
    <t>06001-3731</t>
  </si>
  <si>
    <t>20 Avon Meadow Lane</t>
  </si>
  <si>
    <t>00671254Avon</t>
  </si>
  <si>
    <t>0ADN Properties, LLC</t>
  </si>
  <si>
    <t>30 Avon Meadow Lane</t>
  </si>
  <si>
    <t>00671255Avon</t>
  </si>
  <si>
    <t>0Paul Cryan</t>
  </si>
  <si>
    <t>40 Avon Meadow Ln</t>
  </si>
  <si>
    <t>06001-3794</t>
  </si>
  <si>
    <t>40 Avon Meadow Lane</t>
  </si>
  <si>
    <t>00671256Avon</t>
  </si>
  <si>
    <t>0Redfoot Reaty Holdings LLC</t>
  </si>
  <si>
    <t>50 Avon Meadow Lane</t>
  </si>
  <si>
    <t>00671257Avon</t>
  </si>
  <si>
    <t>0Carbray Properties LLC</t>
  </si>
  <si>
    <t>60 Avon Meadow Lane</t>
  </si>
  <si>
    <t>06001-2441</t>
  </si>
  <si>
    <t>00671258Avon</t>
  </si>
  <si>
    <t>0JBill LLC</t>
  </si>
  <si>
    <t>80 Avon Meadow Ln</t>
  </si>
  <si>
    <t>70/80 Avon Meadow Lane</t>
  </si>
  <si>
    <t>00671259Avon</t>
  </si>
  <si>
    <t>0Amtec</t>
  </si>
  <si>
    <t>90 Avon Meadow Ln</t>
  </si>
  <si>
    <t>90 Avon Meadow Lane</t>
  </si>
  <si>
    <t>00671260Avon</t>
  </si>
  <si>
    <t>0Avon Old Farms Hotel</t>
  </si>
  <si>
    <t>PO Box 1295</t>
  </si>
  <si>
    <t>06001-1295</t>
  </si>
  <si>
    <t>279 Avon Mountain Rd</t>
  </si>
  <si>
    <t>00675068Avon</t>
  </si>
  <si>
    <t>113021GA</t>
  </si>
  <si>
    <t>Po Box 1295</t>
  </si>
  <si>
    <t>279 Avon Mountain Rd -</t>
  </si>
  <si>
    <t>00675066Avon</t>
  </si>
  <si>
    <t>P.O. Box 1295</t>
  </si>
  <si>
    <t>00676890Avon</t>
  </si>
  <si>
    <t>279 Avon Mountain Rd P</t>
  </si>
  <si>
    <t>00675067Avon</t>
  </si>
  <si>
    <t>0Avon Hair Co.</t>
  </si>
  <si>
    <t>9 Avonwood Rd</t>
  </si>
  <si>
    <t>00671772Avon</t>
  </si>
  <si>
    <t>0Avon Veterinary Emergency.</t>
  </si>
  <si>
    <t>00671773Avon</t>
  </si>
  <si>
    <t>0John D'arcangelo</t>
  </si>
  <si>
    <t>J. Foster Ice Cream</t>
  </si>
  <si>
    <t>06001-3697</t>
  </si>
  <si>
    <t>4 Bailey Rd</t>
  </si>
  <si>
    <t>00670566Avon</t>
  </si>
  <si>
    <t>0Carriage Club</t>
  </si>
  <si>
    <t>Po Box 97</t>
  </si>
  <si>
    <t>06001-0097</t>
  </si>
  <si>
    <t>111 Brookmoor Rd</t>
  </si>
  <si>
    <t>00671803Avon</t>
  </si>
  <si>
    <t>111821GA</t>
  </si>
  <si>
    <t>0Griffin, Guild Llc</t>
  </si>
  <si>
    <t>5 Climax Rd</t>
  </si>
  <si>
    <t>06001-3605</t>
  </si>
  <si>
    <t>00670568Avon</t>
  </si>
  <si>
    <t>0Golf Club Of Avon</t>
  </si>
  <si>
    <t>160 Country Club Rd</t>
  </si>
  <si>
    <t>06001-2504</t>
  </si>
  <si>
    <t>00675340Avon</t>
  </si>
  <si>
    <t>0Brighenti Enterprises</t>
  </si>
  <si>
    <t>124 Simsbury Rd Ste 1B</t>
  </si>
  <si>
    <t>06001-4221</t>
  </si>
  <si>
    <t>296 Country Club Rd</t>
  </si>
  <si>
    <t>00671996Avon</t>
  </si>
  <si>
    <t>111921GA</t>
  </si>
  <si>
    <t>0Doggy-do's</t>
  </si>
  <si>
    <t>Unit B</t>
  </si>
  <si>
    <t>06001-2546</t>
  </si>
  <si>
    <t>00671998Avon</t>
  </si>
  <si>
    <t>0Cats Meow Resort</t>
  </si>
  <si>
    <t>300 Country Club Rd</t>
  </si>
  <si>
    <t>00671999Avon</t>
  </si>
  <si>
    <t>0Cafe Bela Vida</t>
  </si>
  <si>
    <t>300 Country Club Rd B</t>
  </si>
  <si>
    <t>00672001Avon</t>
  </si>
  <si>
    <t>0Briarcliff Swim Club</t>
  </si>
  <si>
    <t>107 Craigemore Cir</t>
  </si>
  <si>
    <t>06001-3418</t>
  </si>
  <si>
    <t>107 Craigemore Circle</t>
  </si>
  <si>
    <t>00675376Avon</t>
  </si>
  <si>
    <t>100521GA</t>
  </si>
  <si>
    <t>0Dr. Colleen Jambor</t>
  </si>
  <si>
    <t>33 Dale Rd Ste North</t>
  </si>
  <si>
    <t>06001-3612</t>
  </si>
  <si>
    <t>33 Dale Rd</t>
  </si>
  <si>
    <t>00670762Avon</t>
  </si>
  <si>
    <t>0Dr. Sioban Stephen</t>
  </si>
  <si>
    <t>00670763Avon</t>
  </si>
  <si>
    <t>040 Dale Rd LLC</t>
  </si>
  <si>
    <t>302 W Main St Ste 100</t>
  </si>
  <si>
    <t>06001-3681</t>
  </si>
  <si>
    <t>40 Dale Rd</t>
  </si>
  <si>
    <t>00675335Avon</t>
  </si>
  <si>
    <t>044 Dale Rd LLC</t>
  </si>
  <si>
    <t>302 W Main St #100</t>
  </si>
  <si>
    <t>44 Dale Rd</t>
  </si>
  <si>
    <t>00675337Avon</t>
  </si>
  <si>
    <t>0Avon Park So Ofc Ctr Assoc</t>
  </si>
  <si>
    <t>1 Darling Dr Suite 9</t>
  </si>
  <si>
    <t>06001-4244</t>
  </si>
  <si>
    <t>1 Darling Dr</t>
  </si>
  <si>
    <t>00670504Avon</t>
  </si>
  <si>
    <t>0Chapdelaine Ent LLC</t>
  </si>
  <si>
    <t>40 Darling Dr</t>
  </si>
  <si>
    <t>06001-4217</t>
  </si>
  <si>
    <t>00670506Avon</t>
  </si>
  <si>
    <t>0Legere Woodworking</t>
  </si>
  <si>
    <t>80 Darling Dr</t>
  </si>
  <si>
    <t>06001-1527</t>
  </si>
  <si>
    <t>00675218Avon</t>
  </si>
  <si>
    <t>0OFS Fitel, LLC</t>
  </si>
  <si>
    <t>55 Darling Dr</t>
  </si>
  <si>
    <t>06001-7243</t>
  </si>
  <si>
    <t>55 Darling Dr Cooling</t>
  </si>
  <si>
    <t>00675202Avon</t>
  </si>
  <si>
    <t>0Decapo Brick Oven Pizza</t>
  </si>
  <si>
    <t>Unit #1</t>
  </si>
  <si>
    <t>06001-3842</t>
  </si>
  <si>
    <t>1 East Main St</t>
  </si>
  <si>
    <t>00675044Avon</t>
  </si>
  <si>
    <t>010 E Main St Avon, LLC</t>
  </si>
  <si>
    <t>10 East Main St</t>
  </si>
  <si>
    <t>00675045Avon</t>
  </si>
  <si>
    <t>0Cherryfield Properties LLC</t>
  </si>
  <si>
    <t>26 Stonefield Rd</t>
  </si>
  <si>
    <t>20 East Main St</t>
  </si>
  <si>
    <t>00670575Avon</t>
  </si>
  <si>
    <t>0Flagman Of America</t>
  </si>
  <si>
    <t>Po Box 440</t>
  </si>
  <si>
    <t>06001-0440</t>
  </si>
  <si>
    <t>22 East Main St</t>
  </si>
  <si>
    <t>00670576Avon</t>
  </si>
  <si>
    <t>0Owl Hollow Realty</t>
  </si>
  <si>
    <t>15 Hickory Hill Rd</t>
  </si>
  <si>
    <t>06001-2806</t>
  </si>
  <si>
    <t>24 East Main St</t>
  </si>
  <si>
    <t>00670577Avon</t>
  </si>
  <si>
    <t>0Frank Pendergast Inc.</t>
  </si>
  <si>
    <t>PO Box 995</t>
  </si>
  <si>
    <t>28 East Main St</t>
  </si>
  <si>
    <t>00670580Avon</t>
  </si>
  <si>
    <t>050721GA</t>
  </si>
  <si>
    <t>0BAS Real Estate Holdings LLC</t>
  </si>
  <si>
    <t>032 East Main LLC</t>
  </si>
  <si>
    <t>32 East Main St</t>
  </si>
  <si>
    <t>00670929Avon</t>
  </si>
  <si>
    <t>0Gifts Of Love</t>
  </si>
  <si>
    <t>34 E Main St</t>
  </si>
  <si>
    <t>06001-3801</t>
  </si>
  <si>
    <t>34 East Main St</t>
  </si>
  <si>
    <t>00670930Avon</t>
  </si>
  <si>
    <t>0Avon Medical Professionals LLC</t>
  </si>
  <si>
    <t>36 E Main St</t>
  </si>
  <si>
    <t>36 East Main St</t>
  </si>
  <si>
    <t>00670586Avon</t>
  </si>
  <si>
    <t>0Applewoods Llc</t>
  </si>
  <si>
    <t>21 Waterville Rd</t>
  </si>
  <si>
    <t>06001-2097</t>
  </si>
  <si>
    <t>51 East Main St</t>
  </si>
  <si>
    <t>00675055Avon</t>
  </si>
  <si>
    <t>0Avon Properties LLC</t>
  </si>
  <si>
    <t>56 E Main St Ste 3</t>
  </si>
  <si>
    <t>06001-3806</t>
  </si>
  <si>
    <t>56 East Main St</t>
  </si>
  <si>
    <t>00670591Avon</t>
  </si>
  <si>
    <t>0Avon Properties, LLC</t>
  </si>
  <si>
    <t>60 East Main St</t>
  </si>
  <si>
    <t>00670592Avon</t>
  </si>
  <si>
    <t>0Avon Prop Holdings Llc</t>
  </si>
  <si>
    <t>75 E Main St</t>
  </si>
  <si>
    <t>06001-3805</t>
  </si>
  <si>
    <t>75 East Main St</t>
  </si>
  <si>
    <t>00670593Avon</t>
  </si>
  <si>
    <t>080 East Main Store, LLC</t>
  </si>
  <si>
    <t>80 East Main St</t>
  </si>
  <si>
    <t>00670594Avon</t>
  </si>
  <si>
    <t>0The Elephant Trail Rest.</t>
  </si>
  <si>
    <t>85 E. Main St</t>
  </si>
  <si>
    <t>85 East Main St</t>
  </si>
  <si>
    <t>00675054Avon</t>
  </si>
  <si>
    <t>51 East Main St - Dedu</t>
  </si>
  <si>
    <t>00675048Avon</t>
  </si>
  <si>
    <t>Ste 3</t>
  </si>
  <si>
    <t>70 East Main St - Dedu</t>
  </si>
  <si>
    <t>00675052Avon</t>
  </si>
  <si>
    <t>0Maxamia</t>
  </si>
  <si>
    <t>70 E Main St</t>
  </si>
  <si>
    <t>00675053Avon</t>
  </si>
  <si>
    <t>51 East Main St - Prim</t>
  </si>
  <si>
    <t>00676764Avon</t>
  </si>
  <si>
    <t>70 East Main St- Prima</t>
  </si>
  <si>
    <t>00676420Avon</t>
  </si>
  <si>
    <t>0United States Postal Service</t>
  </si>
  <si>
    <t>15 Enford St</t>
  </si>
  <si>
    <t>06001-9998</t>
  </si>
  <si>
    <t>00670953Avon</t>
  </si>
  <si>
    <t>0Apn Associates</t>
  </si>
  <si>
    <t>200 Fisher Dr</t>
  </si>
  <si>
    <t>06001-3739</t>
  </si>
  <si>
    <t>00675170Avon</t>
  </si>
  <si>
    <t>0Farmington Academy Inc</t>
  </si>
  <si>
    <t>150 Fisher Dr</t>
  </si>
  <si>
    <t>06001-4704</t>
  </si>
  <si>
    <t>150 Fisher Dr  - Deduc</t>
  </si>
  <si>
    <t>00675168Avon</t>
  </si>
  <si>
    <t>150 Fisher Dr - Primar</t>
  </si>
  <si>
    <t>00676203Avon</t>
  </si>
  <si>
    <t>0Tim Wheeler</t>
  </si>
  <si>
    <t>20 Industrial Drive</t>
  </si>
  <si>
    <t>00675112Avon</t>
  </si>
  <si>
    <t>0Connemara Court Alsop</t>
  </si>
  <si>
    <t>27 Nod Rd</t>
  </si>
  <si>
    <t>00670779Avon</t>
  </si>
  <si>
    <t>0Connemara Court, LLC</t>
  </si>
  <si>
    <t>35 Nod Rd</t>
  </si>
  <si>
    <t>00675058Avon</t>
  </si>
  <si>
    <t>0Blue Fox Run - Clubhouse</t>
  </si>
  <si>
    <t>65 Nod Rd</t>
  </si>
  <si>
    <t>65 Nod Rd - Deduct Mtr</t>
  </si>
  <si>
    <t>00670781Avon</t>
  </si>
  <si>
    <t>0Connemara Court</t>
  </si>
  <si>
    <t>45 Nod Rd - Deduct Mtr</t>
  </si>
  <si>
    <t>00675060Avon</t>
  </si>
  <si>
    <t>0Nod Properties LLC</t>
  </si>
  <si>
    <t>55 Nod Rd - Deduct Mtr</t>
  </si>
  <si>
    <t>00675063Avon</t>
  </si>
  <si>
    <t>0Connemara Court LLC</t>
  </si>
  <si>
    <t>45 Nod Rd - Primary Mt</t>
  </si>
  <si>
    <t>00676227Avon</t>
  </si>
  <si>
    <t>0Nod Properties Llc</t>
  </si>
  <si>
    <t>55 Nod Rd - Primary Mt</t>
  </si>
  <si>
    <t>00676771Avon</t>
  </si>
  <si>
    <t>0Blue Fox Run - Maint Barn</t>
  </si>
  <si>
    <t>65 Nod Rd -Primary Mtr</t>
  </si>
  <si>
    <t>00676494Avon</t>
  </si>
  <si>
    <t>0Stephen Brighenti</t>
  </si>
  <si>
    <t>Po Box 407</t>
  </si>
  <si>
    <t>06001-0407</t>
  </si>
  <si>
    <t>14 Old Farms Rd</t>
  </si>
  <si>
    <t>00670806Avon</t>
  </si>
  <si>
    <t>032621GA</t>
  </si>
  <si>
    <t>0Rachel M Coogan</t>
  </si>
  <si>
    <t>0Jennifer Centofanti</t>
  </si>
  <si>
    <t>174 Old Farms Rd</t>
  </si>
  <si>
    <t>06001-2243</t>
  </si>
  <si>
    <t>00675107Avon</t>
  </si>
  <si>
    <t>0Avon Self-Storage</t>
  </si>
  <si>
    <t>190 Old Farms Rd</t>
  </si>
  <si>
    <t>00670846Avon</t>
  </si>
  <si>
    <t>0Pr.thomas Savoy Soc.</t>
  </si>
  <si>
    <t>32 Old Farms Rd</t>
  </si>
  <si>
    <t>06001-4225</t>
  </si>
  <si>
    <t>26 Old Farms Rd</t>
  </si>
  <si>
    <t>00670813Avon</t>
  </si>
  <si>
    <t>0Neriani Surveying</t>
  </si>
  <si>
    <t>Po Box 1203</t>
  </si>
  <si>
    <t>06001-1203</t>
  </si>
  <si>
    <t>31-35 Old Farms Rd</t>
  </si>
  <si>
    <t>00670815Avon</t>
  </si>
  <si>
    <t>00670816Avon</t>
  </si>
  <si>
    <t>6 Old Farms Rd</t>
  </si>
  <si>
    <t>00670804Avon</t>
  </si>
  <si>
    <t>0Cornerstone Landing</t>
  </si>
  <si>
    <t>PO Box 198</t>
  </si>
  <si>
    <t>06001-0198</t>
  </si>
  <si>
    <t>205 Old Farms Rd A Hou</t>
  </si>
  <si>
    <t>00816700Avon</t>
  </si>
  <si>
    <t>205 Old Farms Rd B</t>
  </si>
  <si>
    <t>00816735Avon</t>
  </si>
  <si>
    <t>0Hop Meadow Brewing Co.</t>
  </si>
  <si>
    <t>205 Old Farms Rd C</t>
  </si>
  <si>
    <t>00816789Avon</t>
  </si>
  <si>
    <t>0My Dog's Daycare Llc</t>
  </si>
  <si>
    <t>18 Sandscreen Rd</t>
  </si>
  <si>
    <t>06001-2222</t>
  </si>
  <si>
    <t>00670875Avon</t>
  </si>
  <si>
    <t>0Car Biz</t>
  </si>
  <si>
    <t>5 W Main St</t>
  </si>
  <si>
    <t>06001-3717</t>
  </si>
  <si>
    <t>19 Sandscreen Rd</t>
  </si>
  <si>
    <t>00670876Avon</t>
  </si>
  <si>
    <t>0Ronald Barnett</t>
  </si>
  <si>
    <t>331 Waterville Rd</t>
  </si>
  <si>
    <t>06001-2433</t>
  </si>
  <si>
    <t>41 Sandscreen Rd</t>
  </si>
  <si>
    <t>00670886Avon</t>
  </si>
  <si>
    <t>121621GA</t>
  </si>
  <si>
    <t>041 Sandscreen, LLC</t>
  </si>
  <si>
    <t>0General Dynamics</t>
  </si>
  <si>
    <t>Po Box 576</t>
  </si>
  <si>
    <t>06001-0576</t>
  </si>
  <si>
    <t>65 Sandscreen Rd</t>
  </si>
  <si>
    <t>00670887Avon</t>
  </si>
  <si>
    <t>0Brightview of Avon</t>
  </si>
  <si>
    <t>220 Scoville Rd</t>
  </si>
  <si>
    <t>06001-2515</t>
  </si>
  <si>
    <t>00675347Avon</t>
  </si>
  <si>
    <t>0Norwich Commercial Grp Inc</t>
  </si>
  <si>
    <t>P.o. Box 1622</t>
  </si>
  <si>
    <t>06001-1622</t>
  </si>
  <si>
    <t>38 Security Dr - Deduc</t>
  </si>
  <si>
    <t>00675196Avon</t>
  </si>
  <si>
    <t>0Norwich Commercial Group Inc</t>
  </si>
  <si>
    <t>PO Box 1622</t>
  </si>
  <si>
    <t>38 Security Dr - Prima</t>
  </si>
  <si>
    <t>00676222Avon</t>
  </si>
  <si>
    <t>0Northwest Community Bank</t>
  </si>
  <si>
    <t>101 Simsbury Rd</t>
  </si>
  <si>
    <t>06001-3715</t>
  </si>
  <si>
    <t>00671212Avon</t>
  </si>
  <si>
    <t>0Avon Office Commons Assoc.</t>
  </si>
  <si>
    <t>111 Simsbury Rd</t>
  </si>
  <si>
    <t>06001-3785</t>
  </si>
  <si>
    <t>00671213Avon</t>
  </si>
  <si>
    <t>0Commercial Prop Adv Llc</t>
  </si>
  <si>
    <t>Bldg 9</t>
  </si>
  <si>
    <t>06001-3777</t>
  </si>
  <si>
    <t>120 Simsbury Rd</t>
  </si>
  <si>
    <t>00671214Avon</t>
  </si>
  <si>
    <t>00675131Avon</t>
  </si>
  <si>
    <t>0Ekkalak Thai Cuisine</t>
  </si>
  <si>
    <t>136 Simsbury Rd B</t>
  </si>
  <si>
    <t>136 Simsbury Rd</t>
  </si>
  <si>
    <t>00671222Avon</t>
  </si>
  <si>
    <t>071921GA</t>
  </si>
  <si>
    <t>0Toshi Japanese Restaurant</t>
  </si>
  <si>
    <t>136 Simsbury Rd Ste 4C</t>
  </si>
  <si>
    <t>06001-3760</t>
  </si>
  <si>
    <t>00671223Avon</t>
  </si>
  <si>
    <t>0RSB78 LLC</t>
  </si>
  <si>
    <t>00671224Avon</t>
  </si>
  <si>
    <t>0Somewhere in Bangkok</t>
  </si>
  <si>
    <t>0Riverdale Farms</t>
  </si>
  <si>
    <t>124 Simsbury Rd Ste 1A</t>
  </si>
  <si>
    <t>06001-3743</t>
  </si>
  <si>
    <t>138 Simsbury Rd</t>
  </si>
  <si>
    <t>00671233Avon</t>
  </si>
  <si>
    <t>0The Lime Bar</t>
  </si>
  <si>
    <t>00671234Avon</t>
  </si>
  <si>
    <t>0New Eng Guild Wealth Adv.</t>
  </si>
  <si>
    <t>139 Simsbury Rd</t>
  </si>
  <si>
    <t>00671235Avon</t>
  </si>
  <si>
    <t>090821GA</t>
  </si>
  <si>
    <t>0DH 139 Simsbury Rd LLC</t>
  </si>
  <si>
    <t>Po Box 1622</t>
  </si>
  <si>
    <t>0Avon Clock &amp; Lighting</t>
  </si>
  <si>
    <t>144 Simsbury Rd Ste 7A</t>
  </si>
  <si>
    <t>06001-3736</t>
  </si>
  <si>
    <t>144 Simsbury Rd</t>
  </si>
  <si>
    <t>00671239Avon</t>
  </si>
  <si>
    <t>146 Simsbury Rd</t>
  </si>
  <si>
    <t>00671241Avon</t>
  </si>
  <si>
    <t>0Avon Wines &amp; Spirits</t>
  </si>
  <si>
    <t>00671238Avon</t>
  </si>
  <si>
    <t>0Riverdale Farms (Foresight)</t>
  </si>
  <si>
    <t>152 Simsbury Rd</t>
  </si>
  <si>
    <t>00671242Avon</t>
  </si>
  <si>
    <t>0Riverdale Farms (offices)</t>
  </si>
  <si>
    <t>Ste 1a</t>
  </si>
  <si>
    <t>00671243Avon</t>
  </si>
  <si>
    <t>0Koster Family Chiropractic</t>
  </si>
  <si>
    <t>Ste 12e</t>
  </si>
  <si>
    <t>00671252Avon</t>
  </si>
  <si>
    <t>0BAM PT and Wellness Center</t>
  </si>
  <si>
    <t>152 Simsbury Rd 9K</t>
  </si>
  <si>
    <t>00671246Avon</t>
  </si>
  <si>
    <t>0Lux Hair Co.</t>
  </si>
  <si>
    <t>152 R Simsbury Rd Unit 9H</t>
  </si>
  <si>
    <t>00671248Avon</t>
  </si>
  <si>
    <t>093021GA</t>
  </si>
  <si>
    <t>0Riverdale Farms (#19 Irr)</t>
  </si>
  <si>
    <t>152 Simsbury Rd - #19</t>
  </si>
  <si>
    <t>00671251Avon</t>
  </si>
  <si>
    <t>0Riverdale Farms (irr#3)</t>
  </si>
  <si>
    <t>Ste 1-a</t>
  </si>
  <si>
    <t>140 Simsbury Rd - #3 -</t>
  </si>
  <si>
    <t>00675134Avon</t>
  </si>
  <si>
    <t>146 Simsbury Rd - #7 I</t>
  </si>
  <si>
    <t>00675135Avon</t>
  </si>
  <si>
    <t>0Riverdale Farms -(#9 Irr)</t>
  </si>
  <si>
    <t>152 Simsbury Rd - #9 -</t>
  </si>
  <si>
    <t>00671249Avon</t>
  </si>
  <si>
    <t>0Riverdale Farms Irr 14</t>
  </si>
  <si>
    <t>136 Simsbury Rd - Bld</t>
  </si>
  <si>
    <t>00671230Avon</t>
  </si>
  <si>
    <t>06001-3788</t>
  </si>
  <si>
    <t>100 Simsbury Rd - Dedu</t>
  </si>
  <si>
    <t>00675126Avon</t>
  </si>
  <si>
    <t>0The Residence At Brookside</t>
  </si>
  <si>
    <t>117 Simsbury Rd</t>
  </si>
  <si>
    <t>117 Simsbury Rd - Dedu</t>
  </si>
  <si>
    <t>00675129Avon</t>
  </si>
  <si>
    <t>0Riverdale Farms IR #6</t>
  </si>
  <si>
    <t>136 Simsbury Rd - IRR</t>
  </si>
  <si>
    <t>00675133Avon</t>
  </si>
  <si>
    <t>0Brighenti Family Wellness</t>
  </si>
  <si>
    <t>100 Simsbury Rd - Prim</t>
  </si>
  <si>
    <t>00676914Avon</t>
  </si>
  <si>
    <t>117 Simsbury Rd - prim</t>
  </si>
  <si>
    <t>00676236Avon</t>
  </si>
  <si>
    <t>0Brownbear And Owl Holistic LLC</t>
  </si>
  <si>
    <t>124 Simsbury Rd 2-B</t>
  </si>
  <si>
    <t>136 Simsbury Rd (2A)</t>
  </si>
  <si>
    <t>00671219Avon</t>
  </si>
  <si>
    <t>121021GA</t>
  </si>
  <si>
    <t>0Riverdale Farms (bld 5A)</t>
  </si>
  <si>
    <t>136 Simsbury Rd (bldg</t>
  </si>
  <si>
    <t>00671216Avon</t>
  </si>
  <si>
    <t>101221GA</t>
  </si>
  <si>
    <t>0Elizabeth Nicole Wake Studio</t>
  </si>
  <si>
    <t>136 Simsbury Rd (bldg 5A)</t>
  </si>
  <si>
    <t>0Creative Development LLC</t>
  </si>
  <si>
    <t>136 Simsbury Rd 5B</t>
  </si>
  <si>
    <t>00671215Avon</t>
  </si>
  <si>
    <t>124 Simsbury Road Ste 1A</t>
  </si>
  <si>
    <t>041321GA</t>
  </si>
  <si>
    <t>152 Simsbury Rd Bathro</t>
  </si>
  <si>
    <t>00671244Avon</t>
  </si>
  <si>
    <t>0Body Over Bike</t>
  </si>
  <si>
    <t>124 Simsbury Rd U 5A</t>
  </si>
  <si>
    <t>136 Simsbury Rd Bld 16</t>
  </si>
  <si>
    <t>00671228Avon</t>
  </si>
  <si>
    <t>0Riverdale Farms (bld 14 Apt.)</t>
  </si>
  <si>
    <t>136 Simsbury Rd Bldg 1</t>
  </si>
  <si>
    <t>00671225Avon</t>
  </si>
  <si>
    <t>00671226Avon</t>
  </si>
  <si>
    <t>00671227Avon</t>
  </si>
  <si>
    <t>0Riverdale Farms (Bakery)</t>
  </si>
  <si>
    <t>124 Simsbury Rd Ste 12G</t>
  </si>
  <si>
    <t>00671229Avon</t>
  </si>
  <si>
    <t>124 Simsbury Rd 1A</t>
  </si>
  <si>
    <t>136 Simsbury Rd Bldg 4</t>
  </si>
  <si>
    <t>00671217Avon</t>
  </si>
  <si>
    <t>0Little City Pizza</t>
  </si>
  <si>
    <t>124 Simsbury Rd bldg 9J</t>
  </si>
  <si>
    <t>152 Simsbury Rd bldg 9</t>
  </si>
  <si>
    <t>00671245Avon</t>
  </si>
  <si>
    <t>136 Simsbury Rd Ste 2B</t>
  </si>
  <si>
    <t>00671221Avon</t>
  </si>
  <si>
    <t>0ENE Realty Assoc., Llc</t>
  </si>
  <si>
    <t>30 Tower Ln</t>
  </si>
  <si>
    <t>06001-4259</t>
  </si>
  <si>
    <t>20 Tower Lane CGFM Tow</t>
  </si>
  <si>
    <t>00675181Avon</t>
  </si>
  <si>
    <t>040 Tower Lane, LLC</t>
  </si>
  <si>
    <t>30 Tower Lane</t>
  </si>
  <si>
    <t>40 Tower Lane Prim</t>
  </si>
  <si>
    <t>00675184Avon</t>
  </si>
  <si>
    <t>0ENE Realty Assoc</t>
  </si>
  <si>
    <t>10 Tower Lane The Offi</t>
  </si>
  <si>
    <t>00675180Avon</t>
  </si>
  <si>
    <t>0ENE Realty Assoc LLC</t>
  </si>
  <si>
    <t>30 Tower Lane The Offi</t>
  </si>
  <si>
    <t>00675182Avon</t>
  </si>
  <si>
    <t>0Secure Financial Properties,</t>
  </si>
  <si>
    <t>7 Towpath Ln</t>
  </si>
  <si>
    <t>06001-2046</t>
  </si>
  <si>
    <t>7 Towpath Lane</t>
  </si>
  <si>
    <t>00670595Avon</t>
  </si>
  <si>
    <t>0172 West Main LLC</t>
  </si>
  <si>
    <t>30 Tower Ln Ste 115</t>
  </si>
  <si>
    <t>172 W Main St Prud Bld</t>
  </si>
  <si>
    <t>00676243Avon</t>
  </si>
  <si>
    <t>0Donna A Finn</t>
  </si>
  <si>
    <t>2 Highland Sq</t>
  </si>
  <si>
    <t>9 Waterside Ct</t>
  </si>
  <si>
    <t>00671203Avon</t>
  </si>
  <si>
    <t>0Twenty Nine Waterville LLC</t>
  </si>
  <si>
    <t>29 Waterville Rd</t>
  </si>
  <si>
    <t>00670775Avon</t>
  </si>
  <si>
    <t>0La Falce, Campbell &amp; Robin Inc</t>
  </si>
  <si>
    <t>3 Waterville Rd</t>
  </si>
  <si>
    <t>00670772Avon</t>
  </si>
  <si>
    <t>0Path LLC</t>
  </si>
  <si>
    <t>40 Waterville Rd</t>
  </si>
  <si>
    <t>06001-2042</t>
  </si>
  <si>
    <t>00670778Avon</t>
  </si>
  <si>
    <t>0Botanicals Day Spa</t>
  </si>
  <si>
    <t>7 Waterville Rd</t>
  </si>
  <si>
    <t>06001-2039</t>
  </si>
  <si>
    <t>9 Waterville Rd</t>
  </si>
  <si>
    <t>00670773Avon</t>
  </si>
  <si>
    <t>0Waterville Rd LLC</t>
  </si>
  <si>
    <t>06001-4278</t>
  </si>
  <si>
    <t>22 Waterville Rd - Ded</t>
  </si>
  <si>
    <t>00675073Avon</t>
  </si>
  <si>
    <t>22 Waterville Rd - Pri</t>
  </si>
  <si>
    <t>00676898Avon</t>
  </si>
  <si>
    <t>0Dr.Timothy Owens, LLC</t>
  </si>
  <si>
    <t>12 W Avon Rd</t>
  </si>
  <si>
    <t>06001-3583</t>
  </si>
  <si>
    <t>12 West Avon Rd</t>
  </si>
  <si>
    <t>00670642Avon</t>
  </si>
  <si>
    <t>0Avon Dental Group</t>
  </si>
  <si>
    <t>20 W Avon Rd, Ste 101</t>
  </si>
  <si>
    <t>20 West Avon Rd</t>
  </si>
  <si>
    <t>00670644Avon</t>
  </si>
  <si>
    <t>0Your Corner Store, LLC</t>
  </si>
  <si>
    <t>395 W Avon Rd</t>
  </si>
  <si>
    <t>06001-2200</t>
  </si>
  <si>
    <t>395 West Avon Rd</t>
  </si>
  <si>
    <t>00671988Avon</t>
  </si>
  <si>
    <t>Ste 1b</t>
  </si>
  <si>
    <t>00671989Avon</t>
  </si>
  <si>
    <t>0Luke's Donut Shop</t>
  </si>
  <si>
    <t>00671990Avon</t>
  </si>
  <si>
    <t>00671991Avon</t>
  </si>
  <si>
    <t>00671993Avon</t>
  </si>
  <si>
    <t>00671992Avon</t>
  </si>
  <si>
    <t>0Pooh's Corner Realty, LLC</t>
  </si>
  <si>
    <t>176 Stagecoach Rd</t>
  </si>
  <si>
    <t>06001-0904</t>
  </si>
  <si>
    <t>40 West Avon Rd</t>
  </si>
  <si>
    <t>00670645Avon</t>
  </si>
  <si>
    <t>061621GA</t>
  </si>
  <si>
    <t>0Mobil R B Market</t>
  </si>
  <si>
    <t>441 W Avon Rd</t>
  </si>
  <si>
    <t>06001-2520</t>
  </si>
  <si>
    <t>441 West Avon Rd</t>
  </si>
  <si>
    <t>00672255Avon</t>
  </si>
  <si>
    <t>0Valley Community Baptist Churc</t>
  </si>
  <si>
    <t>590 W Avon Rd</t>
  </si>
  <si>
    <t>06001-2905</t>
  </si>
  <si>
    <t>590 West Avon Rd</t>
  </si>
  <si>
    <t>00672274Avon</t>
  </si>
  <si>
    <t>0Valley Com. Baptist Church</t>
  </si>
  <si>
    <t>00672275Avon</t>
  </si>
  <si>
    <t>0Avon Convalescent Home Irrigat</t>
  </si>
  <si>
    <t>652 West Avon Rd</t>
  </si>
  <si>
    <t>06001-2906</t>
  </si>
  <si>
    <t>652 West Avon Rd - Ded</t>
  </si>
  <si>
    <t>00675328Avon</t>
  </si>
  <si>
    <t>101521GA</t>
  </si>
  <si>
    <t>0Puerto Vallarta Resturant</t>
  </si>
  <si>
    <t>15 W Avon Rd</t>
  </si>
  <si>
    <t>06001-3532</t>
  </si>
  <si>
    <t>15 West Avon Rd - Prim</t>
  </si>
  <si>
    <t>00676258Avon</t>
  </si>
  <si>
    <t>0Avon Convalescent Home</t>
  </si>
  <si>
    <t>652 West Avon Rd - Pri</t>
  </si>
  <si>
    <t>00676273Avon</t>
  </si>
  <si>
    <t>0Icon Salon</t>
  </si>
  <si>
    <t>Unit #3</t>
  </si>
  <si>
    <t>427 West Avon Rd Unit</t>
  </si>
  <si>
    <t>00672251Avon</t>
  </si>
  <si>
    <t>0Lovely Nails &amp;Spa LLC</t>
  </si>
  <si>
    <t>427 West Avon Rd Unit 4</t>
  </si>
  <si>
    <t>00672252Avon</t>
  </si>
  <si>
    <t>0Cheers2u</t>
  </si>
  <si>
    <t>Ste #5</t>
  </si>
  <si>
    <t>00672253Avon</t>
  </si>
  <si>
    <t>0The Masters Corp</t>
  </si>
  <si>
    <t>P.O. Box 1037</t>
  </si>
  <si>
    <t>06001-1037</t>
  </si>
  <si>
    <t>11 West Main St</t>
  </si>
  <si>
    <t>00670510Avon</t>
  </si>
  <si>
    <t>0Marlene Jung Assoc</t>
  </si>
  <si>
    <t>112 W Main St</t>
  </si>
  <si>
    <t>06001-4339</t>
  </si>
  <si>
    <t>112 West Main St</t>
  </si>
  <si>
    <t>00670539Avon</t>
  </si>
  <si>
    <t>0Avon Cong Church</t>
  </si>
  <si>
    <t>6 W Main St</t>
  </si>
  <si>
    <t>06001-3764</t>
  </si>
  <si>
    <t>12 West Main St</t>
  </si>
  <si>
    <t>00670511Avon</t>
  </si>
  <si>
    <t>0Mgn Co LLC</t>
  </si>
  <si>
    <t>71 Cheltenham Way</t>
  </si>
  <si>
    <t>06001-2445</t>
  </si>
  <si>
    <t>16 West Main St</t>
  </si>
  <si>
    <t>00670514Avon</t>
  </si>
  <si>
    <t>100721GA</t>
  </si>
  <si>
    <t>0F &amp; L Associates</t>
  </si>
  <si>
    <t>Po Box 748</t>
  </si>
  <si>
    <t>06001-0748</t>
  </si>
  <si>
    <t>166 West Main St</t>
  </si>
  <si>
    <t>00670540Avon</t>
  </si>
  <si>
    <t>017 W Main St Assoc LLC</t>
  </si>
  <si>
    <t>17 W Main St</t>
  </si>
  <si>
    <t>17 West Main St</t>
  </si>
  <si>
    <t>00670515Avon</t>
  </si>
  <si>
    <t>0Stephan Brothers Realty</t>
  </si>
  <si>
    <t>177 W Main St</t>
  </si>
  <si>
    <t>06001-3670</t>
  </si>
  <si>
    <t>177 West Main St</t>
  </si>
  <si>
    <t>00675251Avon</t>
  </si>
  <si>
    <t>0Rosie's Laundry</t>
  </si>
  <si>
    <t>192 West Main St</t>
  </si>
  <si>
    <t>00675252Avon</t>
  </si>
  <si>
    <t>0Four Square Associates</t>
  </si>
  <si>
    <t>195 W Main St</t>
  </si>
  <si>
    <t>06001-3685</t>
  </si>
  <si>
    <t>195 West Main St</t>
  </si>
  <si>
    <t>00675253Avon</t>
  </si>
  <si>
    <t>0MAG LLC</t>
  </si>
  <si>
    <t>20 West Main St</t>
  </si>
  <si>
    <t>00670516Avon</t>
  </si>
  <si>
    <t>0The Coffee Trade Inc</t>
  </si>
  <si>
    <t>21 W Main St</t>
  </si>
  <si>
    <t>21 West Main St</t>
  </si>
  <si>
    <t>00670517Avon</t>
  </si>
  <si>
    <t>0Deepwater Lobster</t>
  </si>
  <si>
    <t>210 W Main St</t>
  </si>
  <si>
    <t>06001-3638</t>
  </si>
  <si>
    <t>210 West Main St</t>
  </si>
  <si>
    <t>00670546Avon</t>
  </si>
  <si>
    <t>0M R Liquors</t>
  </si>
  <si>
    <t>214 W Main St</t>
  </si>
  <si>
    <t>214 West Main St</t>
  </si>
  <si>
    <t>00670548Avon</t>
  </si>
  <si>
    <t>0First &amp; Last Tavern, Avon</t>
  </si>
  <si>
    <t>Po Box 507</t>
  </si>
  <si>
    <t>06001-0507</t>
  </si>
  <si>
    <t>24 West Main St</t>
  </si>
  <si>
    <t>00675032Avon</t>
  </si>
  <si>
    <t>0290 Clipper Center LLC</t>
  </si>
  <si>
    <t>Po Box 1322</t>
  </si>
  <si>
    <t>06001-1322</t>
  </si>
  <si>
    <t>290 West Main St</t>
  </si>
  <si>
    <t>00675267Avon</t>
  </si>
  <si>
    <t>0O'Neill Chevrolet &amp; Buick</t>
  </si>
  <si>
    <t>PO Box A</t>
  </si>
  <si>
    <t>06001-0301</t>
  </si>
  <si>
    <t>3 West Main St</t>
  </si>
  <si>
    <t>00670507Avon</t>
  </si>
  <si>
    <t>0Fish Enterprises</t>
  </si>
  <si>
    <t>PO Box 665</t>
  </si>
  <si>
    <t>06001-0665</t>
  </si>
  <si>
    <t>302 West Main St</t>
  </si>
  <si>
    <t>00675271Avon</t>
  </si>
  <si>
    <t>0Schwabs Super Cellar Liquors,</t>
  </si>
  <si>
    <t>332 West Main St</t>
  </si>
  <si>
    <t>00670559Avon</t>
  </si>
  <si>
    <t>0Market Place Kitchen &amp; Bar</t>
  </si>
  <si>
    <t>336 West Main St</t>
  </si>
  <si>
    <t>06001-3643</t>
  </si>
  <si>
    <t>00670560Avon</t>
  </si>
  <si>
    <t>0Sport Clips</t>
  </si>
  <si>
    <t>385 West Main St</t>
  </si>
  <si>
    <t>06001-4357</t>
  </si>
  <si>
    <t>00670563Avon</t>
  </si>
  <si>
    <t>0Liki Sushi</t>
  </si>
  <si>
    <t>385 W Main St Ste 3</t>
  </si>
  <si>
    <t>00670564Avon</t>
  </si>
  <si>
    <t>0Nova Center Co.</t>
  </si>
  <si>
    <t>195 W Main St, Ste 2</t>
  </si>
  <si>
    <t>395 West Main St</t>
  </si>
  <si>
    <t>00675302Avon</t>
  </si>
  <si>
    <t>0Vrakas LLC</t>
  </si>
  <si>
    <t>401 W Main St</t>
  </si>
  <si>
    <t>06001-3647</t>
  </si>
  <si>
    <t>401 West Main St</t>
  </si>
  <si>
    <t>00675304Avon</t>
  </si>
  <si>
    <t>0Smart Foods of Avon Inc</t>
  </si>
  <si>
    <t>411 West Main St</t>
  </si>
  <si>
    <t>00670761Avon</t>
  </si>
  <si>
    <t>0Drew &amp; Cohen</t>
  </si>
  <si>
    <t>47 W Main St</t>
  </si>
  <si>
    <t>06001-4706</t>
  </si>
  <si>
    <t>47 West Main St</t>
  </si>
  <si>
    <t>00670531Avon</t>
  </si>
  <si>
    <t>0Avon Central LLC</t>
  </si>
  <si>
    <t>49 West Main St</t>
  </si>
  <si>
    <t>00670527Avon</t>
  </si>
  <si>
    <t>0O'Neill's Chevy &amp; Buick Inc</t>
  </si>
  <si>
    <t>Po Box A</t>
  </si>
  <si>
    <t>5 West Main St</t>
  </si>
  <si>
    <t>00675030Avon</t>
  </si>
  <si>
    <t>24 West Main St - Dedu</t>
  </si>
  <si>
    <t>00675034Avon</t>
  </si>
  <si>
    <t>06001-4231</t>
  </si>
  <si>
    <t>172 West Main St - Ded</t>
  </si>
  <si>
    <t>00675250Avon</t>
  </si>
  <si>
    <t>0Green Bamboo</t>
  </si>
  <si>
    <t>255 West Main St - Deduct Mtr</t>
  </si>
  <si>
    <t>255 West Main St - Ded</t>
  </si>
  <si>
    <t>00670554Avon</t>
  </si>
  <si>
    <t>062121GA</t>
  </si>
  <si>
    <t>0Shu Express</t>
  </si>
  <si>
    <t>43 West Main St - Primary</t>
  </si>
  <si>
    <t>43 West Main St - IRR</t>
  </si>
  <si>
    <t>00670530Avon</t>
  </si>
  <si>
    <t>43 West Main St - Prim</t>
  </si>
  <si>
    <t>00676477Avon</t>
  </si>
  <si>
    <t>24 West Main St - Prim</t>
  </si>
  <si>
    <t>00676758Avon</t>
  </si>
  <si>
    <t>0Battiston's Cleaners</t>
  </si>
  <si>
    <t>369 W Main St</t>
  </si>
  <si>
    <t>06001-3675</t>
  </si>
  <si>
    <t>369 West Main St - Pri</t>
  </si>
  <si>
    <t>00676278Avon</t>
  </si>
  <si>
    <t>0E &amp; D Pizza Co LLC</t>
  </si>
  <si>
    <t>200 West Main St Unit B</t>
  </si>
  <si>
    <t>200 West Main St B</t>
  </si>
  <si>
    <t>00680773Avon</t>
  </si>
  <si>
    <t>0Clinton Jambor</t>
  </si>
  <si>
    <t>97 Springwood Lane</t>
  </si>
  <si>
    <t>Bloomfield CT</t>
  </si>
  <si>
    <t>06002-1162</t>
  </si>
  <si>
    <t>22 Dale Rd</t>
  </si>
  <si>
    <t>00732152Avon</t>
  </si>
  <si>
    <t>0Avon Country Deli LLC</t>
  </si>
  <si>
    <t>48 Duncaster Rd</t>
  </si>
  <si>
    <t>092921GA</t>
  </si>
  <si>
    <t>0Avon Business Park, LLC</t>
  </si>
  <si>
    <t>85 E. India Row, Unit 39F</t>
  </si>
  <si>
    <t>Boston MA</t>
  </si>
  <si>
    <t>21 Industrial Drive</t>
  </si>
  <si>
    <t>00675105Avon</t>
  </si>
  <si>
    <t>0Nod Brook, Llc (bakerdoz)</t>
  </si>
  <si>
    <t>800 Boylston St, #1300</t>
  </si>
  <si>
    <t>315 West Main St</t>
  </si>
  <si>
    <t>00670753Avon</t>
  </si>
  <si>
    <t>0Nod Brook, Llc (top Nail)</t>
  </si>
  <si>
    <t>00670755Avon</t>
  </si>
  <si>
    <t>0Nod Brook Llc (pul)</t>
  </si>
  <si>
    <t>800 Boylston St  Ste 1300</t>
  </si>
  <si>
    <t>02199-8117</t>
  </si>
  <si>
    <t>00675272Avon</t>
  </si>
  <si>
    <t>0Nod Brook LLC</t>
  </si>
  <si>
    <t>00675273Avon</t>
  </si>
  <si>
    <t>00670752Avon</t>
  </si>
  <si>
    <t>0Sovereign Bank</t>
  </si>
  <si>
    <t>Po Box 1610</t>
  </si>
  <si>
    <t>Buffalo NY</t>
  </si>
  <si>
    <t>14205-1510</t>
  </si>
  <si>
    <t>394 West Main St</t>
  </si>
  <si>
    <t>00670760Avon</t>
  </si>
  <si>
    <t>0A Place To Grow</t>
  </si>
  <si>
    <t>Po Box 1039</t>
  </si>
  <si>
    <t>Canton CT</t>
  </si>
  <si>
    <t>06019-1039</t>
  </si>
  <si>
    <t>00671775Avon</t>
  </si>
  <si>
    <t>0Raimie H Weber LLC</t>
  </si>
  <si>
    <t>P.O. Box 176</t>
  </si>
  <si>
    <t>06019-0176</t>
  </si>
  <si>
    <t>00671232Avon</t>
  </si>
  <si>
    <t>0Be.Yoga In Avon LLC</t>
  </si>
  <si>
    <t>79 Gracey Rd</t>
  </si>
  <si>
    <t>050421GA</t>
  </si>
  <si>
    <t>0Rivers Edge Mediterranean Cuis</t>
  </si>
  <si>
    <t>92 Dyer Ave</t>
  </si>
  <si>
    <t>06019-3235</t>
  </si>
  <si>
    <t>00675255Avon</t>
  </si>
  <si>
    <t>0Five Guys Operations LLC #74</t>
  </si>
  <si>
    <t>Po Box 2551</t>
  </si>
  <si>
    <t>Chesteron IN</t>
  </si>
  <si>
    <t>46304-2551</t>
  </si>
  <si>
    <t>00670556Avon</t>
  </si>
  <si>
    <t>0JP Morgan Chase</t>
  </si>
  <si>
    <t>PO BOx 182269</t>
  </si>
  <si>
    <t>Columbus OH</t>
  </si>
  <si>
    <t>43218-2269</t>
  </si>
  <si>
    <t>205 W Main St</t>
  </si>
  <si>
    <t>00766869Avon</t>
  </si>
  <si>
    <t>0Keybank, Na</t>
  </si>
  <si>
    <t>PO Box 182210</t>
  </si>
  <si>
    <t>43218-2210</t>
  </si>
  <si>
    <t>232 West Main St</t>
  </si>
  <si>
    <t>00675257Avon</t>
  </si>
  <si>
    <t>0443400 TJX Co, MS#1</t>
  </si>
  <si>
    <t>Po Box 182438</t>
  </si>
  <si>
    <t>43218-2438</t>
  </si>
  <si>
    <t>00670757Avon</t>
  </si>
  <si>
    <t>0443400 Tjx Co, Ms#1</t>
  </si>
  <si>
    <t>00670758Avon</t>
  </si>
  <si>
    <t>0Michael's Ms #2</t>
  </si>
  <si>
    <t>Po Box 182558</t>
  </si>
  <si>
    <t>43218-2558</t>
  </si>
  <si>
    <t>00675274Avon</t>
  </si>
  <si>
    <t>0Cass Information Systems</t>
  </si>
  <si>
    <t>Po Box 182244</t>
  </si>
  <si>
    <t>43218-2244</t>
  </si>
  <si>
    <t>380 West Main St</t>
  </si>
  <si>
    <t>00675295Avon</t>
  </si>
  <si>
    <t>0Friendly's Restaurant Co, LLC</t>
  </si>
  <si>
    <t>14850 Montfort Dr Ste 131 MS 2</t>
  </si>
  <si>
    <t>Dallas TX</t>
  </si>
  <si>
    <t>347 West Main St</t>
  </si>
  <si>
    <t>00675282Avon</t>
  </si>
  <si>
    <t>0Dental Arts of Avon</t>
  </si>
  <si>
    <t>36 Padanaram Rd</t>
  </si>
  <si>
    <t>DanburyCT</t>
  </si>
  <si>
    <t>00671774Avon</t>
  </si>
  <si>
    <t>0Heritage at Buckingham</t>
  </si>
  <si>
    <t>2A Ives St</t>
  </si>
  <si>
    <t>Danbury</t>
  </si>
  <si>
    <t>06810-6605</t>
  </si>
  <si>
    <t>30 Buckingham - Clubho</t>
  </si>
  <si>
    <t>00112289Avon</t>
  </si>
  <si>
    <t>102521GA</t>
  </si>
  <si>
    <t>0Construction Mgmt &amp; Builders</t>
  </si>
  <si>
    <t>75 Sylvan St</t>
  </si>
  <si>
    <t>Danvers MA</t>
  </si>
  <si>
    <t>01923-2763</t>
  </si>
  <si>
    <t>Climax Heights Rd &amp; Ca</t>
  </si>
  <si>
    <t>00800328Avon</t>
  </si>
  <si>
    <t>070621GA</t>
  </si>
  <si>
    <t>0Town Fair Tire Ctrs Of Ct</t>
  </si>
  <si>
    <t>460 Coe Ave</t>
  </si>
  <si>
    <t>East Havan CT</t>
  </si>
  <si>
    <t>06512-3800</t>
  </si>
  <si>
    <t>248 West Main St</t>
  </si>
  <si>
    <t>00670552Avon</t>
  </si>
  <si>
    <t>0Savin Brands LLC</t>
  </si>
  <si>
    <t>77 Sterling Rd</t>
  </si>
  <si>
    <t>East Ha</t>
  </si>
  <si>
    <t>06108-1665</t>
  </si>
  <si>
    <t>00675300Avon</t>
  </si>
  <si>
    <t>0Shops at Dale Corner</t>
  </si>
  <si>
    <t>700 Connecticut Blvd</t>
  </si>
  <si>
    <t>06108-3222</t>
  </si>
  <si>
    <t>00670562Avon</t>
  </si>
  <si>
    <t>040221GA</t>
  </si>
  <si>
    <t>0American Eagle Financial Credi</t>
  </si>
  <si>
    <t>10700 Prarie Lakes Dr</t>
  </si>
  <si>
    <t>Eden Prarie MN</t>
  </si>
  <si>
    <t>55344-3858</t>
  </si>
  <si>
    <t>00672249Avon</t>
  </si>
  <si>
    <t>0North House Realty LLC</t>
  </si>
  <si>
    <t>999 Farmington Ave</t>
  </si>
  <si>
    <t>Farmington CT</t>
  </si>
  <si>
    <t>280 Avon Mountain Rd</t>
  </si>
  <si>
    <t>00675056Avon</t>
  </si>
  <si>
    <t>0Peachtree Village</t>
  </si>
  <si>
    <t>6 Executive Dr, Ste 100</t>
  </si>
  <si>
    <t>06032-2853</t>
  </si>
  <si>
    <t>60 Darling Dr</t>
  </si>
  <si>
    <t>00675209Avon</t>
  </si>
  <si>
    <t>0Companions &amp; Homemakers</t>
  </si>
  <si>
    <t>613 New Britain Ave</t>
  </si>
  <si>
    <t>06032-2171</t>
  </si>
  <si>
    <t>031621GA</t>
  </si>
  <si>
    <t>030 East Main LLC</t>
  </si>
  <si>
    <t>3 Atwater Terrace</t>
  </si>
  <si>
    <t>30 East Main St</t>
  </si>
  <si>
    <t>00670582Avon</t>
  </si>
  <si>
    <t>0Truffles Bakery &amp; Kitchen</t>
  </si>
  <si>
    <t>5 Brickwalk Lane</t>
  </si>
  <si>
    <t>060221GA</t>
  </si>
  <si>
    <t>0West Avon LLC</t>
  </si>
  <si>
    <t>3 Atwater Ter</t>
  </si>
  <si>
    <t>06032-1568</t>
  </si>
  <si>
    <t>427 West Avon Rd - IRR</t>
  </si>
  <si>
    <t>00672250Avon</t>
  </si>
  <si>
    <t>0Lawrence Brunoli Inc</t>
  </si>
  <si>
    <t>11 Eastview Dr</t>
  </si>
  <si>
    <t>220 West Main St</t>
  </si>
  <si>
    <t>00670549Avon</t>
  </si>
  <si>
    <t>0Sunset Of Avon, LLC</t>
  </si>
  <si>
    <t>231 Farmington Ave</t>
  </si>
  <si>
    <t>06032-1915</t>
  </si>
  <si>
    <t>260 West Main St</t>
  </si>
  <si>
    <t>00675263Avon</t>
  </si>
  <si>
    <t>0Farmington Savings Bank</t>
  </si>
  <si>
    <t>PO Box 8</t>
  </si>
  <si>
    <t>310 West Main St</t>
  </si>
  <si>
    <t>00670558Avon</t>
  </si>
  <si>
    <t>0Gold-borg Associates</t>
  </si>
  <si>
    <t>PO Box 945</t>
  </si>
  <si>
    <t>06034-0945</t>
  </si>
  <si>
    <t>353 West Main St</t>
  </si>
  <si>
    <t>00675283Avon</t>
  </si>
  <si>
    <t>0Avon Meadow Condo Assoc</t>
  </si>
  <si>
    <t>39 New London Tpk Suite 330</t>
  </si>
  <si>
    <t>Glastonbury CT</t>
  </si>
  <si>
    <t>10 Avon Meadow Lane Ir</t>
  </si>
  <si>
    <t>00675138Avon</t>
  </si>
  <si>
    <t>101121GA</t>
  </si>
  <si>
    <t>0Healthtrax - Avon</t>
  </si>
  <si>
    <t>Fitness &amp; Wellness</t>
  </si>
  <si>
    <t>100 Simsbury Rd</t>
  </si>
  <si>
    <t>00675125Avon</t>
  </si>
  <si>
    <t>0GTGCT Avon, LLC</t>
  </si>
  <si>
    <t>107 Cindy Lane</t>
  </si>
  <si>
    <t>Guilford CT</t>
  </si>
  <si>
    <t>06437-2103</t>
  </si>
  <si>
    <t>00670555Avon</t>
  </si>
  <si>
    <t>0CREC Academy of the Arts</t>
  </si>
  <si>
    <t>111 Charter Oak Ave</t>
  </si>
  <si>
    <t>Hartford CT</t>
  </si>
  <si>
    <t>06106-1912</t>
  </si>
  <si>
    <t>20 Security Dr</t>
  </si>
  <si>
    <t>00675189Avon</t>
  </si>
  <si>
    <t>00675190Avon</t>
  </si>
  <si>
    <t>0Capitol Reg Educ Council</t>
  </si>
  <si>
    <t>59 Waterville Rd</t>
  </si>
  <si>
    <t>00675075Avon</t>
  </si>
  <si>
    <t>0Hartford Healthcare - Urgent C</t>
  </si>
  <si>
    <t>PO Box 5037</t>
  </si>
  <si>
    <t>00670565Avon</t>
  </si>
  <si>
    <t>00675299Avon</t>
  </si>
  <si>
    <t>0AD1 Avon Hotels, LLC</t>
  </si>
  <si>
    <t>1955 Harrison St Ste 200</t>
  </si>
  <si>
    <t>Hollywood FL</t>
  </si>
  <si>
    <t>33020-5178</t>
  </si>
  <si>
    <t>55 Simsbury Rd</t>
  </si>
  <si>
    <t>00675121Avon</t>
  </si>
  <si>
    <t>55 Simsbury Rd - Deduc</t>
  </si>
  <si>
    <t>00675122Avon</t>
  </si>
  <si>
    <t>55 Simsbury Rd - Prima</t>
  </si>
  <si>
    <t>00676906Avon</t>
  </si>
  <si>
    <t>0Hunters Run Tax District</t>
  </si>
  <si>
    <t>Po Box 4579, Dept 254</t>
  </si>
  <si>
    <t>Houston TX</t>
  </si>
  <si>
    <t>77210-4579</t>
  </si>
  <si>
    <t>Hunters Run Gate House</t>
  </si>
  <si>
    <t>00671427Avon</t>
  </si>
  <si>
    <t>102621GA</t>
  </si>
  <si>
    <t>Po Box 4579, Dept 24</t>
  </si>
  <si>
    <t>1 Huntington Glen Club</t>
  </si>
  <si>
    <t>00671428Avon</t>
  </si>
  <si>
    <t>0TD Bank</t>
  </si>
  <si>
    <t>2 Jericho Plaza, Ste 204</t>
  </si>
  <si>
    <t>Jericho NY</t>
  </si>
  <si>
    <t>11753-1681</t>
  </si>
  <si>
    <t>255 West Main St</t>
  </si>
  <si>
    <t>00670553Avon</t>
  </si>
  <si>
    <t>0Avon Town Center LLC</t>
  </si>
  <si>
    <t>1414 Atwood Ave</t>
  </si>
  <si>
    <t>Johnston RI</t>
  </si>
  <si>
    <t>23 Arts Center Ct</t>
  </si>
  <si>
    <t>00675172Avon</t>
  </si>
  <si>
    <t>0Avon Town Center LLC - Irrig</t>
  </si>
  <si>
    <t>23 Arts Center Ct - IR</t>
  </si>
  <si>
    <t>00675173Avon</t>
  </si>
  <si>
    <t>21 Arts Center Lane</t>
  </si>
  <si>
    <t>00671198Avon</t>
  </si>
  <si>
    <t>0Avon Town Center Llc</t>
  </si>
  <si>
    <t>19 Brookside Ct</t>
  </si>
  <si>
    <t>00671205Avon</t>
  </si>
  <si>
    <t>19 Brookside Ct - IRR</t>
  </si>
  <si>
    <t>00671206Avon</t>
  </si>
  <si>
    <t>11 Canal Ct</t>
  </si>
  <si>
    <t>00675177Avon</t>
  </si>
  <si>
    <t>8 Canal Ct</t>
  </si>
  <si>
    <t>00675175Avon</t>
  </si>
  <si>
    <t>0Avon Village Center</t>
  </si>
  <si>
    <t>02919-4839</t>
  </si>
  <si>
    <t>Climax Heights Fountai</t>
  </si>
  <si>
    <t>00817976Avon</t>
  </si>
  <si>
    <t>55 Climax Rd Bldg R1</t>
  </si>
  <si>
    <t>00817970Avon</t>
  </si>
  <si>
    <t>25 Climax Rd Bldg R2</t>
  </si>
  <si>
    <t>00817971Avon</t>
  </si>
  <si>
    <t>50 Climax Rd Bldg R4</t>
  </si>
  <si>
    <t>00817973Avon</t>
  </si>
  <si>
    <t>072321GA</t>
  </si>
  <si>
    <t>16 Ensign Dr</t>
  </si>
  <si>
    <t>00675178Avon</t>
  </si>
  <si>
    <t>31 Ensign Dr</t>
  </si>
  <si>
    <t>00671207Avon</t>
  </si>
  <si>
    <t>0Avon Town Center LLC - Irrig.</t>
  </si>
  <si>
    <t>00671208Avon</t>
  </si>
  <si>
    <t>5 Ensign Dr</t>
  </si>
  <si>
    <t>00671200Avon</t>
  </si>
  <si>
    <t>5 Ensign Dr IRR</t>
  </si>
  <si>
    <t>00671201Avon</t>
  </si>
  <si>
    <t>Fisher Drive Irr</t>
  </si>
  <si>
    <t>00675160Avon</t>
  </si>
  <si>
    <t>60 Market St Bldg R5 M</t>
  </si>
  <si>
    <t>00817974Avon</t>
  </si>
  <si>
    <t>00817975Avon</t>
  </si>
  <si>
    <t>30 Market St Bldg R8</t>
  </si>
  <si>
    <t>00817983Avon</t>
  </si>
  <si>
    <t>12 Waterside Ct</t>
  </si>
  <si>
    <t>00671204Avon</t>
  </si>
  <si>
    <t>7 Waterside Ct</t>
  </si>
  <si>
    <t>00671202Avon</t>
  </si>
  <si>
    <t>0Avon Town Center, LLC</t>
  </si>
  <si>
    <t>1414 Atwood Ave, Ste260</t>
  </si>
  <si>
    <t>32 West Main St</t>
  </si>
  <si>
    <t>00670522Avon</t>
  </si>
  <si>
    <t>44 West Main St</t>
  </si>
  <si>
    <t>00670526Avon</t>
  </si>
  <si>
    <t>1414 Atwood Ave Ste 260</t>
  </si>
  <si>
    <t>38 West Main St  - Ded</t>
  </si>
  <si>
    <t>00670525Avon</t>
  </si>
  <si>
    <t>38 West Main St  - Pri</t>
  </si>
  <si>
    <t>00676452Avon</t>
  </si>
  <si>
    <t>0Deacon Donald Battiston Trust</t>
  </si>
  <si>
    <t>196 Turtle Creek Dr</t>
  </si>
  <si>
    <t>Jupiter FL</t>
  </si>
  <si>
    <t>369 West Main St - Ded</t>
  </si>
  <si>
    <t>00675286Avon</t>
  </si>
  <si>
    <t>0Building Block Early Learning</t>
  </si>
  <si>
    <t>354 Merrimack St Suite 270</t>
  </si>
  <si>
    <t>Lawrence MA</t>
  </si>
  <si>
    <t>84 West Avon Rd</t>
  </si>
  <si>
    <t>00670646Avon</t>
  </si>
  <si>
    <t>0Raymour &amp; Flanigan, LLC</t>
  </si>
  <si>
    <t>7248 Morgan Rd</t>
  </si>
  <si>
    <t>Liverpool NY</t>
  </si>
  <si>
    <t>13088-4535</t>
  </si>
  <si>
    <t>15 Waterville Rd</t>
  </si>
  <si>
    <t>00670774Avon</t>
  </si>
  <si>
    <t>0Akana Holdings dba Great Clips</t>
  </si>
  <si>
    <t>532 Opening Hill Rd</t>
  </si>
  <si>
    <t>Madison CT</t>
  </si>
  <si>
    <t>06443-8229</t>
  </si>
  <si>
    <t>00670754Avon</t>
  </si>
  <si>
    <t>0Bank Of America</t>
  </si>
  <si>
    <t>Po Box 1027</t>
  </si>
  <si>
    <t>Mandan ND</t>
  </si>
  <si>
    <t>58554-1027</t>
  </si>
  <si>
    <t>240 West Main St</t>
  </si>
  <si>
    <t>00670551Avon</t>
  </si>
  <si>
    <t>0Walmart #01-2899</t>
  </si>
  <si>
    <t>Po Box 967</t>
  </si>
  <si>
    <t>58554-0967</t>
  </si>
  <si>
    <t>00675258Avon</t>
  </si>
  <si>
    <t>0Liberty Bank</t>
  </si>
  <si>
    <t>245 Long Hill Rd</t>
  </si>
  <si>
    <t>Middletown CT</t>
  </si>
  <si>
    <t>06457-4063</t>
  </si>
  <si>
    <t>27 Dale Rd - Deduct Mt</t>
  </si>
  <si>
    <t>00675331Avon</t>
  </si>
  <si>
    <t>27 Dale Rd - Primary M</t>
  </si>
  <si>
    <t>00676263Avon</t>
  </si>
  <si>
    <t>0Pizzeria Davinci LLC</t>
  </si>
  <si>
    <t>616 High St</t>
  </si>
  <si>
    <t>00672254Avon</t>
  </si>
  <si>
    <t>0Dialysis Clinic</t>
  </si>
  <si>
    <t>1633 Church St Suite 500</t>
  </si>
  <si>
    <t>Nashville TN</t>
  </si>
  <si>
    <t>37203-2948</t>
  </si>
  <si>
    <t>54 West Avon Rd 101 Mt</t>
  </si>
  <si>
    <t>00675339Avon</t>
  </si>
  <si>
    <t>00775122Avon</t>
  </si>
  <si>
    <t>54 West Avon Rd 103</t>
  </si>
  <si>
    <t>00775140Avon</t>
  </si>
  <si>
    <t>54 West Avon Rd 104</t>
  </si>
  <si>
    <t>00775147Avon</t>
  </si>
  <si>
    <t>0Fitness Together</t>
  </si>
  <si>
    <t>9 New Hampshire Dr</t>
  </si>
  <si>
    <t>New Britain CT</t>
  </si>
  <si>
    <t>00672000Avon</t>
  </si>
  <si>
    <t>0Dr Nicholas Labbadia</t>
  </si>
  <si>
    <t>576 Steele Rd</t>
  </si>
  <si>
    <t>New Hartford CT</t>
  </si>
  <si>
    <t>06057-3102</t>
  </si>
  <si>
    <t>33 Dale Rd - IRR</t>
  </si>
  <si>
    <t>00675332Avon</t>
  </si>
  <si>
    <t>0Dr. Nicholas Labbadia</t>
  </si>
  <si>
    <t>46 West Avon Rd</t>
  </si>
  <si>
    <t>00675313Avon</t>
  </si>
  <si>
    <t>0Dom's Coffee LLC</t>
  </si>
  <si>
    <t>20 O Keefe Ln</t>
  </si>
  <si>
    <t>000000GA</t>
  </si>
  <si>
    <t>0Avon Village Marketplace LLC</t>
  </si>
  <si>
    <t>170 Pane Rd</t>
  </si>
  <si>
    <t>Newington CT</t>
  </si>
  <si>
    <t>06111-5521</t>
  </si>
  <si>
    <t>11 East Main St</t>
  </si>
  <si>
    <t>00670572Avon</t>
  </si>
  <si>
    <t>17 East Main St</t>
  </si>
  <si>
    <t>00670573Avon</t>
  </si>
  <si>
    <t>19 East Main St</t>
  </si>
  <si>
    <t>00670574Avon</t>
  </si>
  <si>
    <t>25 East Main St</t>
  </si>
  <si>
    <t>00670578Avon</t>
  </si>
  <si>
    <t>27 East Main St</t>
  </si>
  <si>
    <t>00670579Avon</t>
  </si>
  <si>
    <t>29 East Main St</t>
  </si>
  <si>
    <t>00670581Avon</t>
  </si>
  <si>
    <t>31 East Main St</t>
  </si>
  <si>
    <t>00670583Avon</t>
  </si>
  <si>
    <t>33 East Main St</t>
  </si>
  <si>
    <t>00670584Avon</t>
  </si>
  <si>
    <t>35 East Main St</t>
  </si>
  <si>
    <t>00670585Avon</t>
  </si>
  <si>
    <t>37 East Main St</t>
  </si>
  <si>
    <t>00670587Avon</t>
  </si>
  <si>
    <t>39 East Main St</t>
  </si>
  <si>
    <t>00670588Avon</t>
  </si>
  <si>
    <t>41 East Main St</t>
  </si>
  <si>
    <t>00670589Avon</t>
  </si>
  <si>
    <t>45 East Main St</t>
  </si>
  <si>
    <t>00670590Avon</t>
  </si>
  <si>
    <t>7 East Main St</t>
  </si>
  <si>
    <t>00670570Avon</t>
  </si>
  <si>
    <t>0Bertucci's</t>
  </si>
  <si>
    <t>155 Otis St</t>
  </si>
  <si>
    <t>Northborough MA</t>
  </si>
  <si>
    <t>01532-2414</t>
  </si>
  <si>
    <t>00675288Avon</t>
  </si>
  <si>
    <t>0Simsbury Turnpike Realty, LLC</t>
  </si>
  <si>
    <t>6231 PGA Blvd Suite 104-149</t>
  </si>
  <si>
    <t>Palm Beach Gardens FL</t>
  </si>
  <si>
    <t>33418-40</t>
  </si>
  <si>
    <t>15 West Avon Rd - Dedu</t>
  </si>
  <si>
    <t>00675311Avon</t>
  </si>
  <si>
    <t>0255 West Main LLC</t>
  </si>
  <si>
    <t>P.O. Box 248</t>
  </si>
  <si>
    <t>Riverside CT</t>
  </si>
  <si>
    <t>06878-0248</t>
  </si>
  <si>
    <t>255 West Main St - IRR</t>
  </si>
  <si>
    <t>00675259Avon</t>
  </si>
  <si>
    <t>255 West Main St-Prima</t>
  </si>
  <si>
    <t>00679521Avon</t>
  </si>
  <si>
    <t>0K Brothers LLC</t>
  </si>
  <si>
    <t>2138 Silas Deane Highway</t>
  </si>
  <si>
    <t>Rocky Hill CT</t>
  </si>
  <si>
    <t>06067-2317</t>
  </si>
  <si>
    <t>213 West Main St</t>
  </si>
  <si>
    <t>00670547Avon</t>
  </si>
  <si>
    <t>0FV JC-ES Memorial Park</t>
  </si>
  <si>
    <t>55 Bushy Hill Rd</t>
  </si>
  <si>
    <t>Simsbury CT</t>
  </si>
  <si>
    <t>50 Mountain View Ave</t>
  </si>
  <si>
    <t>00675159Avon</t>
  </si>
  <si>
    <t>111221GA</t>
  </si>
  <si>
    <t>0Bounom Limited Liability Co</t>
  </si>
  <si>
    <t>27 Laurel Lane</t>
  </si>
  <si>
    <t>136 Simsbury Rd bldg 1</t>
  </si>
  <si>
    <t>00671231Avon</t>
  </si>
  <si>
    <t>0Avon Allies</t>
  </si>
  <si>
    <t>6 Joyce Lane</t>
  </si>
  <si>
    <t>06070-2911</t>
  </si>
  <si>
    <t>45 West Main St</t>
  </si>
  <si>
    <t>00670528Avon</t>
  </si>
  <si>
    <t>0DP1 LLC</t>
  </si>
  <si>
    <t>58 Connecticut Ave, Ste A</t>
  </si>
  <si>
    <t>South Windsor CT</t>
  </si>
  <si>
    <t>06074-3450</t>
  </si>
  <si>
    <t>200 West Main St</t>
  </si>
  <si>
    <t>00670542Avon</t>
  </si>
  <si>
    <t>0Dp3 LLC</t>
  </si>
  <si>
    <t>300 West Main St</t>
  </si>
  <si>
    <t>00675268Avon</t>
  </si>
  <si>
    <t>0DP3 LLC</t>
  </si>
  <si>
    <t>300 West Main St -  IR</t>
  </si>
  <si>
    <t>00675269Avon</t>
  </si>
  <si>
    <t>0Connecticut On-Line Computer C</t>
  </si>
  <si>
    <t>Accounts Payable</t>
  </si>
  <si>
    <t>Southington CT</t>
  </si>
  <si>
    <t>06489-1040</t>
  </si>
  <si>
    <t>105 Darling Dr</t>
  </si>
  <si>
    <t>00675220Avon</t>
  </si>
  <si>
    <t>0Benchmark Gpt Avon, Site#:RRA</t>
  </si>
  <si>
    <t>Po Box 2440</t>
  </si>
  <si>
    <t>Spokane WA</t>
  </si>
  <si>
    <t>99210-2440</t>
  </si>
  <si>
    <t>101 Bickford Dr</t>
  </si>
  <si>
    <t>00675240Avon</t>
  </si>
  <si>
    <t>0Whole Foods Market Group Inc</t>
  </si>
  <si>
    <t>PO Box 2440</t>
  </si>
  <si>
    <t>0Petvet Care Centers Ct Inc</t>
  </si>
  <si>
    <t>P.O. Box 2440</t>
  </si>
  <si>
    <t>00671997Avon</t>
  </si>
  <si>
    <t>0HTA-80 Fisher, LLC #150416</t>
  </si>
  <si>
    <t>80 Fischer Dr - Primar</t>
  </si>
  <si>
    <t>00676198Avon</t>
  </si>
  <si>
    <t>0HCR Manorcare Prop LLC, Site 6</t>
  </si>
  <si>
    <t>100 Fisher Dr</t>
  </si>
  <si>
    <t>00675164Avon</t>
  </si>
  <si>
    <t>0HCR Manorcare Prop LLC, Site</t>
  </si>
  <si>
    <t>00675165Avon</t>
  </si>
  <si>
    <t>80 Fisher Dr -Medical</t>
  </si>
  <si>
    <t>00675162Avon</t>
  </si>
  <si>
    <t>0MyEyeDr Optometry of Ct LLC</t>
  </si>
  <si>
    <t>18 West Avon Rd</t>
  </si>
  <si>
    <t>00670643Avon</t>
  </si>
  <si>
    <t>0Petco Animal Supply #1813</t>
  </si>
  <si>
    <t>9 West Avon Rd</t>
  </si>
  <si>
    <t>00675308Avon</t>
  </si>
  <si>
    <t>0Enterprise Rent-a-car</t>
  </si>
  <si>
    <t>PO BOx 2440</t>
  </si>
  <si>
    <t>WA 99210</t>
  </si>
  <si>
    <t>224 West Main St</t>
  </si>
  <si>
    <t>00670550Avon</t>
  </si>
  <si>
    <t>0Lane Bryant #4811, LLC</t>
  </si>
  <si>
    <t>00670756Avon</t>
  </si>
  <si>
    <t>0The Fresh Market #127</t>
  </si>
  <si>
    <t>321 West Main St</t>
  </si>
  <si>
    <t>00675279Avon</t>
  </si>
  <si>
    <t>0CVS #1180-02</t>
  </si>
  <si>
    <t>358 West Main St</t>
  </si>
  <si>
    <t>00675284Avon</t>
  </si>
  <si>
    <t>0CVS #1180</t>
  </si>
  <si>
    <t>00670561Avon</t>
  </si>
  <si>
    <t>0Starbucks, Site #075</t>
  </si>
  <si>
    <t>00675290Avon</t>
  </si>
  <si>
    <t>0Webster Bank Na Site #116</t>
  </si>
  <si>
    <t>392 West Main St</t>
  </si>
  <si>
    <t>00670759Avon</t>
  </si>
  <si>
    <t>0Big Y Grocery, Site #53</t>
  </si>
  <si>
    <t>00675261Avon</t>
  </si>
  <si>
    <t>0Verizon Wireless, Site# 90377</t>
  </si>
  <si>
    <t>P.O. Box 2375</t>
  </si>
  <si>
    <t>99210-2375</t>
  </si>
  <si>
    <t>380 West Main St - Ded</t>
  </si>
  <si>
    <t>00675289Avon</t>
  </si>
  <si>
    <t>255 West Main St - Pri</t>
  </si>
  <si>
    <t>00676248Avon</t>
  </si>
  <si>
    <t>0TC&amp;F LLC</t>
  </si>
  <si>
    <t>450 Ocean Ave</t>
  </si>
  <si>
    <t>Stratford CT</t>
  </si>
  <si>
    <t>06615-7830</t>
  </si>
  <si>
    <t>34 Dale Rd</t>
  </si>
  <si>
    <t>00675333Avon</t>
  </si>
  <si>
    <t>0Farmington Woods District</t>
  </si>
  <si>
    <t>Po Box 279</t>
  </si>
  <si>
    <t>Unionville CT</t>
  </si>
  <si>
    <t>200 Byron Dr Master As</t>
  </si>
  <si>
    <t>00674090Avon</t>
  </si>
  <si>
    <t>102721GA</t>
  </si>
  <si>
    <t>0Farmington Woods Master Assoc</t>
  </si>
  <si>
    <t>46 Heritage Dr</t>
  </si>
  <si>
    <t>00674349Avon</t>
  </si>
  <si>
    <t>43 Heritage Dr -Clubho</t>
  </si>
  <si>
    <t>00674346Avon</t>
  </si>
  <si>
    <t>0St Mary's Cemetery</t>
  </si>
  <si>
    <t>16 Bidwell Sq</t>
  </si>
  <si>
    <t>Huckleberry Hill N</t>
  </si>
  <si>
    <t>00111100Avon</t>
  </si>
  <si>
    <t>111621GA</t>
  </si>
  <si>
    <t>Huckleberry Hill S</t>
  </si>
  <si>
    <t>00111101Avon</t>
  </si>
  <si>
    <t>0Sanford &amp; Hawley</t>
  </si>
  <si>
    <t>1799 Farmington Ave</t>
  </si>
  <si>
    <t>30 Sandscreen Rd</t>
  </si>
  <si>
    <t>00670877Avon</t>
  </si>
  <si>
    <t>0JKY LLC</t>
  </si>
  <si>
    <t>15 Burmingham Circle</t>
  </si>
  <si>
    <t>2 Simsbury Rd</t>
  </si>
  <si>
    <t>00670569Avon</t>
  </si>
  <si>
    <t>0Farmwoods District</t>
  </si>
  <si>
    <t>West Avon Rd -Guard Ho</t>
  </si>
  <si>
    <t>00674941Avon</t>
  </si>
  <si>
    <t>0Specialty Transportation Inc.</t>
  </si>
  <si>
    <t>PO Box 331026</t>
  </si>
  <si>
    <t>W Hartford CT</t>
  </si>
  <si>
    <t>06133-1026</t>
  </si>
  <si>
    <t>00675104Avon</t>
  </si>
  <si>
    <t>0135 Darling Dr LLC</t>
  </si>
  <si>
    <t>PO Box 28</t>
  </si>
  <si>
    <t>Watertown CT</t>
  </si>
  <si>
    <t>06795-0028</t>
  </si>
  <si>
    <t>135 Darling Dr</t>
  </si>
  <si>
    <t>00675227Avon</t>
  </si>
  <si>
    <t>0The Shops at Dale Corner</t>
  </si>
  <si>
    <t>699 Straits Turnpike</t>
  </si>
  <si>
    <t>385 West Main St Dale</t>
  </si>
  <si>
    <t>00675287Avon</t>
  </si>
  <si>
    <t>0Simply Eventful LLC</t>
  </si>
  <si>
    <t>20 Hopemeadow St Unit 607</t>
  </si>
  <si>
    <t>Weatogue CT</t>
  </si>
  <si>
    <t>06089-7935</t>
  </si>
  <si>
    <t>136 Simsbury Rd  Hairl</t>
  </si>
  <si>
    <t>00671218Avon</t>
  </si>
  <si>
    <t>0Apogee Properties, LLC</t>
  </si>
  <si>
    <t>12 Brownstone Turn</t>
  </si>
  <si>
    <t>06089-9678</t>
  </si>
  <si>
    <t>35 Tower Lane</t>
  </si>
  <si>
    <t>00675183Avon</t>
  </si>
  <si>
    <t>050 Tower, LLC</t>
  </si>
  <si>
    <t>41 Crossroads Plaza # 164</t>
  </si>
  <si>
    <t>West Hartford CT</t>
  </si>
  <si>
    <t>06117-2402</t>
  </si>
  <si>
    <t>50 Tower Lane</t>
  </si>
  <si>
    <t>00690186Avon</t>
  </si>
  <si>
    <t>0Connecticut Eye Center</t>
  </si>
  <si>
    <t>Ste 100</t>
  </si>
  <si>
    <t>06107-3443</t>
  </si>
  <si>
    <t>35 Waterville Rd</t>
  </si>
  <si>
    <t>00670776Avon</t>
  </si>
  <si>
    <t>0Leibert Family Ltd Part</t>
  </si>
  <si>
    <t>112 Balfour Dr</t>
  </si>
  <si>
    <t>00670541Avon</t>
  </si>
  <si>
    <t>0Lexham Avon LLC</t>
  </si>
  <si>
    <t>970 Farm Ave  Ste 205A</t>
  </si>
  <si>
    <t>339 West Main St</t>
  </si>
  <si>
    <t>00675281Avon</t>
  </si>
  <si>
    <t>0Lorenzo Diclemente</t>
  </si>
  <si>
    <t>11 Custer St</t>
  </si>
  <si>
    <t>06110-1905</t>
  </si>
  <si>
    <t>37 West Main St</t>
  </si>
  <si>
    <t>00670523Avon</t>
  </si>
  <si>
    <t>970 Farm Ave Ste 205A</t>
  </si>
  <si>
    <t>320 West Main St - Tri</t>
  </si>
  <si>
    <t>00675277Avon</t>
  </si>
  <si>
    <t>29 West Main St Bld 1</t>
  </si>
  <si>
    <t>00670518Avon</t>
  </si>
  <si>
    <t>29 West Main St Bld 2</t>
  </si>
  <si>
    <t>00670519Avon</t>
  </si>
  <si>
    <t>11 Cluster St</t>
  </si>
  <si>
    <t>29 West Main St Bld. 3</t>
  </si>
  <si>
    <t>00670521Avon</t>
  </si>
  <si>
    <t>29 West Main St Bldg 1</t>
  </si>
  <si>
    <t>00670520Avon</t>
  </si>
  <si>
    <t>0David Kelly LLC</t>
  </si>
  <si>
    <t>3 Daniel Ln</t>
  </si>
  <si>
    <t>West Simsbury CT</t>
  </si>
  <si>
    <t>06092-2811</t>
  </si>
  <si>
    <t>209 West Main St</t>
  </si>
  <si>
    <t>00670544Avon</t>
  </si>
  <si>
    <t>0Avon Marketplace</t>
  </si>
  <si>
    <t>Po Box 5040</t>
  </si>
  <si>
    <t>Westport CT</t>
  </si>
  <si>
    <t>06881-5040</t>
  </si>
  <si>
    <t>380 West Main St - Irr</t>
  </si>
  <si>
    <t>00715445Avon</t>
  </si>
  <si>
    <t>380 West Main St - New</t>
  </si>
  <si>
    <t>00675294Avon</t>
  </si>
  <si>
    <t>380 West Main St- Prim</t>
  </si>
  <si>
    <t>00676438Avon</t>
  </si>
  <si>
    <t>0Prime Healthcare, P.C.</t>
  </si>
  <si>
    <t>30 Jordan Ln Ste 101</t>
  </si>
  <si>
    <t>Wethersfield CT</t>
  </si>
  <si>
    <t>54 West Avon Rd 102</t>
  </si>
  <si>
    <t>00775137Avon</t>
  </si>
  <si>
    <t>0Carmon &amp; Company Llc -irr</t>
  </si>
  <si>
    <t>Po Box 6</t>
  </si>
  <si>
    <t>Windsor CT</t>
  </si>
  <si>
    <t>06095-0006</t>
  </si>
  <si>
    <t>301 Country Club Rd  -</t>
  </si>
  <si>
    <t>00672003Avon</t>
  </si>
  <si>
    <t>0Carmon &amp; Company LLC</t>
  </si>
  <si>
    <t>PO Box 6</t>
  </si>
  <si>
    <t>301 Country Club Rd -</t>
  </si>
  <si>
    <t>00676500Avon</t>
  </si>
  <si>
    <t>0Educational Playcare</t>
  </si>
  <si>
    <t>555 Day Hill Rd</t>
  </si>
  <si>
    <t>140 Simsbury Rd</t>
  </si>
  <si>
    <t>00671236Avon</t>
  </si>
  <si>
    <t>0Educational Playcare #7</t>
  </si>
  <si>
    <t>00671240Avon</t>
  </si>
  <si>
    <t>0Educational Playcare  #7</t>
  </si>
  <si>
    <t>00675136Avon</t>
  </si>
  <si>
    <t>0Educational Playcare #8</t>
  </si>
  <si>
    <t>00671247Avon</t>
  </si>
  <si>
    <t>0Educational Playcare #19</t>
  </si>
  <si>
    <t>00671250Avon</t>
  </si>
  <si>
    <t>412 West Avon Rd Hair</t>
  </si>
  <si>
    <t>00672248Avon</t>
  </si>
  <si>
    <t>0Orafol Americas, Inc</t>
  </si>
  <si>
    <t>120 Darling Dr</t>
  </si>
  <si>
    <t>00675224Avon</t>
  </si>
  <si>
    <t>IND</t>
  </si>
  <si>
    <t>0Orafol Americas, Inc. - IRR</t>
  </si>
  <si>
    <t>120 Darling Dr - Deduc</t>
  </si>
  <si>
    <t>00675223Avon</t>
  </si>
  <si>
    <t>06001-4273</t>
  </si>
  <si>
    <t>55 Darling Dr - Deduct</t>
  </si>
  <si>
    <t>00675201Avon</t>
  </si>
  <si>
    <t>0Orafol Americas Inc.</t>
  </si>
  <si>
    <t>120 Darling Dr - Prima</t>
  </si>
  <si>
    <t>00676217Avon</t>
  </si>
  <si>
    <t>55 Darling Dr- Primary</t>
  </si>
  <si>
    <t>00676432Avon</t>
  </si>
  <si>
    <t>0Pmp Corp</t>
  </si>
  <si>
    <t>Po Box 422</t>
  </si>
  <si>
    <t>06001-0422</t>
  </si>
  <si>
    <t>25 Security Dr - Deduc</t>
  </si>
  <si>
    <t>00675194Avon</t>
  </si>
  <si>
    <t>25 Security Dr - Prima</t>
  </si>
  <si>
    <t>00676210Avon</t>
  </si>
  <si>
    <t>0Oldcastle Precast Inc</t>
  </si>
  <si>
    <t>PO Box 6368</t>
  </si>
  <si>
    <t>Cincinatti OH</t>
  </si>
  <si>
    <t>154 Old Farms Rd</t>
  </si>
  <si>
    <t>00670845Avon</t>
  </si>
  <si>
    <t>0Oldcastle Precast Inc.</t>
  </si>
  <si>
    <t>PO BOx 6368</t>
  </si>
  <si>
    <t>Cincinnati OH</t>
  </si>
  <si>
    <t>151 Old Farms Rd</t>
  </si>
  <si>
    <t>00675106Avon</t>
  </si>
  <si>
    <t>0Mittera Group Inc</t>
  </si>
  <si>
    <t>1312 Locus St Suite 202</t>
  </si>
  <si>
    <t>Des Moines IA</t>
  </si>
  <si>
    <t>60 Security Dr</t>
  </si>
  <si>
    <t>00675197Avon</t>
  </si>
  <si>
    <t>070721GA</t>
  </si>
  <si>
    <t>0Trend Offset Printing</t>
  </si>
  <si>
    <t>3701 Catalina St</t>
  </si>
  <si>
    <t>Los Alamitos CA</t>
  </si>
  <si>
    <t>012821GA</t>
  </si>
  <si>
    <t>0Town Of Avon Garage</t>
  </si>
  <si>
    <t>11 Arch Rd</t>
  </si>
  <si>
    <t>00670854Avon</t>
  </si>
  <si>
    <t>PUA</t>
  </si>
  <si>
    <t>0Town Of Avon (Dog)</t>
  </si>
  <si>
    <t>00670855Avon</t>
  </si>
  <si>
    <t>0Town Of Avon TWS</t>
  </si>
  <si>
    <t>00670856Avon</t>
  </si>
  <si>
    <t>0Avon Public Works</t>
  </si>
  <si>
    <t>Buckingham Rd-Athletic</t>
  </si>
  <si>
    <t>00117194Avon</t>
  </si>
  <si>
    <t>0Town Of Avon-library</t>
  </si>
  <si>
    <t>281 Country Club Rd</t>
  </si>
  <si>
    <t>00675342Avon</t>
  </si>
  <si>
    <t>0Avon Volunteer Fire Dept.</t>
  </si>
  <si>
    <t>25 Darling Dr</t>
  </si>
  <si>
    <t>06001-4218</t>
  </si>
  <si>
    <t>365 Huckleberry Hill R</t>
  </si>
  <si>
    <t>00111040Avon</t>
  </si>
  <si>
    <t>1 Huckleberry Hill Rd-</t>
  </si>
  <si>
    <t>00111039Avon</t>
  </si>
  <si>
    <t>0Board Of Education</t>
  </si>
  <si>
    <t>34 Simsbury Rd</t>
  </si>
  <si>
    <t>06001-3714</t>
  </si>
  <si>
    <t>30 Old Wheeler Lane</t>
  </si>
  <si>
    <t>00675378Avon</t>
  </si>
  <si>
    <t>00675379Avon</t>
  </si>
  <si>
    <t>110421GA</t>
  </si>
  <si>
    <t>0Town of Avon BOE</t>
  </si>
  <si>
    <t>151 Scoville Rd</t>
  </si>
  <si>
    <t>00675345Avon</t>
  </si>
  <si>
    <t>00671211Avon</t>
  </si>
  <si>
    <t>00675119Avon</t>
  </si>
  <si>
    <t>0Thompson Brook School BOE</t>
  </si>
  <si>
    <t>150 Thompson Rd</t>
  </si>
  <si>
    <t>00675350Avon</t>
  </si>
  <si>
    <t>00675351Avon</t>
  </si>
  <si>
    <t>0Board Of Ed.(5/6 School)</t>
  </si>
  <si>
    <t>00675352Avon</t>
  </si>
  <si>
    <t>0Avon Middle School BOE</t>
  </si>
  <si>
    <t>375 West Avon Rd</t>
  </si>
  <si>
    <t>00675316Avon</t>
  </si>
  <si>
    <t>00675314Avon</t>
  </si>
  <si>
    <t>0West Avon Fire House #3</t>
  </si>
  <si>
    <t>490 West Avon Rd</t>
  </si>
  <si>
    <t>00672263Avon</t>
  </si>
  <si>
    <t>0Avon High School BOE</t>
  </si>
  <si>
    <t>510 West Avon Rd</t>
  </si>
  <si>
    <t>00675319Avon</t>
  </si>
  <si>
    <t>0Town of Avon Athl Flds BOE</t>
  </si>
  <si>
    <t>00675320Avon</t>
  </si>
  <si>
    <t>0Public Works -Sr Ctr</t>
  </si>
  <si>
    <t>635 West Avon Rd</t>
  </si>
  <si>
    <t>00672279Avon</t>
  </si>
  <si>
    <t>0Public Works</t>
  </si>
  <si>
    <t>00675324Avon</t>
  </si>
  <si>
    <t>00675325Avon</t>
  </si>
  <si>
    <t>375 West Avon Rd - IRR</t>
  </si>
  <si>
    <t>00675315Avon</t>
  </si>
  <si>
    <t>510 West Avon Rd - IRR</t>
  </si>
  <si>
    <t>00675321Avon</t>
  </si>
  <si>
    <t>0Public Works (green)</t>
  </si>
  <si>
    <t>60 West Main St</t>
  </si>
  <si>
    <t>00675039Avon</t>
  </si>
  <si>
    <t>0Town Of Avon</t>
  </si>
  <si>
    <t>60 West Main St - Poli</t>
  </si>
  <si>
    <t>00670537Avon</t>
  </si>
  <si>
    <t>0Town Of Avon (Bld 5)</t>
  </si>
  <si>
    <t>60 West Main St Bldg 5</t>
  </si>
  <si>
    <t>00670532Avon</t>
  </si>
  <si>
    <t>60 West Main St Bldg 6</t>
  </si>
  <si>
    <t>00670536Avon</t>
  </si>
  <si>
    <t>60 West Main St Bldg 8</t>
  </si>
  <si>
    <t>00670535Avon</t>
  </si>
  <si>
    <t>60 West Main St Bldg1</t>
  </si>
  <si>
    <t>00689398Avon</t>
  </si>
  <si>
    <t>Fenwick &amp; Buckingham-</t>
  </si>
  <si>
    <t>00128735Avon</t>
  </si>
  <si>
    <t>RES</t>
  </si>
  <si>
    <t>00675114Avon</t>
  </si>
  <si>
    <t>00675115Avon</t>
  </si>
  <si>
    <t>0Avon Old Farms School</t>
  </si>
  <si>
    <t>500 Old Farms Rd</t>
  </si>
  <si>
    <t>06001-2716</t>
  </si>
  <si>
    <t>80 Fisher Dr - Primar</t>
  </si>
  <si>
    <t>SERVICE ADDRESS</t>
  </si>
  <si>
    <t>BILLING NAME</t>
  </si>
  <si>
    <t>SWR ACCT</t>
  </si>
  <si>
    <t>ACCT#</t>
  </si>
  <si>
    <t>SEQ#</t>
  </si>
  <si>
    <t>AWPCA REF</t>
  </si>
  <si>
    <t>SHED</t>
  </si>
  <si>
    <t>SEQ #</t>
  </si>
  <si>
    <t>IRRIG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</si>
  <si>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</si>
  <si>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</si>
  <si>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</si>
  <si>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</si>
  <si>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</si>
  <si>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</si>
  <si>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</si>
  <si>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</si>
  <si>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</si>
  <si>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</si>
  <si>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</si>
  <si>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</si>
  <si>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GALLONS</t>
  </si>
  <si>
    <t>C500110000</t>
  </si>
  <si>
    <t>11 ARCH RD</t>
  </si>
  <si>
    <t>TOWN OF AVON-GARAGE</t>
  </si>
  <si>
    <t>SIMS</t>
  </si>
  <si>
    <t>BILL TO PW</t>
  </si>
  <si>
    <t>C500110300</t>
  </si>
  <si>
    <t>TOWN OF AVON (T.W.S)</t>
  </si>
  <si>
    <t>C500110200</t>
  </si>
  <si>
    <t>TOWN OF AVON (DOG S)</t>
  </si>
  <si>
    <t>C500210000</t>
  </si>
  <si>
    <t>21 ARCH RD</t>
  </si>
  <si>
    <t>21 ARCH RD ASSOC INC</t>
  </si>
  <si>
    <t>E300210000</t>
  </si>
  <si>
    <t>21 ARTS CENTER LANE</t>
  </si>
  <si>
    <t>AVON TOWN CENTER LLC</t>
  </si>
  <si>
    <t>Y710230000</t>
  </si>
  <si>
    <t>23 ARTS CENTER CT</t>
  </si>
  <si>
    <t>Y710230200</t>
  </si>
  <si>
    <t>AVON TOWN CENTER LLC - IRRIG</t>
  </si>
  <si>
    <t>N</t>
  </si>
  <si>
    <t>E300250000</t>
  </si>
  <si>
    <t>25 ARTS CENTER LANE</t>
  </si>
  <si>
    <t>FARM.VALLEY ARTS CENTER</t>
  </si>
  <si>
    <t>Y710270000</t>
  </si>
  <si>
    <t>27 ARTS CENTER LANE</t>
  </si>
  <si>
    <t>E410100000</t>
  </si>
  <si>
    <t>10 AVON MEADOW LANE</t>
  </si>
  <si>
    <t>ROBERT HENSLEY &amp; ASSOC</t>
  </si>
  <si>
    <t>Y480100200</t>
  </si>
  <si>
    <t>AV.MEADOW CONDO ASSOC.INC</t>
  </si>
  <si>
    <t>E410200000</t>
  </si>
  <si>
    <t>20 AVON MEADOW LANE</t>
  </si>
  <si>
    <t>CORRIDOR PROPERTY MGMT, LLC</t>
  </si>
  <si>
    <t>E410300000</t>
  </si>
  <si>
    <t>30 AVON MEADOW LANE</t>
  </si>
  <si>
    <t>ADN PROPERTIES, LLC</t>
  </si>
  <si>
    <t>E410400000</t>
  </si>
  <si>
    <t>40 AVON MEADOW LANE</t>
  </si>
  <si>
    <t>PAUL CRYAN</t>
  </si>
  <si>
    <t>E410500000</t>
  </si>
  <si>
    <t>50 AVON MEADOW LANE</t>
  </si>
  <si>
    <t>REDFOOT REALITY HOLDINGS</t>
  </si>
  <si>
    <t>E410600000</t>
  </si>
  <si>
    <t>60 AVON MEADOW LANE</t>
  </si>
  <si>
    <t>CARBRAY PROPERTIES LLC</t>
  </si>
  <si>
    <t>E410700000</t>
  </si>
  <si>
    <t>70/80 AVON MEADOW LANE</t>
  </si>
  <si>
    <t>JBILL, LLC</t>
  </si>
  <si>
    <t>E410900000</t>
  </si>
  <si>
    <t>90 AVON MEADOW LANE</t>
  </si>
  <si>
    <t>AMTEC</t>
  </si>
  <si>
    <t>E411000000</t>
  </si>
  <si>
    <t>100 AVON MEADOW LANE</t>
  </si>
  <si>
    <t>CONST. BILLING &amp; FINANCIAL SVC</t>
  </si>
  <si>
    <t>Y250020000</t>
  </si>
  <si>
    <t>279 AVON MOUNTAIN RD</t>
  </si>
  <si>
    <t>AVON OLD FARMS HOTEL</t>
  </si>
  <si>
    <t>Y250020100</t>
  </si>
  <si>
    <t>Y250020300</t>
  </si>
  <si>
    <t>Y202800000</t>
  </si>
  <si>
    <t>280 AVON MOUNTAIN RD</t>
  </si>
  <si>
    <t>NORTH HOUSE REALTY, LLC</t>
  </si>
  <si>
    <t>A150050000</t>
  </si>
  <si>
    <t>4 BAILEY RD</t>
  </si>
  <si>
    <t>JOHN D'ARCANGELO</t>
  </si>
  <si>
    <t>Z271600000</t>
  </si>
  <si>
    <t>101 BICKFORD DR</t>
  </si>
  <si>
    <t>BENCHMARK GPT AVON, SITE#:rra05</t>
  </si>
  <si>
    <t>E350190000</t>
  </si>
  <si>
    <t>19 BROOKSIDE CT</t>
  </si>
  <si>
    <t>E350190200</t>
  </si>
  <si>
    <t>AVON TOWN CENTER LLC - IRRIG.</t>
  </si>
  <si>
    <t>5 BUCKINGHAM</t>
  </si>
  <si>
    <t>HERITAGE AT BUCKINGHAM</t>
  </si>
  <si>
    <t>FARM</t>
  </si>
  <si>
    <t>30 BUCKINGHAM</t>
  </si>
  <si>
    <t>200 BYRON DR-MASTER ASSO</t>
  </si>
  <si>
    <t>FARMINGTON WOODS DISTRICT</t>
  </si>
  <si>
    <t>0 BYRON DR-GOLF BATHRO</t>
  </si>
  <si>
    <t>FARM.WOODS MASTER ASSOC</t>
  </si>
  <si>
    <t>0 BYRON DR BATH HOUSE</t>
  </si>
  <si>
    <t>FARM.WOODS MASTER ASSOC.</t>
  </si>
  <si>
    <t>0 BYRON DR POOL #1</t>
  </si>
  <si>
    <t>0 GUILFORD DR-POOL</t>
  </si>
  <si>
    <t>0 GREENWICH POOL-BYRON</t>
  </si>
  <si>
    <t>Mallard Dr-pool</t>
  </si>
  <si>
    <t>FARM WDS GUARD</t>
  </si>
  <si>
    <t>43 HERITAGE DR-CLUBHOUS</t>
  </si>
  <si>
    <t>Y720080000</t>
  </si>
  <si>
    <t>8 CANAL CT</t>
  </si>
  <si>
    <t>Y730110000</t>
  </si>
  <si>
    <t>11 CANAL CT</t>
  </si>
  <si>
    <t>E350050000</t>
  </si>
  <si>
    <t>5 ENSIGN DR</t>
  </si>
  <si>
    <t>E350050200</t>
  </si>
  <si>
    <t>E350310000</t>
  </si>
  <si>
    <t>31 ENSIGN DR</t>
  </si>
  <si>
    <t>E350310200</t>
  </si>
  <si>
    <t>E350070000</t>
  </si>
  <si>
    <t>7 WATERSIDE CT</t>
  </si>
  <si>
    <t>AVON TOWN CENTER</t>
  </si>
  <si>
    <t>E350090000</t>
  </si>
  <si>
    <t>MELISSA WALLACE</t>
  </si>
  <si>
    <t>E350130000</t>
  </si>
  <si>
    <t>9 WATERSIDE CT</t>
  </si>
  <si>
    <t>DONNA - FINN HEAD</t>
  </si>
  <si>
    <t>Y730160000</t>
  </si>
  <si>
    <t>12 WATERSIDE CT</t>
  </si>
  <si>
    <t>M703010000</t>
  </si>
  <si>
    <t>GRIFFIN, GUILD LLC</t>
  </si>
  <si>
    <t>50 CLIMAX ROAD</t>
  </si>
  <si>
    <t>AVON VILLAGE CENTER WHOLEFDS R4</t>
  </si>
  <si>
    <t>Avon Village Center BLDG R4</t>
  </si>
  <si>
    <t>0Avon Village Center R1</t>
  </si>
  <si>
    <t>0Avon Village Center R2</t>
  </si>
  <si>
    <t>25 ClIMAX ROAD</t>
  </si>
  <si>
    <t>26 ClIMAX ROAD</t>
  </si>
  <si>
    <t>5 CLIMAX ROAD</t>
  </si>
  <si>
    <t>M703010200</t>
  </si>
  <si>
    <t>160 COUNTRY CLUB RD</t>
  </si>
  <si>
    <t>GOLF CLUB OF AVON</t>
  </si>
  <si>
    <t>N154120000</t>
  </si>
  <si>
    <t>301 COUNTRY CLUB RD</t>
  </si>
  <si>
    <t>CARMON &amp; COMPANY LLC</t>
  </si>
  <si>
    <t>Z250270000</t>
  </si>
  <si>
    <t>CARMON &amp; COMPANY LLC -IRR</t>
  </si>
  <si>
    <t>22 DALE RD</t>
  </si>
  <si>
    <t>CLINTON JAMBOR</t>
  </si>
  <si>
    <t>B250330000</t>
  </si>
  <si>
    <t>27 DALE RD</t>
  </si>
  <si>
    <t xml:space="preserve">LIBERTY BANK </t>
  </si>
  <si>
    <t>B250330200</t>
  </si>
  <si>
    <t>LIBERTY BANK</t>
  </si>
  <si>
    <t>Z250330200</t>
  </si>
  <si>
    <t>33 DALE RD</t>
  </si>
  <si>
    <t>DR. COLLEEN JAMBOR</t>
  </si>
  <si>
    <t>Z250340000</t>
  </si>
  <si>
    <t>DR. SIOBAN STEPHEN</t>
  </si>
  <si>
    <t>Z250400000</t>
  </si>
  <si>
    <t>DR NICHOLAS LABBADIA</t>
  </si>
  <si>
    <t>Z250440000</t>
  </si>
  <si>
    <t>34 DALE RD</t>
  </si>
  <si>
    <t>TC&amp;F LLC</t>
  </si>
  <si>
    <t>Y830550000</t>
  </si>
  <si>
    <t>40 DALE RD</t>
  </si>
  <si>
    <t>40 DALE RD, LLC</t>
  </si>
  <si>
    <t>Y830550200</t>
  </si>
  <si>
    <t>44 DALE RD</t>
  </si>
  <si>
    <t>44 DALE RD. LLC</t>
  </si>
  <si>
    <t>Y831200000</t>
  </si>
  <si>
    <t>80 DARLING DR</t>
  </si>
  <si>
    <t>LEGERE WOODWORKING</t>
  </si>
  <si>
    <t>Y831200200</t>
  </si>
  <si>
    <t>105 DARLING DR</t>
  </si>
  <si>
    <t>COCC, INC.</t>
  </si>
  <si>
    <t>Y831200300</t>
  </si>
  <si>
    <t>120 DARLING DR</t>
  </si>
  <si>
    <t>ORAFOL AMERICAS INC.</t>
  </si>
  <si>
    <t>Y831350000</t>
  </si>
  <si>
    <t xml:space="preserve">ORAFOL AMERICAS, INC. </t>
  </si>
  <si>
    <t>Y150010000</t>
  </si>
  <si>
    <t>ORAFOL AMERICAS, INC</t>
  </si>
  <si>
    <t>A200070000</t>
  </si>
  <si>
    <t>135 DARLING DR</t>
  </si>
  <si>
    <t>135 DARLING DR, LLC</t>
  </si>
  <si>
    <t>Y830550300</t>
  </si>
  <si>
    <t>OFS FITEL, LLC</t>
  </si>
  <si>
    <t>Y830800000</t>
  </si>
  <si>
    <t>Y831050000</t>
  </si>
  <si>
    <t>A200110000</t>
  </si>
  <si>
    <t>1 EAST MAIN ST</t>
  </si>
  <si>
    <t>DECAPO BRICK OVEN PIZZA</t>
  </si>
  <si>
    <t>7 EAST MAIN ST</t>
  </si>
  <si>
    <t>AVON VILLAGE ASSOC., LLC</t>
  </si>
  <si>
    <t>A200190000</t>
  </si>
  <si>
    <t>11 EAST MAIN ST</t>
  </si>
  <si>
    <t>AVON VILLAGE ASSOC, LLC</t>
  </si>
  <si>
    <t>A200250000</t>
  </si>
  <si>
    <t>17 EAST MAIN ST</t>
  </si>
  <si>
    <t>A200270000</t>
  </si>
  <si>
    <t>19 EAST MAIN ST</t>
  </si>
  <si>
    <t>A200290000</t>
  </si>
  <si>
    <t>25 EAST MAIN ST</t>
  </si>
  <si>
    <t>A200310000</t>
  </si>
  <si>
    <t>27 EAST MAIN ST</t>
  </si>
  <si>
    <t>A200330000</t>
  </si>
  <si>
    <t>29 EAST MAIN ST</t>
  </si>
  <si>
    <t>A200350000</t>
  </si>
  <si>
    <t>31 EAST MAIN ST</t>
  </si>
  <si>
    <t>A200370000</t>
  </si>
  <si>
    <t>33 EAST MAIN ST</t>
  </si>
  <si>
    <t>A200410000</t>
  </si>
  <si>
    <t>35 EAST MAIN ST</t>
  </si>
  <si>
    <t>A200390000</t>
  </si>
  <si>
    <t>37 EAST MAIN ST</t>
  </si>
  <si>
    <t>A200450000</t>
  </si>
  <si>
    <t>41 EAST MAIN ST</t>
  </si>
  <si>
    <t>Y150510200</t>
  </si>
  <si>
    <t>39 EAST MAIN ST</t>
  </si>
  <si>
    <t>Y150510000</t>
  </si>
  <si>
    <t>45 EAST MAIN ST</t>
  </si>
  <si>
    <t>Y151020000</t>
  </si>
  <si>
    <t>51 EAST MAIN ST</t>
  </si>
  <si>
    <t>APPLEWOODS LLC</t>
  </si>
  <si>
    <t>Y150850000</t>
  </si>
  <si>
    <t>A200080000</t>
  </si>
  <si>
    <t>Y150100000</t>
  </si>
  <si>
    <t>85 EAST MAIN ST</t>
  </si>
  <si>
    <t>THE ELEPHANT TRAIL REST.</t>
  </si>
  <si>
    <t>A200220000</t>
  </si>
  <si>
    <t>10 EAST MAIN ST</t>
  </si>
  <si>
    <t>10 E MAIN ST AVON, LLC</t>
  </si>
  <si>
    <t>A200240000</t>
  </si>
  <si>
    <t>20 EAST MAIN ST</t>
  </si>
  <si>
    <t>20 EAST MAIN ST, LLC</t>
  </si>
  <si>
    <t>A200280000</t>
  </si>
  <si>
    <t>22 EAST MAIN ST</t>
  </si>
  <si>
    <t>FLAGMAN OF AMERICA</t>
  </si>
  <si>
    <t>A200300000</t>
  </si>
  <si>
    <t>24 EAST MAIN ST</t>
  </si>
  <si>
    <t>COMPANIONS &amp; HOMEMAKERS</t>
  </si>
  <si>
    <t>C750320000</t>
  </si>
  <si>
    <t>28 EAST MAIN ST</t>
  </si>
  <si>
    <t>FRANK PENDERGAST INC.</t>
  </si>
  <si>
    <t>A200360000</t>
  </si>
  <si>
    <t>30 EAST MAIN ST</t>
  </si>
  <si>
    <t>30 EAST MAIN LLC</t>
  </si>
  <si>
    <t>32 EAST MAIN ST</t>
  </si>
  <si>
    <t>JARI ASSOCIATES</t>
  </si>
  <si>
    <t>A200600000</t>
  </si>
  <si>
    <t>32 EAST MAIN LLC</t>
  </si>
  <si>
    <t>Y150700300</t>
  </si>
  <si>
    <t>34 EAST MAIN ST</t>
  </si>
  <si>
    <t>GIFTS OF LOVE</t>
  </si>
  <si>
    <t>Y150700000</t>
  </si>
  <si>
    <t>36 EAST MAIN ST</t>
  </si>
  <si>
    <t>Y150700200</t>
  </si>
  <si>
    <t>56 EAST MAIN ST</t>
  </si>
  <si>
    <t>AVON PROPERTIES, LLC</t>
  </si>
  <si>
    <t>Y150700400</t>
  </si>
  <si>
    <t>60 EAST MAIN ST</t>
  </si>
  <si>
    <t>A200800000</t>
  </si>
  <si>
    <t>70 EAST MAIN ST</t>
  </si>
  <si>
    <t>AVON PROPERTIES LLC</t>
  </si>
  <si>
    <t>C950150000</t>
  </si>
  <si>
    <t>Y700800000</t>
  </si>
  <si>
    <t>AVON FAIRWAY CLEANERS</t>
  </si>
  <si>
    <t>Y700800200</t>
  </si>
  <si>
    <t>MAXAMIA</t>
  </si>
  <si>
    <t>Y701000000</t>
  </si>
  <si>
    <t>80 EAST MAIN ST</t>
  </si>
  <si>
    <t>PSM ENTERPRISES, LLC</t>
  </si>
  <si>
    <t>Y701000200</t>
  </si>
  <si>
    <t>15 ENFORD ST</t>
  </si>
  <si>
    <t>USPOSTAL SERVICE</t>
  </si>
  <si>
    <t>Y701500000</t>
  </si>
  <si>
    <t>HTA-80 FISHER, LLC #150416</t>
  </si>
  <si>
    <t>Y701500200</t>
  </si>
  <si>
    <t>100 FISHER DR</t>
  </si>
  <si>
    <t>HCR MANORCARE PROP LLC, SITE 686</t>
  </si>
  <si>
    <t>Y702000000</t>
  </si>
  <si>
    <t>FARMINGTON ACADEMY INC</t>
  </si>
  <si>
    <t>F020003000</t>
  </si>
  <si>
    <t>200 FISHER DRIVE</t>
  </si>
  <si>
    <t>APN ASSOC</t>
  </si>
  <si>
    <t>Y220350000</t>
  </si>
  <si>
    <t>335 HUCKLEBERRY HILL RD</t>
  </si>
  <si>
    <t>Y220450000</t>
  </si>
  <si>
    <t>365 HUCKLEBERRY HILL RD</t>
  </si>
  <si>
    <t>AVON VOLUNTEER DEPT</t>
  </si>
  <si>
    <t>Y220450200</t>
  </si>
  <si>
    <t>1 HUNTINGTON GLEN(CLUB</t>
  </si>
  <si>
    <t>HUNTERS RUN TAX DISTRICT</t>
  </si>
  <si>
    <t>Y220550000</t>
  </si>
  <si>
    <t>HUNTERS RUN GATE HOUSE</t>
  </si>
  <si>
    <t>Y220550200</t>
  </si>
  <si>
    <t>27 NOD RD</t>
  </si>
  <si>
    <t>CONNEMARA COURT-ALSOP</t>
  </si>
  <si>
    <t>C110650200</t>
  </si>
  <si>
    <t>35 NOD RD</t>
  </si>
  <si>
    <t>CONNEMARA COURT, LLC</t>
  </si>
  <si>
    <t>C110650000</t>
  </si>
  <si>
    <t>Y351510000</t>
  </si>
  <si>
    <t>CONNEMARA COURT</t>
  </si>
  <si>
    <t>C401540000</t>
  </si>
  <si>
    <t>NOD PROPERTIES LLC</t>
  </si>
  <si>
    <t>C401900000</t>
  </si>
  <si>
    <t>BLUE FOX CLUBHOUSE</t>
  </si>
  <si>
    <t>Y352050000</t>
  </si>
  <si>
    <t>BLUE FOX RUN - MAINT BARN</t>
  </si>
  <si>
    <t>Y355000000</t>
  </si>
  <si>
    <t>151 OLD FARMS RD</t>
  </si>
  <si>
    <t>OLDCASTLE PRECAST INC.</t>
  </si>
  <si>
    <t>Y355000200</t>
  </si>
  <si>
    <t>154 OLD FARMS RD</t>
  </si>
  <si>
    <t>OLDCASTLE PRECAST INC</t>
  </si>
  <si>
    <t>Y355009800</t>
  </si>
  <si>
    <t>174 OLD FARMS RD</t>
  </si>
  <si>
    <t>JENNIFER CENTOFANTI</t>
  </si>
  <si>
    <t>C600180000</t>
  </si>
  <si>
    <t>190 OLD FARMS RD</t>
  </si>
  <si>
    <t>AVON SELF-STORAGE</t>
  </si>
  <si>
    <t>205 OLD FARMS RD</t>
  </si>
  <si>
    <t>Hop Meadow Brewing Co.</t>
  </si>
  <si>
    <t>Truffles Bakery &amp; Kitchen</t>
  </si>
  <si>
    <t>Cornerstone Landing</t>
  </si>
  <si>
    <t>Cornerstone Landing B</t>
  </si>
  <si>
    <t>Y820200000</t>
  </si>
  <si>
    <t>500 OLD FARMS RD</t>
  </si>
  <si>
    <t>AVON OLD FARMS SCHOOL</t>
  </si>
  <si>
    <t>Y820200200</t>
  </si>
  <si>
    <t>Y820250000</t>
  </si>
  <si>
    <t>16 ENSIGN DR</t>
  </si>
  <si>
    <t>Y820250200</t>
  </si>
  <si>
    <t>18 SANDSCREEN RD</t>
  </si>
  <si>
    <t>MY DOG'S DAYCARE LLC</t>
  </si>
  <si>
    <t>Y820380000</t>
  </si>
  <si>
    <t>106 SECRET LAKE RD</t>
  </si>
  <si>
    <t>Y820380200</t>
  </si>
  <si>
    <t>20 SECURITY DR</t>
  </si>
  <si>
    <t>CAPITOL REG. EDUC. COUNCIL</t>
  </si>
  <si>
    <t>Y820600000</t>
  </si>
  <si>
    <t>A200020000</t>
  </si>
  <si>
    <t>PMP CORP</t>
  </si>
  <si>
    <t>E400340000</t>
  </si>
  <si>
    <t>30 OLD WHEELER LANE</t>
  </si>
  <si>
    <t>BOARD OF EDUCATION</t>
  </si>
  <si>
    <t>Y450550000</t>
  </si>
  <si>
    <t>NORWICH COMMERCIAL GRP INC.</t>
  </si>
  <si>
    <t>Y450550200</t>
  </si>
  <si>
    <t>NORWICH COMMERCIAL GRP INC</t>
  </si>
  <si>
    <t>E401010000</t>
  </si>
  <si>
    <t>60 SECURITY DR</t>
  </si>
  <si>
    <t>TREND OFFSET PRINTING</t>
  </si>
  <si>
    <t>Y451200200</t>
  </si>
  <si>
    <t>101 SIMSBURY RD</t>
  </si>
  <si>
    <t>NORTHWEST COMMUNITY BANK</t>
  </si>
  <si>
    <t>E401360400</t>
  </si>
  <si>
    <t>111 SIMSBURY RD</t>
  </si>
  <si>
    <t>AVON OFFICE COMMONS ASSOC.</t>
  </si>
  <si>
    <t>E401360500</t>
  </si>
  <si>
    <t>THE RESIDENCE AT BROOKSIDE</t>
  </si>
  <si>
    <t>E401360600</t>
  </si>
  <si>
    <t>E401380000</t>
  </si>
  <si>
    <t>145 SIMSBURY RD</t>
  </si>
  <si>
    <t>REAR BUILDING</t>
  </si>
  <si>
    <t>Y451400000</t>
  </si>
  <si>
    <t>147 SIMSBURY RD</t>
  </si>
  <si>
    <t>147 ASSOCIATES</t>
  </si>
  <si>
    <t>E401360700</t>
  </si>
  <si>
    <t>139 SIMSBURY RD</t>
  </si>
  <si>
    <t>E401360800</t>
  </si>
  <si>
    <t>120 SIMSBURY RD</t>
  </si>
  <si>
    <t>COMMERCIAL PROP ADV LLC</t>
  </si>
  <si>
    <t>E401361700</t>
  </si>
  <si>
    <t>E401200300</t>
  </si>
  <si>
    <t>136 SIMSBURY RD</t>
  </si>
  <si>
    <t>E401360000</t>
  </si>
  <si>
    <t>E401360100</t>
  </si>
  <si>
    <t>Y451360200</t>
  </si>
  <si>
    <t>E401460000</t>
  </si>
  <si>
    <t>E401460200</t>
  </si>
  <si>
    <t>E401460400</t>
  </si>
  <si>
    <t>E401460500</t>
  </si>
  <si>
    <t>Y451170000</t>
  </si>
  <si>
    <t>2 SIMSBURY RD</t>
  </si>
  <si>
    <t>JKY LLC</t>
  </si>
  <si>
    <t>Y810500000</t>
  </si>
  <si>
    <t>RIVERDALE FARMS (BLD 14 APT.)</t>
  </si>
  <si>
    <t>Z200150200</t>
  </si>
  <si>
    <t>7 TOWPATH LANE</t>
  </si>
  <si>
    <t>SECURE FINANCIAL PROPERTIES, LLC</t>
  </si>
  <si>
    <t>B050120000</t>
  </si>
  <si>
    <t>150 THOMPSON RD</t>
  </si>
  <si>
    <t>BOARD OF ED.(5/6 SCHOOL)</t>
  </si>
  <si>
    <t>B050180000</t>
  </si>
  <si>
    <t>B050200000</t>
  </si>
  <si>
    <t>Z200460000</t>
  </si>
  <si>
    <t>9 WATERVILLE RD</t>
  </si>
  <si>
    <t>BOTANICALS DAY SPA</t>
  </si>
  <si>
    <t>Z250540000</t>
  </si>
  <si>
    <t>21 WATERVILLE RD</t>
  </si>
  <si>
    <t>M653950600</t>
  </si>
  <si>
    <t>SWEETLAND REALTY LLC</t>
  </si>
  <si>
    <t>M653950300</t>
  </si>
  <si>
    <t>M653950000</t>
  </si>
  <si>
    <t>29 WATERVILLE RD</t>
  </si>
  <si>
    <t>TWENTY NINE WATERVILLE LLC</t>
  </si>
  <si>
    <t>M653950200</t>
  </si>
  <si>
    <t>35 WATERVILLE RD</t>
  </si>
  <si>
    <t>CONNECTICUT EYE CENTER</t>
  </si>
  <si>
    <t>M653950400</t>
  </si>
  <si>
    <t>40 WATERVILLE RD</t>
  </si>
  <si>
    <t>PATH LLC</t>
  </si>
  <si>
    <t>M653950500</t>
  </si>
  <si>
    <t>59 WATERVILLE RD</t>
  </si>
  <si>
    <t>N154270400</t>
  </si>
  <si>
    <t>9 WEST AVON RD</t>
  </si>
  <si>
    <t>PETCO ANIMAL SUPPLY #1813</t>
  </si>
  <si>
    <t>N154900000</t>
  </si>
  <si>
    <t>PUERTO VALLARTA GROUP LLC</t>
  </si>
  <si>
    <t>N154270200</t>
  </si>
  <si>
    <t>SIMSBURY TURNPIKE REALTY, LLC</t>
  </si>
  <si>
    <t>Z205100000</t>
  </si>
  <si>
    <t>12 WEST AVON RD</t>
  </si>
  <si>
    <t>DR. TIMOTHY OWENS, LLC</t>
  </si>
  <si>
    <t>Z205100200</t>
  </si>
  <si>
    <t>18 WEST AVON RD</t>
  </si>
  <si>
    <t>MY EYE OPTOMETRY</t>
  </si>
  <si>
    <t>Z205100300</t>
  </si>
  <si>
    <t>20 WEST AVON RD</t>
  </si>
  <si>
    <t>TWENTY W AVON RD ASSOC</t>
  </si>
  <si>
    <t>N154270500</t>
  </si>
  <si>
    <t>46 WEST AVON RD</t>
  </si>
  <si>
    <t>DR. NICHOLAS LABBADIA</t>
  </si>
  <si>
    <t>N154270100</t>
  </si>
  <si>
    <t>54 WEST AVON RD</t>
  </si>
  <si>
    <t>N154270600</t>
  </si>
  <si>
    <t>DIALYSIS CLIMIC</t>
  </si>
  <si>
    <t>N154270300</t>
  </si>
  <si>
    <t>395 WEST AVON RD</t>
  </si>
  <si>
    <t>N155900000</t>
  </si>
  <si>
    <t>Z206520000</t>
  </si>
  <si>
    <t>Z206520200</t>
  </si>
  <si>
    <t>A100030000</t>
  </si>
  <si>
    <t>Y100050000</t>
  </si>
  <si>
    <t>427 WEST AVON RD</t>
  </si>
  <si>
    <t>Y100240000</t>
  </si>
  <si>
    <t>590 WEST AVON RD</t>
  </si>
  <si>
    <t>VALLEY COM. BAPTIST CHURCH</t>
  </si>
  <si>
    <t>Y100240100</t>
  </si>
  <si>
    <t>Y100240200</t>
  </si>
  <si>
    <t>AVON CONVALESCENT HOME</t>
  </si>
  <si>
    <t>A100290000</t>
  </si>
  <si>
    <t>A100060000</t>
  </si>
  <si>
    <t>490 WEST AVON RD</t>
  </si>
  <si>
    <t>WEST AVON FIRE HOUSE #3</t>
  </si>
  <si>
    <t>A100120000</t>
  </si>
  <si>
    <t>510 WEST AVON RD</t>
  </si>
  <si>
    <t>BOARD OF ED.(ATH.FLD.)</t>
  </si>
  <si>
    <t>A100140000</t>
  </si>
  <si>
    <t>A100290100</t>
  </si>
  <si>
    <t>3 WEST MAIN ST</t>
  </si>
  <si>
    <t>O'NEILL CHEV &amp; BUICK</t>
  </si>
  <si>
    <t>A100290200</t>
  </si>
  <si>
    <t>5 WEST MAIN ST</t>
  </si>
  <si>
    <t>O'NEILL'S CHEV&amp;BUICK,INC.</t>
  </si>
  <si>
    <t>A100290300</t>
  </si>
  <si>
    <t>6 WEST MAIN ST</t>
  </si>
  <si>
    <t>AVON CONG. CHURCH</t>
  </si>
  <si>
    <t>A100370000</t>
  </si>
  <si>
    <t>A100450300</t>
  </si>
  <si>
    <t>11 WEST MAIN ST</t>
  </si>
  <si>
    <t>THE MASTERS CORP.</t>
  </si>
  <si>
    <t>A100450400</t>
  </si>
  <si>
    <t>12 WEST MAIN ST</t>
  </si>
  <si>
    <t>A100450200</t>
  </si>
  <si>
    <t>14 WEST MAIN ST</t>
  </si>
  <si>
    <t>AVON WATER COMPANY</t>
  </si>
  <si>
    <t>A100470000</t>
  </si>
  <si>
    <t>16 WEST MAIN ST</t>
  </si>
  <si>
    <t>Mgn Co LLC</t>
  </si>
  <si>
    <t>A100450000</t>
  </si>
  <si>
    <t>17 WEST MAIN ST</t>
  </si>
  <si>
    <t>17 W MAIN ST ASSOC LLC</t>
  </si>
  <si>
    <t>A100600000</t>
  </si>
  <si>
    <t>20 WEST MAIN ST</t>
  </si>
  <si>
    <t>DOM'S COFFEE LLC</t>
  </si>
  <si>
    <t>A100600100</t>
  </si>
  <si>
    <t>21 WEST MAIN ST</t>
  </si>
  <si>
    <t>THE COFFEE TRADE INC.</t>
  </si>
  <si>
    <t>A100600200</t>
  </si>
  <si>
    <t>24 WEST MAIN ST</t>
  </si>
  <si>
    <t>FIRST &amp; LAST TAVERN, AVON</t>
  </si>
  <si>
    <t>A100600400</t>
  </si>
  <si>
    <t>A100600300</t>
  </si>
  <si>
    <t>A100600500</t>
  </si>
  <si>
    <t>LORENZO DICLEMENTE #3</t>
  </si>
  <si>
    <t>A100600600</t>
  </si>
  <si>
    <t>JOSEPH &amp; IRENE GENTILE #2</t>
  </si>
  <si>
    <t>A101120000</t>
  </si>
  <si>
    <t>LORENZO DICLEMENTE #1</t>
  </si>
  <si>
    <t>A101660000</t>
  </si>
  <si>
    <t>LORENZO DICLEMENTE #4</t>
  </si>
  <si>
    <t>A101660200</t>
  </si>
  <si>
    <t>37 WEST MAIN ST</t>
  </si>
  <si>
    <t>LORENZO DICLEMENTE</t>
  </si>
  <si>
    <t>Z101720000</t>
  </si>
  <si>
    <t>Z101720200</t>
  </si>
  <si>
    <t>Z101770000</t>
  </si>
  <si>
    <t>45 WEST MAIN ST</t>
  </si>
  <si>
    <t>AVON ALLIES</t>
  </si>
  <si>
    <t>47 WEST MAIN ST</t>
  </si>
  <si>
    <t>DREW &amp; MERSEREAU, PC</t>
  </si>
  <si>
    <t>A101920000</t>
  </si>
  <si>
    <t>49 WEST MAIN ST</t>
  </si>
  <si>
    <t>ACOP, LLC #49</t>
  </si>
  <si>
    <t>A100440000</t>
  </si>
  <si>
    <t>A120040000</t>
  </si>
  <si>
    <t>Z051010000</t>
  </si>
  <si>
    <t>44 WEST MAIN ST</t>
  </si>
  <si>
    <t>A100320000</t>
  </si>
  <si>
    <t>A100380200</t>
  </si>
  <si>
    <t>32 WEST MAIN ST</t>
  </si>
  <si>
    <t>TOWN OF AVON FIRE</t>
  </si>
  <si>
    <t>3 CHIDSEY RD</t>
  </si>
  <si>
    <t>CT STATE DOT</t>
  </si>
  <si>
    <t>A102100200</t>
  </si>
  <si>
    <t>112 WEST MAIN ST</t>
  </si>
  <si>
    <t>MARLENE JUNG ASSOC</t>
  </si>
  <si>
    <t>Z102100000</t>
  </si>
  <si>
    <t>166 WEST MAIN ST</t>
  </si>
  <si>
    <t>F &amp; L ASSOCIATES</t>
  </si>
  <si>
    <t>A102140000</t>
  </si>
  <si>
    <t>172 WEST MAIN,  LLC</t>
  </si>
  <si>
    <t>A102200000</t>
  </si>
  <si>
    <t>172 WEST MAIN, LLC</t>
  </si>
  <si>
    <t>A102210000</t>
  </si>
  <si>
    <t>177 WEST MAIN ST</t>
  </si>
  <si>
    <t>STEPHAN BROTHERS REALTY</t>
  </si>
  <si>
    <t>A102240000</t>
  </si>
  <si>
    <t>183 WEST MAIN ST</t>
  </si>
  <si>
    <t>YONG</t>
  </si>
  <si>
    <t>Z102250000</t>
  </si>
  <si>
    <t>192 WEST MAIN ST</t>
  </si>
  <si>
    <t>LEIBERT FAMILY LTD. PART.</t>
  </si>
  <si>
    <t>Z102320000</t>
  </si>
  <si>
    <t>ROSIE'S LAUNDRY</t>
  </si>
  <si>
    <t>A102400000</t>
  </si>
  <si>
    <t>195 WEST MAIN ST</t>
  </si>
  <si>
    <t>FOUR SQUARE ASSOCIATES</t>
  </si>
  <si>
    <t>200 WEST MAIN ST</t>
  </si>
  <si>
    <t>DP1 LLC</t>
  </si>
  <si>
    <t>A102550000</t>
  </si>
  <si>
    <t>E &amp; D PIZZA CO, LLC</t>
  </si>
  <si>
    <t>A102550400</t>
  </si>
  <si>
    <t>205 WEST MAIN ST</t>
  </si>
  <si>
    <t>0BNF Contractors Inc</t>
  </si>
  <si>
    <t>A102550500</t>
  </si>
  <si>
    <t>209 WEST MAIN ST</t>
  </si>
  <si>
    <t>DAVID KELLY LLC</t>
  </si>
  <si>
    <t>A102550600</t>
  </si>
  <si>
    <t>210 WEST MAIN ST</t>
  </si>
  <si>
    <t>DPI LLC</t>
  </si>
  <si>
    <t>A102550700</t>
  </si>
  <si>
    <t>DEEPWATER LOBSTER</t>
  </si>
  <si>
    <t>Z102550000</t>
  </si>
  <si>
    <t>Z102550100</t>
  </si>
  <si>
    <t>213 WEST MAIN ST</t>
  </si>
  <si>
    <t>K BROTHERS, LLC</t>
  </si>
  <si>
    <t>Z102550400</t>
  </si>
  <si>
    <t>214 WEST MAIN ST</t>
  </si>
  <si>
    <t>ROY ROUNSEVILLE</t>
  </si>
  <si>
    <t>Z102600000</t>
  </si>
  <si>
    <t>220 WEST MAIN ST</t>
  </si>
  <si>
    <t>LAWRENCE BRUNOLI</t>
  </si>
  <si>
    <t>Z102650000</t>
  </si>
  <si>
    <t>221 WEST MAIN ST</t>
  </si>
  <si>
    <t>FRED &amp; BONNIE LLC</t>
  </si>
  <si>
    <t>Z102650200</t>
  </si>
  <si>
    <t>224 WEST MAIN ST</t>
  </si>
  <si>
    <t>ENTERPRISE RENT-A-CAR</t>
  </si>
  <si>
    <t>225 WEST MAIN ST</t>
  </si>
  <si>
    <t>GREEN MOUNTAIN LLC</t>
  </si>
  <si>
    <t>232 WEST MAIN ST</t>
  </si>
  <si>
    <t>KEYBANK, NA</t>
  </si>
  <si>
    <t>Z102900000</t>
  </si>
  <si>
    <t>240 WEST MAIN ST</t>
  </si>
  <si>
    <t>BANK OF AMERICA</t>
  </si>
  <si>
    <t>Z103000000</t>
  </si>
  <si>
    <t>248 WEST MAIN ST</t>
  </si>
  <si>
    <t>TOWN FAIR TIRE CTRS OF CT</t>
  </si>
  <si>
    <t>Z103000200</t>
  </si>
  <si>
    <t>255 WEST MAIN ST</t>
  </si>
  <si>
    <t>Z103020000</t>
  </si>
  <si>
    <t>A103100000</t>
  </si>
  <si>
    <t>FIVE GUYS OPERATIONS LLC #74</t>
  </si>
  <si>
    <t>B203150800</t>
  </si>
  <si>
    <t>B203150900</t>
  </si>
  <si>
    <t>BIG Y GROCERY, SITE #53</t>
  </si>
  <si>
    <t>B203151100</t>
  </si>
  <si>
    <t>B203151400</t>
  </si>
  <si>
    <t>260 WEST MAIN ST</t>
  </si>
  <si>
    <t>SUNSET OF AVON, LLC</t>
  </si>
  <si>
    <t>B203151500</t>
  </si>
  <si>
    <t>RUSSELL SPEEDERS CAR WASH</t>
  </si>
  <si>
    <t>Z103150000</t>
  </si>
  <si>
    <t>Z103150200</t>
  </si>
  <si>
    <t>279 WEST MAIN ST</t>
  </si>
  <si>
    <t xml:space="preserve">ROTUNDO </t>
  </si>
  <si>
    <t>Z103150300</t>
  </si>
  <si>
    <t>282 WEST MAIN ST</t>
  </si>
  <si>
    <t>Z103150400</t>
  </si>
  <si>
    <t>290 WEST MAIN ST</t>
  </si>
  <si>
    <t>290 CLIPPER CENTER LLC</t>
  </si>
  <si>
    <t>Z103200000</t>
  </si>
  <si>
    <t>DP3 LLC</t>
  </si>
  <si>
    <t>302 WEST MAIN ST</t>
  </si>
  <si>
    <t>FISH ENTERPRISES</t>
  </si>
  <si>
    <t>A103320000</t>
  </si>
  <si>
    <t xml:space="preserve">304 WEST MAIN ST </t>
  </si>
  <si>
    <t>AVON RETAIL</t>
  </si>
  <si>
    <t>A103360000</t>
  </si>
  <si>
    <t>310 WEST MAIN ST</t>
  </si>
  <si>
    <t>FARMINGTON SAVINGS BANK</t>
  </si>
  <si>
    <t>Z103390000</t>
  </si>
  <si>
    <t>315 WEST MAIN ST</t>
  </si>
  <si>
    <t>LANE BRYANT LLC</t>
  </si>
  <si>
    <t>Z103470000</t>
  </si>
  <si>
    <t>NOD BROOK, LLC (BAKERDOZ)</t>
  </si>
  <si>
    <t>Z103530000</t>
  </si>
  <si>
    <t>GREAT CLIPS</t>
  </si>
  <si>
    <t>A103580000</t>
  </si>
  <si>
    <t>NOD BROOK, LLC (TOP NAIL)</t>
  </si>
  <si>
    <t>Z103580000</t>
  </si>
  <si>
    <t>LANE BRYANT #4811, LLC</t>
  </si>
  <si>
    <t>Z103690000</t>
  </si>
  <si>
    <t>443400 TJX CO, MS#1</t>
  </si>
  <si>
    <t>Z103690200</t>
  </si>
  <si>
    <t>Z103800000</t>
  </si>
  <si>
    <t>NOD BROOK LLC (PUL)</t>
  </si>
  <si>
    <t>Z103800100</t>
  </si>
  <si>
    <t>NOD BROOK LLC (MUSIC)</t>
  </si>
  <si>
    <t>Z103800200</t>
  </si>
  <si>
    <t>MICHAEL'S MS #2</t>
  </si>
  <si>
    <t>Z103800300</t>
  </si>
  <si>
    <t>COLONY GRILL</t>
  </si>
  <si>
    <t>NOD BROOK LLC</t>
  </si>
  <si>
    <t>Z103800700</t>
  </si>
  <si>
    <t>321 WEST MAIN ST</t>
  </si>
  <si>
    <t>THE FRESH MARKET #127</t>
  </si>
  <si>
    <t>316 WEST MAIN ST</t>
  </si>
  <si>
    <t>Z103800400</t>
  </si>
  <si>
    <t>320 WEST MAIN ST</t>
  </si>
  <si>
    <t>LEXHAM AVON LLC</t>
  </si>
  <si>
    <t>Z103800600</t>
  </si>
  <si>
    <t>328 WEST MAIN ST</t>
  </si>
  <si>
    <t>F. FEIBEL</t>
  </si>
  <si>
    <t>Z103850000</t>
  </si>
  <si>
    <t>332 WEST MAIN ST</t>
  </si>
  <si>
    <t>NAVE, LLC</t>
  </si>
  <si>
    <t>A103850100</t>
  </si>
  <si>
    <t>336 WEST MAIN ST</t>
  </si>
  <si>
    <t>G &amp; L AVON, LLC</t>
  </si>
  <si>
    <t>A103850000</t>
  </si>
  <si>
    <t>339 WEST MAIN ST</t>
  </si>
  <si>
    <t>A103850200</t>
  </si>
  <si>
    <t>347 WEST MAIN ST</t>
  </si>
  <si>
    <t>FRIENDLY REST#4239</t>
  </si>
  <si>
    <t>Z103850200</t>
  </si>
  <si>
    <t>353 WEST MAIN ST</t>
  </si>
  <si>
    <t>GOLD-BORG ASSOCIATES</t>
  </si>
  <si>
    <t>A103850300</t>
  </si>
  <si>
    <t>358 WEST MAIN ST</t>
  </si>
  <si>
    <t>CVS #1180</t>
  </si>
  <si>
    <t>Z103950000</t>
  </si>
  <si>
    <t>CVS #1180-02</t>
  </si>
  <si>
    <t>Z104010000</t>
  </si>
  <si>
    <t>BATTISTON'S CLEANERS</t>
  </si>
  <si>
    <t>B204110000</t>
  </si>
  <si>
    <t>DEACON DONALD BATTISTON TRUST</t>
  </si>
  <si>
    <t>W100000200</t>
  </si>
  <si>
    <t>380 WEST MAIN ST</t>
  </si>
  <si>
    <t>BERTUCCI'S</t>
  </si>
  <si>
    <t>W290000000</t>
  </si>
  <si>
    <t>VERIZON WIRELESS, SITE# 90377</t>
  </si>
  <si>
    <t>W590000000</t>
  </si>
  <si>
    <t>STARBUCKS, SITE #075</t>
  </si>
  <si>
    <t>W100000000</t>
  </si>
  <si>
    <t>AVON MARKETPLACE</t>
  </si>
  <si>
    <t>W200430000</t>
  </si>
  <si>
    <t>CASS INFORMATION SYSTEMS</t>
  </si>
  <si>
    <t>T152240000</t>
  </si>
  <si>
    <t>Z710300000</t>
  </si>
  <si>
    <t>AVON MARKETPLACE (NBAL)</t>
  </si>
  <si>
    <t>385 WEST MAIN ST</t>
  </si>
  <si>
    <t>386 WEST MAIN ST</t>
  </si>
  <si>
    <t>HARTFORD HEALTH CARE</t>
  </si>
  <si>
    <t>387 WEST MAIN ST</t>
  </si>
  <si>
    <t>SAVIN BRANDS</t>
  </si>
  <si>
    <t>SPORT CLIPS</t>
  </si>
  <si>
    <t>LIKI SUSHI</t>
  </si>
  <si>
    <t>SHOPS AT DALE CORNER</t>
  </si>
  <si>
    <t>395 WEST MAIN ST</t>
  </si>
  <si>
    <t>NOVA CENTER CO.</t>
  </si>
  <si>
    <t>401 WEST MAIN ST</t>
  </si>
  <si>
    <t>VRAKAS LLC</t>
  </si>
  <si>
    <t>411 WEST MAIN ST</t>
  </si>
  <si>
    <t>SMART FOODS</t>
  </si>
  <si>
    <t>388 WEST MAIN ST</t>
  </si>
  <si>
    <t>↓</t>
  </si>
  <si>
    <t>↔</t>
  </si>
  <si>
    <t>↑</t>
  </si>
  <si>
    <t>80 FISHER DR Deduc</t>
  </si>
  <si>
    <t>Cornerstone Landing A HOU</t>
  </si>
  <si>
    <t>AVON CONG. CHURCH DEDUC</t>
  </si>
  <si>
    <t xml:space="preserve">AVON CONG. CHURCH PRIM </t>
  </si>
  <si>
    <t>Parcel ID</t>
  </si>
  <si>
    <t>EBU</t>
  </si>
  <si>
    <t>TOA</t>
  </si>
  <si>
    <t>COMMERCIAL SEWER USE 2022</t>
  </si>
  <si>
    <t xml:space="preserve">70 EAST MAIN ST MAX </t>
  </si>
  <si>
    <t>38 West Main St  - PRIM</t>
  </si>
  <si>
    <t>state of CT</t>
  </si>
  <si>
    <t xml:space="preserve">AVON VILLAGE CENTER </t>
  </si>
  <si>
    <t xml:space="preserve">CARMON &amp; COMPANY LLC </t>
  </si>
  <si>
    <t>412 WEST AVON RD</t>
  </si>
  <si>
    <t>peachtree assoc</t>
  </si>
  <si>
    <t>AVON HISTORICAL SOC.</t>
  </si>
  <si>
    <t>fred patton</t>
  </si>
  <si>
    <t>CT WATER</t>
  </si>
  <si>
    <t>25 WEST MAIN ST</t>
  </si>
  <si>
    <t>55 ClIMAX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</si>
</sst>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;[Red]0.00"/>
  </numFmts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center"/>
    </xf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0" fillId="6" borderId="0" xfId="0" applyFill="1"/>
    <xf numFmtId="0" fontId="0" fillId="7" borderId="0" xfId="0" applyFill="1"/>
    <xf numFmtId="0" fontId="1" fillId="7" borderId="0" xfId="0" applyFont="1" applyFill="1" applyBorder="1"/>
    <xf numFmtId="0" fontId="1" fillId="7" borderId="0" xfId="0" applyFont="1" applyFill="1" applyBorder="1" applyAlignment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left"/>
    </xf>
    <xf numFmtId="0" fontId="1" fillId="7" borderId="0" xfId="0" applyFont="1" applyFill="1" applyBorder="1" applyAlignment="1">
      <alignment horizontal="right"/>
    </xf>
    <xf numFmtId="0" fontId="0" fillId="7" borderId="0" xfId="0" applyFont="1" applyFill="1" applyBorder="1"/>
    <xf numFmtId="164" fontId="0" fillId="7" borderId="0" xfId="0" applyNumberFormat="1" applyFont="1" applyFill="1" applyBorder="1"/>
    <xf numFmtId="2" fontId="0" fillId="7" borderId="0" xfId="0" applyNumberFormat="1" applyFont="1" applyFill="1" applyBorder="1"/>
    <xf numFmtId="0" fontId="2" fillId="7" borderId="0" xfId="0" applyFont="1" applyFill="1" applyBorder="1"/>
    <xf numFmtId="0" fontId="0" fillId="7" borderId="0" xfId="0" applyFont="1" applyFill="1"/>
    <xf numFmtId="0" fontId="3" fillId="7" borderId="0" xfId="0" applyFont="1" applyFill="1" applyBorder="1"/>
    <xf numFmtId="0" fontId="3" fillId="7" borderId="0" xfId="0" applyFont="1" applyFill="1" applyBorder="1" applyAlignment="1"/>
    <xf numFmtId="0" fontId="0" fillId="7" borderId="0" xfId="0" applyFont="1" applyFill="1" applyBorder="1" applyAlignment="1">
      <alignment horizontal="center"/>
    </xf>
    <xf numFmtId="0" fontId="0" fillId="7" borderId="0" xfId="0" applyFont="1" applyFill="1" applyBorder="1" applyAlignment="1">
      <alignment horizontal="left"/>
    </xf>
    <xf numFmtId="37" fontId="3" fillId="7" borderId="0" xfId="0" applyNumberFormat="1" applyFont="1" applyFill="1" applyBorder="1" applyAlignment="1">
      <alignment horizontal="right"/>
    </xf>
    <xf numFmtId="0" fontId="0" fillId="7" borderId="0" xfId="0" applyFont="1" applyFill="1" applyBorder="1" applyAlignment="1"/>
    <xf numFmtId="0" fontId="0" fillId="9" borderId="0" xfId="0" applyFill="1"/>
    <xf numFmtId="0" fontId="3" fillId="7" borderId="0" xfId="0" applyFont="1" applyFill="1" applyBorder="1" applyAlignment="1">
      <alignment horizontal="left"/>
    </xf>
    <xf numFmtId="4" fontId="0" fillId="7" borderId="0" xfId="0" applyNumberFormat="1" applyFill="1"/>
    <xf numFmtId="0" fontId="1" fillId="7" borderId="1" xfId="0" applyFont="1" applyFill="1" applyBorder="1"/>
    <xf numFmtId="0" fontId="1" fillId="7" borderId="1" xfId="0" applyFont="1" applyFill="1" applyBorder="1" applyAlignment="1"/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/>
    </xf>
    <xf numFmtId="0" fontId="1" fillId="6" borderId="1" xfId="0" applyFont="1" applyFill="1" applyBorder="1" applyAlignment="1"/>
    <xf numFmtId="0" fontId="0" fillId="6" borderId="1" xfId="0" applyFont="1" applyFill="1" applyBorder="1" applyAlignment="1"/>
    <xf numFmtId="4" fontId="0" fillId="7" borderId="1" xfId="0" applyNumberFormat="1" applyFont="1" applyFill="1" applyBorder="1"/>
    <xf numFmtId="2" fontId="0" fillId="7" borderId="1" xfId="0" applyNumberFormat="1" applyFont="1" applyFill="1" applyBorder="1"/>
    <xf numFmtId="0" fontId="0" fillId="7" borderId="1" xfId="0" applyFont="1" applyFill="1" applyBorder="1"/>
    <xf numFmtId="0" fontId="3" fillId="7" borderId="1" xfId="0" applyFont="1" applyFill="1" applyBorder="1"/>
    <xf numFmtId="0" fontId="3" fillId="7" borderId="1" xfId="0" applyFont="1" applyFill="1" applyBorder="1" applyAlignment="1"/>
    <xf numFmtId="0" fontId="0" fillId="7" borderId="1" xfId="0" applyFont="1" applyFill="1" applyBorder="1" applyAlignment="1">
      <alignment horizontal="left"/>
    </xf>
    <xf numFmtId="0" fontId="0" fillId="7" borderId="1" xfId="0" applyFont="1" applyFill="1" applyBorder="1" applyAlignment="1">
      <alignment horizontal="center"/>
    </xf>
    <xf numFmtId="0" fontId="0" fillId="6" borderId="1" xfId="0" applyFill="1" applyBorder="1" applyAlignment="1"/>
    <xf numFmtId="0" fontId="0" fillId="7" borderId="1" xfId="0" applyFont="1" applyFill="1" applyBorder="1" applyAlignment="1"/>
    <xf numFmtId="37" fontId="3" fillId="6" borderId="1" xfId="0" applyNumberFormat="1" applyFont="1" applyFill="1" applyBorder="1" applyAlignment="1"/>
    <xf numFmtId="0" fontId="3" fillId="9" borderId="1" xfId="0" applyFont="1" applyFill="1" applyBorder="1"/>
    <xf numFmtId="0" fontId="0" fillId="9" borderId="1" xfId="0" applyFont="1" applyFill="1" applyBorder="1" applyAlignment="1"/>
    <xf numFmtId="0" fontId="0" fillId="9" borderId="1" xfId="0" applyFill="1" applyBorder="1" applyAlignment="1">
      <alignment horizontal="left"/>
    </xf>
    <xf numFmtId="0" fontId="0" fillId="9" borderId="1" xfId="0" applyFont="1" applyFill="1" applyBorder="1" applyAlignment="1">
      <alignment horizontal="left"/>
    </xf>
    <xf numFmtId="0" fontId="0" fillId="9" borderId="1" xfId="0" applyFill="1" applyBorder="1"/>
    <xf numFmtId="0" fontId="0" fillId="9" borderId="1" xfId="0" applyFill="1" applyBorder="1" applyAlignment="1"/>
    <xf numFmtId="0" fontId="0" fillId="7" borderId="1" xfId="0" applyFill="1" applyBorder="1"/>
    <xf numFmtId="0" fontId="0" fillId="0" borderId="1" xfId="0" applyBorder="1"/>
    <xf numFmtId="0" fontId="0" fillId="9" borderId="1" xfId="0" applyFont="1" applyFill="1" applyBorder="1" applyAlignment="1">
      <alignment horizontal="center"/>
    </xf>
    <xf numFmtId="0" fontId="3" fillId="9" borderId="1" xfId="0" applyFont="1" applyFill="1" applyBorder="1" applyAlignment="1"/>
    <xf numFmtId="0" fontId="0" fillId="9" borderId="1" xfId="0" applyFont="1" applyFill="1" applyBorder="1"/>
    <xf numFmtId="4" fontId="0" fillId="0" borderId="1" xfId="0" applyNumberFormat="1" applyBorder="1"/>
    <xf numFmtId="0" fontId="0" fillId="7" borderId="1" xfId="0" applyFill="1" applyBorder="1" applyAlignment="1">
      <alignment horizontal="left"/>
    </xf>
    <xf numFmtId="4" fontId="0" fillId="9" borderId="1" xfId="0" applyNumberFormat="1" applyFill="1" applyBorder="1"/>
    <xf numFmtId="0" fontId="0" fillId="7" borderId="1" xfId="0" applyFill="1" applyBorder="1" applyAlignment="1"/>
    <xf numFmtId="0" fontId="0" fillId="6" borderId="1" xfId="0" applyFill="1" applyBorder="1"/>
    <xf numFmtId="0" fontId="3" fillId="7" borderId="1" xfId="0" applyFont="1" applyFill="1" applyBorder="1" applyAlignment="1">
      <alignment horizontal="left"/>
    </xf>
    <xf numFmtId="0" fontId="0" fillId="11" borderId="1" xfId="0" applyFill="1" applyBorder="1"/>
    <xf numFmtId="4" fontId="0" fillId="7" borderId="1" xfId="0" applyNumberFormat="1" applyFill="1" applyBorder="1"/>
    <xf numFmtId="0" fontId="3" fillId="10" borderId="0" xfId="0" applyFont="1" applyFill="1" applyBorder="1"/>
    <xf numFmtId="0" fontId="0" fillId="10" borderId="0" xfId="0" applyFont="1" applyFill="1" applyBorder="1" applyAlignment="1">
      <alignment horizontal="center"/>
    </xf>
    <xf numFmtId="0" fontId="0" fillId="10" borderId="0" xfId="0" applyFont="1" applyFill="1" applyBorder="1" applyAlignment="1">
      <alignment horizontal="left"/>
    </xf>
    <xf numFmtId="0" fontId="0" fillId="8" borderId="1" xfId="0" applyFill="1" applyBorder="1"/>
    <xf numFmtId="4" fontId="0" fillId="8" borderId="1" xfId="0" applyNumberFormat="1" applyFill="1" applyBorder="1"/>
    <xf numFmtId="0" fontId="0" fillId="11" borderId="0" xfId="0" applyFill="1"/>
    <xf numFmtId="4" fontId="0" fillId="11" borderId="1" xfId="0" applyNumberFormat="1" applyFill="1" applyBorder="1"/>
    <xf numFmtId="0" fontId="4" fillId="7" borderId="0" xfId="0" applyFont="1" applyFill="1" applyBorder="1" applyAlignment="1"/>
    <xf numFmtId="0" fontId="5" fillId="7" borderId="0" xfId="0" applyFont="1" applyFill="1" applyBorder="1" applyAlignment="1"/>
    <xf numFmtId="0" fontId="0" fillId="0" borderId="0" xfId="0" applyBorder="1"/>
    <xf numFmtId="0" fontId="0" fillId="7" borderId="0" xfId="0" applyFill="1" applyBorder="1"/>
    <xf numFmtId="0" fontId="0" fillId="7" borderId="0" xfId="0" applyFill="1" applyBorder="1" applyAlignment="1">
      <alignment horizontal="left"/>
    </xf>
    <xf numFmtId="0" fontId="0" fillId="7" borderId="0" xfId="0" applyFill="1" applyBorder="1" applyAlignment="1"/>
    <xf numFmtId="0" fontId="0" fillId="11" borderId="1" xfId="0" applyFill="1" applyBorder="1" applyAlignment="1">
      <alignment horizontal="left"/>
    </xf>
    <xf numFmtId="0" fontId="0" fillId="11" borderId="1" xfId="0" applyFill="1" applyBorder="1" applyAlignment="1"/>
    <xf numFmtId="0" fontId="0" fillId="10" borderId="0" xfId="0" applyFont="1" applyFill="1" applyBorder="1"/>
    <xf numFmtId="0" fontId="0" fillId="9" borderId="0" xfId="0" applyFill="1" applyAlignment="1">
      <alignment horizontal="center"/>
    </xf>
    <xf numFmtId="0" fontId="0" fillId="9" borderId="0" xfId="0" applyFill="1"/>
    <xf numFmtId="0" fontId="4" fillId="7" borderId="1" xfId="0" applyFont="1" applyFill="1" applyBorder="1" applyAlignment="1"/>
    <xf numFmtId="0" fontId="3" fillId="11" borderId="1" xfId="0" applyFont="1" applyFill="1" applyBorder="1"/>
    <xf numFmtId="0" fontId="0" fillId="11" borderId="1" xfId="0" applyFont="1" applyFill="1" applyBorder="1" applyAlignment="1"/>
    <xf numFmtId="0" fontId="0" fillId="11" borderId="1" xfId="0" applyFont="1" applyFill="1" applyBorder="1" applyAlignment="1">
      <alignment horizontal="left"/>
    </xf>
    <xf numFmtId="0" fontId="3" fillId="10" borderId="1" xfId="0" applyFont="1" applyFill="1" applyBorder="1"/>
    <xf numFmtId="0" fontId="0" fillId="10" borderId="1" xfId="0" applyFont="1" applyFill="1" applyBorder="1" applyAlignment="1"/>
    <xf numFmtId="0" fontId="0" fillId="10" borderId="1" xfId="0" applyFont="1" applyFill="1" applyBorder="1" applyAlignment="1">
      <alignment horizontal="left"/>
    </xf>
    <xf numFmtId="0" fontId="5" fillId="7" borderId="1" xfId="0" applyFont="1" applyFill="1" applyBorder="1" applyAlignment="1"/>
    <xf numFmtId="0" fontId="0" fillId="10" borderId="1" xfId="0" applyFont="1" applyFill="1" applyBorder="1"/>
    <xf numFmtId="0" fontId="0" fillId="11" borderId="1" xfId="0" applyFont="1" applyFill="1" applyBorder="1"/>
    <xf numFmtId="0" fontId="0" fillId="11" borderId="1" xfId="0" applyFont="1" applyFill="1" applyBorder="1" applyAlignment="1">
      <alignment horizontal="center"/>
    </xf>
    <xf numFmtId="0" fontId="0" fillId="10" borderId="1" xfId="0" applyFont="1" applyFill="1" applyBorder="1" applyAlignment="1">
      <alignment horizontal="center"/>
    </xf>
    <xf numFmtId="0" fontId="3" fillId="12" borderId="1" xfId="0" applyFont="1" applyFill="1" applyBorder="1" applyAlignment="1"/>
    <xf numFmtId="0" fontId="0" fillId="12" borderId="1" xfId="0" applyFont="1" applyFill="1" applyBorder="1" applyAlignment="1"/>
    <xf numFmtId="0" fontId="0" fillId="12" borderId="1" xfId="0" applyFont="1" applyFill="1" applyBorder="1" applyAlignment="1">
      <alignment horizontal="left"/>
    </xf>
    <xf numFmtId="0" fontId="0" fillId="12" borderId="1" xfId="0" applyFill="1" applyBorder="1"/>
    <xf numFmtId="4" fontId="0" fillId="12" borderId="1" xfId="0" applyNumberFormat="1" applyFont="1" applyFill="1" applyBorder="1"/>
    <xf numFmtId="2" fontId="0" fillId="12" borderId="1" xfId="0" applyNumberFormat="1" applyFont="1" applyFill="1" applyBorder="1"/>
    <xf numFmtId="0" fontId="0" fillId="12" borderId="1" xfId="0" applyFill="1" applyBorder="1" applyAlignment="1">
      <alignment horizontal="left"/>
    </xf>
    <xf numFmtId="4" fontId="0" fillId="12" borderId="1" xfId="0" applyNumberFormat="1" applyFill="1" applyBorder="1"/>
    <xf numFmtId="0" fontId="0" fillId="12" borderId="1" xfId="0" applyFont="1" applyFill="1" applyBorder="1"/>
    <xf numFmtId="0" fontId="3" fillId="12" borderId="0" xfId="0" applyFont="1" applyFill="1" applyBorder="1"/>
    <xf numFmtId="0" fontId="0" fillId="12" borderId="0" xfId="0" applyFont="1" applyFill="1" applyBorder="1"/>
    <xf numFmtId="0" fontId="0" fillId="12" borderId="0" xfId="0" applyFont="1" applyFill="1" applyBorder="1" applyAlignment="1"/>
    <xf numFmtId="0" fontId="0" fillId="12" borderId="0" xfId="0" applyFont="1" applyFill="1" applyBorder="1" applyAlignment="1">
      <alignment horizontal="center"/>
    </xf>
    <xf numFmtId="0" fontId="0" fillId="12" borderId="0" xfId="0" applyFont="1" applyFill="1" applyBorder="1" applyAlignment="1">
      <alignment horizontal="left"/>
    </xf>
    <xf numFmtId="0" fontId="0" fillId="12" borderId="1" xfId="0" applyFill="1" applyBorder="1" applyAlignment="1"/>
    <xf numFmtId="0" fontId="0" fillId="12" borderId="1" xfId="0" applyFont="1" applyFill="1" applyBorder="1" applyAlignment="1">
      <alignment horizontal="center"/>
    </xf>
    <xf numFmtId="0" fontId="0" fillId="8" borderId="1" xfId="0" applyFont="1" applyFill="1" applyBorder="1" applyAlignment="1"/>
    <xf numFmtId="0" fontId="0" fillId="8" borderId="1" xfId="0" applyFont="1" applyFill="1" applyBorder="1" applyAlignment="1">
      <alignment horizontal="left"/>
    </xf>
    <xf numFmtId="0" fontId="0" fillId="8" borderId="1" xfId="0" applyFill="1" applyBorder="1" applyAlignment="1"/>
    <xf numFmtId="0" fontId="0" fillId="8" borderId="1" xfId="0" applyFill="1" applyBorder="1" applyAlignment="1">
      <alignment horizontal="left"/>
    </xf>
    <xf numFmtId="0" fontId="4" fillId="7" borderId="0" xfId="0" applyFont="1" applyFill="1" applyBorder="1"/>
    <xf numFmtId="0" fontId="0" fillId="7" borderId="0" xfId="0" applyFont="1" applyFill="1" applyBorder="1" applyAlignment="1">
      <alignment horizontal="right"/>
    </xf>
    <xf numFmtId="2" fontId="2" fillId="7" borderId="1" xfId="0" applyNumberFormat="1" applyFont="1" applyFill="1" applyBorder="1"/>
    <xf numFmtId="2" fontId="0" fillId="7" borderId="1" xfId="0" applyNumberFormat="1" applyFill="1" applyBorder="1"/>
    <xf numFmtId="2" fontId="0" fillId="0" borderId="1" xfId="0" applyNumberFormat="1" applyBorder="1"/>
    <xf numFmtId="2" fontId="0" fillId="12" borderId="1" xfId="0" applyNumberFormat="1" applyFill="1" applyBorder="1"/>
    <xf numFmtId="2" fontId="0" fillId="9" borderId="1" xfId="0" applyNumberFormat="1" applyFill="1" applyBorder="1"/>
    <xf numFmtId="2" fontId="0" fillId="11" borderId="1" xfId="0" applyNumberFormat="1" applyFill="1" applyBorder="1"/>
    <xf numFmtId="0" fontId="4" fillId="7" borderId="1" xfId="0" applyFont="1" applyFill="1" applyBorder="1"/>
    <xf numFmtId="0" fontId="4" fillId="0" borderId="1" xfId="0" applyFont="1" applyBorder="1"/>
    <xf numFmtId="2" fontId="4" fillId="0" borderId="1" xfId="0" applyNumberFormat="1" applyFont="1" applyBorder="1"/>
    <xf numFmtId="2" fontId="0" fillId="8" borderId="1" xfId="0" applyNumberFormat="1" applyFill="1" applyBorder="1"/>
    <xf numFmtId="0" fontId="0" fillId="8" borderId="1" xfId="0" applyFont="1" applyFill="1" applyBorder="1"/>
    <xf numFmtId="0" fontId="0" fillId="8" borderId="0" xfId="0" applyFont="1" applyFill="1" applyBorder="1"/>
    <xf numFmtId="4" fontId="0" fillId="7" borderId="0" xfId="0" applyNumberFormat="1" applyFill="1" applyBorder="1"/>
    <xf numFmtId="37" fontId="0" fillId="7" borderId="0" xfId="0" applyNumberFormat="1" applyFont="1" applyFill="1" applyBorder="1"/>
    <xf numFmtId="0" fontId="3" fillId="13" borderId="1" xfId="0" applyFont="1" applyFill="1" applyBorder="1"/>
    <xf numFmtId="0" fontId="3" fillId="7" borderId="0" xfId="0" applyNumberFormat="1" applyFont="1" applyFill="1" applyBorder="1" applyAlignment="1">
      <alignment horizontal="right"/>
    </xf>
    <xf numFmtId="0" fontId="0" fillId="7" borderId="0" xfId="0" applyNumberFormat="1" applyFill="1" applyBorder="1" applyAlignment="1"/>
    <xf numFmtId="0" fontId="0" fillId="7" borderId="0" xfId="0" applyNumberFormat="1" applyFill="1" applyBorder="1"/>
    <xf numFmtId="0" fontId="0" fillId="13" borderId="1" xfId="0" applyFill="1" applyBorder="1"/>
    <xf numFmtId="0" fontId="3" fillId="7" borderId="0" xfId="0" applyNumberFormat="1" applyFont="1" applyFill="1" applyBorder="1" applyAlignment="1"/>
    <xf numFmtId="37" fontId="3" fillId="7" borderId="0" xfId="0" applyNumberFormat="1" applyFont="1" applyFill="1" applyBorder="1" applyAlignment="1"/>
    <xf numFmtId="0" fontId="3" fillId="13" borderId="0" xfId="0" applyFont="1" applyFill="1" applyBorder="1"/>
    <xf numFmtId="0" fontId="0" fillId="13" borderId="1" xfId="0" applyFont="1" applyFill="1" applyBorder="1"/>
    <xf numFmtId="0" fontId="6" fillId="7" borderId="0" xfId="0" applyFont="1" applyFill="1" applyBorder="1"/>
    <xf numFmtId="0" fontId="0" fillId="11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28"/>
  <sheetViews>
    <sheetView topLeftCell="A73" workbookViewId="0">
      <selection activeCell="A77" sqref="A77:XFD77"/>
    </sheetView>
  </sheetViews>
  <sheetFormatPr defaultRowHeight="15" x14ac:dyDescent="0.25"/>
  <cols>
    <col min="1" max="1" width="11.7109375" bestFit="1" customWidth="1"/>
    <col min="2" max="2" width="32.7109375" bestFit="1" customWidth="1"/>
    <col min="3" max="3" width="29.42578125" bestFit="1" customWidth="1"/>
    <col min="4" max="4" width="20.5703125" bestFit="1" customWidth="1"/>
    <col min="5" max="5" width="23.5703125" style="1" bestFit="1" customWidth="1"/>
    <col min="6" max="6" width="32" customWidth="1"/>
    <col min="7" max="7" width="15.7109375" bestFit="1" customWidth="1"/>
    <col min="8" max="8" width="3.7109375" bestFit="1" customWidth="1"/>
    <col min="9" max="9" width="14.28515625" style="2" bestFit="1" customWidth="1"/>
    <col min="10" max="10" width="10.85546875" bestFit="1" customWidth="1"/>
    <col min="15" max="15" width="14.85546875" bestFit="1" customWidth="1"/>
    <col min="257" max="257" width="11.7109375" bestFit="1" customWidth="1"/>
    <col min="258" max="258" width="32.7109375" bestFit="1" customWidth="1"/>
    <col min="259" max="259" width="29.42578125" bestFit="1" customWidth="1"/>
    <col min="260" max="260" width="20.5703125" bestFit="1" customWidth="1"/>
    <col min="261" max="261" width="23.5703125" bestFit="1" customWidth="1"/>
    <col min="262" max="262" width="24" bestFit="1" customWidth="1"/>
    <col min="263" max="263" width="15.7109375" bestFit="1" customWidth="1"/>
    <col min="264" max="264" width="3.7109375" bestFit="1" customWidth="1"/>
    <col min="265" max="265" width="14.28515625" bestFit="1" customWidth="1"/>
    <col min="266" max="266" width="10.85546875" bestFit="1" customWidth="1"/>
    <col min="271" max="271" width="14.85546875" bestFit="1" customWidth="1"/>
    <col min="513" max="513" width="11.7109375" bestFit="1" customWidth="1"/>
    <col min="514" max="514" width="32.7109375" bestFit="1" customWidth="1"/>
    <col min="515" max="515" width="29.42578125" bestFit="1" customWidth="1"/>
    <col min="516" max="516" width="20.5703125" bestFit="1" customWidth="1"/>
    <col min="517" max="517" width="23.5703125" bestFit="1" customWidth="1"/>
    <col min="518" max="518" width="24" bestFit="1" customWidth="1"/>
    <col min="519" max="519" width="15.7109375" bestFit="1" customWidth="1"/>
    <col min="520" max="520" width="3.7109375" bestFit="1" customWidth="1"/>
    <col min="521" max="521" width="14.28515625" bestFit="1" customWidth="1"/>
    <col min="522" max="522" width="10.85546875" bestFit="1" customWidth="1"/>
    <col min="527" max="527" width="14.85546875" bestFit="1" customWidth="1"/>
    <col min="769" max="769" width="11.7109375" bestFit="1" customWidth="1"/>
    <col min="770" max="770" width="32.7109375" bestFit="1" customWidth="1"/>
    <col min="771" max="771" width="29.42578125" bestFit="1" customWidth="1"/>
    <col min="772" max="772" width="20.5703125" bestFit="1" customWidth="1"/>
    <col min="773" max="773" width="23.5703125" bestFit="1" customWidth="1"/>
    <col min="774" max="774" width="24" bestFit="1" customWidth="1"/>
    <col min="775" max="775" width="15.7109375" bestFit="1" customWidth="1"/>
    <col min="776" max="776" width="3.7109375" bestFit="1" customWidth="1"/>
    <col min="777" max="777" width="14.28515625" bestFit="1" customWidth="1"/>
    <col min="778" max="778" width="10.85546875" bestFit="1" customWidth="1"/>
    <col min="783" max="783" width="14.85546875" bestFit="1" customWidth="1"/>
    <col min="1025" max="1025" width="11.7109375" bestFit="1" customWidth="1"/>
    <col min="1026" max="1026" width="32.7109375" bestFit="1" customWidth="1"/>
    <col min="1027" max="1027" width="29.42578125" bestFit="1" customWidth="1"/>
    <col min="1028" max="1028" width="20.5703125" bestFit="1" customWidth="1"/>
    <col min="1029" max="1029" width="23.5703125" bestFit="1" customWidth="1"/>
    <col min="1030" max="1030" width="24" bestFit="1" customWidth="1"/>
    <col min="1031" max="1031" width="15.7109375" bestFit="1" customWidth="1"/>
    <col min="1032" max="1032" width="3.7109375" bestFit="1" customWidth="1"/>
    <col min="1033" max="1033" width="14.28515625" bestFit="1" customWidth="1"/>
    <col min="1034" max="1034" width="10.85546875" bestFit="1" customWidth="1"/>
    <col min="1039" max="1039" width="14.85546875" bestFit="1" customWidth="1"/>
    <col min="1281" max="1281" width="11.7109375" bestFit="1" customWidth="1"/>
    <col min="1282" max="1282" width="32.7109375" bestFit="1" customWidth="1"/>
    <col min="1283" max="1283" width="29.42578125" bestFit="1" customWidth="1"/>
    <col min="1284" max="1284" width="20.5703125" bestFit="1" customWidth="1"/>
    <col min="1285" max="1285" width="23.5703125" bestFit="1" customWidth="1"/>
    <col min="1286" max="1286" width="24" bestFit="1" customWidth="1"/>
    <col min="1287" max="1287" width="15.7109375" bestFit="1" customWidth="1"/>
    <col min="1288" max="1288" width="3.7109375" bestFit="1" customWidth="1"/>
    <col min="1289" max="1289" width="14.28515625" bestFit="1" customWidth="1"/>
    <col min="1290" max="1290" width="10.85546875" bestFit="1" customWidth="1"/>
    <col min="1295" max="1295" width="14.85546875" bestFit="1" customWidth="1"/>
    <col min="1537" max="1537" width="11.7109375" bestFit="1" customWidth="1"/>
    <col min="1538" max="1538" width="32.7109375" bestFit="1" customWidth="1"/>
    <col min="1539" max="1539" width="29.42578125" bestFit="1" customWidth="1"/>
    <col min="1540" max="1540" width="20.5703125" bestFit="1" customWidth="1"/>
    <col min="1541" max="1541" width="23.5703125" bestFit="1" customWidth="1"/>
    <col min="1542" max="1542" width="24" bestFit="1" customWidth="1"/>
    <col min="1543" max="1543" width="15.7109375" bestFit="1" customWidth="1"/>
    <col min="1544" max="1544" width="3.7109375" bestFit="1" customWidth="1"/>
    <col min="1545" max="1545" width="14.28515625" bestFit="1" customWidth="1"/>
    <col min="1546" max="1546" width="10.85546875" bestFit="1" customWidth="1"/>
    <col min="1551" max="1551" width="14.85546875" bestFit="1" customWidth="1"/>
    <col min="1793" max="1793" width="11.7109375" bestFit="1" customWidth="1"/>
    <col min="1794" max="1794" width="32.7109375" bestFit="1" customWidth="1"/>
    <col min="1795" max="1795" width="29.42578125" bestFit="1" customWidth="1"/>
    <col min="1796" max="1796" width="20.5703125" bestFit="1" customWidth="1"/>
    <col min="1797" max="1797" width="23.5703125" bestFit="1" customWidth="1"/>
    <col min="1798" max="1798" width="24" bestFit="1" customWidth="1"/>
    <col min="1799" max="1799" width="15.7109375" bestFit="1" customWidth="1"/>
    <col min="1800" max="1800" width="3.7109375" bestFit="1" customWidth="1"/>
    <col min="1801" max="1801" width="14.28515625" bestFit="1" customWidth="1"/>
    <col min="1802" max="1802" width="10.85546875" bestFit="1" customWidth="1"/>
    <col min="1807" max="1807" width="14.85546875" bestFit="1" customWidth="1"/>
    <col min="2049" max="2049" width="11.7109375" bestFit="1" customWidth="1"/>
    <col min="2050" max="2050" width="32.7109375" bestFit="1" customWidth="1"/>
    <col min="2051" max="2051" width="29.42578125" bestFit="1" customWidth="1"/>
    <col min="2052" max="2052" width="20.5703125" bestFit="1" customWidth="1"/>
    <col min="2053" max="2053" width="23.5703125" bestFit="1" customWidth="1"/>
    <col min="2054" max="2054" width="24" bestFit="1" customWidth="1"/>
    <col min="2055" max="2055" width="15.7109375" bestFit="1" customWidth="1"/>
    <col min="2056" max="2056" width="3.7109375" bestFit="1" customWidth="1"/>
    <col min="2057" max="2057" width="14.28515625" bestFit="1" customWidth="1"/>
    <col min="2058" max="2058" width="10.85546875" bestFit="1" customWidth="1"/>
    <col min="2063" max="2063" width="14.85546875" bestFit="1" customWidth="1"/>
    <col min="2305" max="2305" width="11.7109375" bestFit="1" customWidth="1"/>
    <col min="2306" max="2306" width="32.7109375" bestFit="1" customWidth="1"/>
    <col min="2307" max="2307" width="29.42578125" bestFit="1" customWidth="1"/>
    <col min="2308" max="2308" width="20.5703125" bestFit="1" customWidth="1"/>
    <col min="2309" max="2309" width="23.5703125" bestFit="1" customWidth="1"/>
    <col min="2310" max="2310" width="24" bestFit="1" customWidth="1"/>
    <col min="2311" max="2311" width="15.7109375" bestFit="1" customWidth="1"/>
    <col min="2312" max="2312" width="3.7109375" bestFit="1" customWidth="1"/>
    <col min="2313" max="2313" width="14.28515625" bestFit="1" customWidth="1"/>
    <col min="2314" max="2314" width="10.85546875" bestFit="1" customWidth="1"/>
    <col min="2319" max="2319" width="14.85546875" bestFit="1" customWidth="1"/>
    <col min="2561" max="2561" width="11.7109375" bestFit="1" customWidth="1"/>
    <col min="2562" max="2562" width="32.7109375" bestFit="1" customWidth="1"/>
    <col min="2563" max="2563" width="29.42578125" bestFit="1" customWidth="1"/>
    <col min="2564" max="2564" width="20.5703125" bestFit="1" customWidth="1"/>
    <col min="2565" max="2565" width="23.5703125" bestFit="1" customWidth="1"/>
    <col min="2566" max="2566" width="24" bestFit="1" customWidth="1"/>
    <col min="2567" max="2567" width="15.7109375" bestFit="1" customWidth="1"/>
    <col min="2568" max="2568" width="3.7109375" bestFit="1" customWidth="1"/>
    <col min="2569" max="2569" width="14.28515625" bestFit="1" customWidth="1"/>
    <col min="2570" max="2570" width="10.85546875" bestFit="1" customWidth="1"/>
    <col min="2575" max="2575" width="14.85546875" bestFit="1" customWidth="1"/>
    <col min="2817" max="2817" width="11.7109375" bestFit="1" customWidth="1"/>
    <col min="2818" max="2818" width="32.7109375" bestFit="1" customWidth="1"/>
    <col min="2819" max="2819" width="29.42578125" bestFit="1" customWidth="1"/>
    <col min="2820" max="2820" width="20.5703125" bestFit="1" customWidth="1"/>
    <col min="2821" max="2821" width="23.5703125" bestFit="1" customWidth="1"/>
    <col min="2822" max="2822" width="24" bestFit="1" customWidth="1"/>
    <col min="2823" max="2823" width="15.7109375" bestFit="1" customWidth="1"/>
    <col min="2824" max="2824" width="3.7109375" bestFit="1" customWidth="1"/>
    <col min="2825" max="2825" width="14.28515625" bestFit="1" customWidth="1"/>
    <col min="2826" max="2826" width="10.85546875" bestFit="1" customWidth="1"/>
    <col min="2831" max="2831" width="14.85546875" bestFit="1" customWidth="1"/>
    <col min="3073" max="3073" width="11.7109375" bestFit="1" customWidth="1"/>
    <col min="3074" max="3074" width="32.7109375" bestFit="1" customWidth="1"/>
    <col min="3075" max="3075" width="29.42578125" bestFit="1" customWidth="1"/>
    <col min="3076" max="3076" width="20.5703125" bestFit="1" customWidth="1"/>
    <col min="3077" max="3077" width="23.5703125" bestFit="1" customWidth="1"/>
    <col min="3078" max="3078" width="24" bestFit="1" customWidth="1"/>
    <col min="3079" max="3079" width="15.7109375" bestFit="1" customWidth="1"/>
    <col min="3080" max="3080" width="3.7109375" bestFit="1" customWidth="1"/>
    <col min="3081" max="3081" width="14.28515625" bestFit="1" customWidth="1"/>
    <col min="3082" max="3082" width="10.85546875" bestFit="1" customWidth="1"/>
    <col min="3087" max="3087" width="14.85546875" bestFit="1" customWidth="1"/>
    <col min="3329" max="3329" width="11.7109375" bestFit="1" customWidth="1"/>
    <col min="3330" max="3330" width="32.7109375" bestFit="1" customWidth="1"/>
    <col min="3331" max="3331" width="29.42578125" bestFit="1" customWidth="1"/>
    <col min="3332" max="3332" width="20.5703125" bestFit="1" customWidth="1"/>
    <col min="3333" max="3333" width="23.5703125" bestFit="1" customWidth="1"/>
    <col min="3334" max="3334" width="24" bestFit="1" customWidth="1"/>
    <col min="3335" max="3335" width="15.7109375" bestFit="1" customWidth="1"/>
    <col min="3336" max="3336" width="3.7109375" bestFit="1" customWidth="1"/>
    <col min="3337" max="3337" width="14.28515625" bestFit="1" customWidth="1"/>
    <col min="3338" max="3338" width="10.85546875" bestFit="1" customWidth="1"/>
    <col min="3343" max="3343" width="14.85546875" bestFit="1" customWidth="1"/>
    <col min="3585" max="3585" width="11.7109375" bestFit="1" customWidth="1"/>
    <col min="3586" max="3586" width="32.7109375" bestFit="1" customWidth="1"/>
    <col min="3587" max="3587" width="29.42578125" bestFit="1" customWidth="1"/>
    <col min="3588" max="3588" width="20.5703125" bestFit="1" customWidth="1"/>
    <col min="3589" max="3589" width="23.5703125" bestFit="1" customWidth="1"/>
    <col min="3590" max="3590" width="24" bestFit="1" customWidth="1"/>
    <col min="3591" max="3591" width="15.7109375" bestFit="1" customWidth="1"/>
    <col min="3592" max="3592" width="3.7109375" bestFit="1" customWidth="1"/>
    <col min="3593" max="3593" width="14.28515625" bestFit="1" customWidth="1"/>
    <col min="3594" max="3594" width="10.85546875" bestFit="1" customWidth="1"/>
    <col min="3599" max="3599" width="14.85546875" bestFit="1" customWidth="1"/>
    <col min="3841" max="3841" width="11.7109375" bestFit="1" customWidth="1"/>
    <col min="3842" max="3842" width="32.7109375" bestFit="1" customWidth="1"/>
    <col min="3843" max="3843" width="29.42578125" bestFit="1" customWidth="1"/>
    <col min="3844" max="3844" width="20.5703125" bestFit="1" customWidth="1"/>
    <col min="3845" max="3845" width="23.5703125" bestFit="1" customWidth="1"/>
    <col min="3846" max="3846" width="24" bestFit="1" customWidth="1"/>
    <col min="3847" max="3847" width="15.7109375" bestFit="1" customWidth="1"/>
    <col min="3848" max="3848" width="3.7109375" bestFit="1" customWidth="1"/>
    <col min="3849" max="3849" width="14.28515625" bestFit="1" customWidth="1"/>
    <col min="3850" max="3850" width="10.85546875" bestFit="1" customWidth="1"/>
    <col min="3855" max="3855" width="14.85546875" bestFit="1" customWidth="1"/>
    <col min="4097" max="4097" width="11.7109375" bestFit="1" customWidth="1"/>
    <col min="4098" max="4098" width="32.7109375" bestFit="1" customWidth="1"/>
    <col min="4099" max="4099" width="29.42578125" bestFit="1" customWidth="1"/>
    <col min="4100" max="4100" width="20.5703125" bestFit="1" customWidth="1"/>
    <col min="4101" max="4101" width="23.5703125" bestFit="1" customWidth="1"/>
    <col min="4102" max="4102" width="24" bestFit="1" customWidth="1"/>
    <col min="4103" max="4103" width="15.7109375" bestFit="1" customWidth="1"/>
    <col min="4104" max="4104" width="3.7109375" bestFit="1" customWidth="1"/>
    <col min="4105" max="4105" width="14.28515625" bestFit="1" customWidth="1"/>
    <col min="4106" max="4106" width="10.85546875" bestFit="1" customWidth="1"/>
    <col min="4111" max="4111" width="14.85546875" bestFit="1" customWidth="1"/>
    <col min="4353" max="4353" width="11.7109375" bestFit="1" customWidth="1"/>
    <col min="4354" max="4354" width="32.7109375" bestFit="1" customWidth="1"/>
    <col min="4355" max="4355" width="29.42578125" bestFit="1" customWidth="1"/>
    <col min="4356" max="4356" width="20.5703125" bestFit="1" customWidth="1"/>
    <col min="4357" max="4357" width="23.5703125" bestFit="1" customWidth="1"/>
    <col min="4358" max="4358" width="24" bestFit="1" customWidth="1"/>
    <col min="4359" max="4359" width="15.7109375" bestFit="1" customWidth="1"/>
    <col min="4360" max="4360" width="3.7109375" bestFit="1" customWidth="1"/>
    <col min="4361" max="4361" width="14.28515625" bestFit="1" customWidth="1"/>
    <col min="4362" max="4362" width="10.85546875" bestFit="1" customWidth="1"/>
    <col min="4367" max="4367" width="14.85546875" bestFit="1" customWidth="1"/>
    <col min="4609" max="4609" width="11.7109375" bestFit="1" customWidth="1"/>
    <col min="4610" max="4610" width="32.7109375" bestFit="1" customWidth="1"/>
    <col min="4611" max="4611" width="29.42578125" bestFit="1" customWidth="1"/>
    <col min="4612" max="4612" width="20.5703125" bestFit="1" customWidth="1"/>
    <col min="4613" max="4613" width="23.5703125" bestFit="1" customWidth="1"/>
    <col min="4614" max="4614" width="24" bestFit="1" customWidth="1"/>
    <col min="4615" max="4615" width="15.7109375" bestFit="1" customWidth="1"/>
    <col min="4616" max="4616" width="3.7109375" bestFit="1" customWidth="1"/>
    <col min="4617" max="4617" width="14.28515625" bestFit="1" customWidth="1"/>
    <col min="4618" max="4618" width="10.85546875" bestFit="1" customWidth="1"/>
    <col min="4623" max="4623" width="14.85546875" bestFit="1" customWidth="1"/>
    <col min="4865" max="4865" width="11.7109375" bestFit="1" customWidth="1"/>
    <col min="4866" max="4866" width="32.7109375" bestFit="1" customWidth="1"/>
    <col min="4867" max="4867" width="29.42578125" bestFit="1" customWidth="1"/>
    <col min="4868" max="4868" width="20.5703125" bestFit="1" customWidth="1"/>
    <col min="4869" max="4869" width="23.5703125" bestFit="1" customWidth="1"/>
    <col min="4870" max="4870" width="24" bestFit="1" customWidth="1"/>
    <col min="4871" max="4871" width="15.7109375" bestFit="1" customWidth="1"/>
    <col min="4872" max="4872" width="3.7109375" bestFit="1" customWidth="1"/>
    <col min="4873" max="4873" width="14.28515625" bestFit="1" customWidth="1"/>
    <col min="4874" max="4874" width="10.85546875" bestFit="1" customWidth="1"/>
    <col min="4879" max="4879" width="14.85546875" bestFit="1" customWidth="1"/>
    <col min="5121" max="5121" width="11.7109375" bestFit="1" customWidth="1"/>
    <col min="5122" max="5122" width="32.7109375" bestFit="1" customWidth="1"/>
    <col min="5123" max="5123" width="29.42578125" bestFit="1" customWidth="1"/>
    <col min="5124" max="5124" width="20.5703125" bestFit="1" customWidth="1"/>
    <col min="5125" max="5125" width="23.5703125" bestFit="1" customWidth="1"/>
    <col min="5126" max="5126" width="24" bestFit="1" customWidth="1"/>
    <col min="5127" max="5127" width="15.7109375" bestFit="1" customWidth="1"/>
    <col min="5128" max="5128" width="3.7109375" bestFit="1" customWidth="1"/>
    <col min="5129" max="5129" width="14.28515625" bestFit="1" customWidth="1"/>
    <col min="5130" max="5130" width="10.85546875" bestFit="1" customWidth="1"/>
    <col min="5135" max="5135" width="14.85546875" bestFit="1" customWidth="1"/>
    <col min="5377" max="5377" width="11.7109375" bestFit="1" customWidth="1"/>
    <col min="5378" max="5378" width="32.7109375" bestFit="1" customWidth="1"/>
    <col min="5379" max="5379" width="29.42578125" bestFit="1" customWidth="1"/>
    <col min="5380" max="5380" width="20.5703125" bestFit="1" customWidth="1"/>
    <col min="5381" max="5381" width="23.5703125" bestFit="1" customWidth="1"/>
    <col min="5382" max="5382" width="24" bestFit="1" customWidth="1"/>
    <col min="5383" max="5383" width="15.7109375" bestFit="1" customWidth="1"/>
    <col min="5384" max="5384" width="3.7109375" bestFit="1" customWidth="1"/>
    <col min="5385" max="5385" width="14.28515625" bestFit="1" customWidth="1"/>
    <col min="5386" max="5386" width="10.85546875" bestFit="1" customWidth="1"/>
    <col min="5391" max="5391" width="14.85546875" bestFit="1" customWidth="1"/>
    <col min="5633" max="5633" width="11.7109375" bestFit="1" customWidth="1"/>
    <col min="5634" max="5634" width="32.7109375" bestFit="1" customWidth="1"/>
    <col min="5635" max="5635" width="29.42578125" bestFit="1" customWidth="1"/>
    <col min="5636" max="5636" width="20.5703125" bestFit="1" customWidth="1"/>
    <col min="5637" max="5637" width="23.5703125" bestFit="1" customWidth="1"/>
    <col min="5638" max="5638" width="24" bestFit="1" customWidth="1"/>
    <col min="5639" max="5639" width="15.7109375" bestFit="1" customWidth="1"/>
    <col min="5640" max="5640" width="3.7109375" bestFit="1" customWidth="1"/>
    <col min="5641" max="5641" width="14.28515625" bestFit="1" customWidth="1"/>
    <col min="5642" max="5642" width="10.85546875" bestFit="1" customWidth="1"/>
    <col min="5647" max="5647" width="14.85546875" bestFit="1" customWidth="1"/>
    <col min="5889" max="5889" width="11.7109375" bestFit="1" customWidth="1"/>
    <col min="5890" max="5890" width="32.7109375" bestFit="1" customWidth="1"/>
    <col min="5891" max="5891" width="29.42578125" bestFit="1" customWidth="1"/>
    <col min="5892" max="5892" width="20.5703125" bestFit="1" customWidth="1"/>
    <col min="5893" max="5893" width="23.5703125" bestFit="1" customWidth="1"/>
    <col min="5894" max="5894" width="24" bestFit="1" customWidth="1"/>
    <col min="5895" max="5895" width="15.7109375" bestFit="1" customWidth="1"/>
    <col min="5896" max="5896" width="3.7109375" bestFit="1" customWidth="1"/>
    <col min="5897" max="5897" width="14.28515625" bestFit="1" customWidth="1"/>
    <col min="5898" max="5898" width="10.85546875" bestFit="1" customWidth="1"/>
    <col min="5903" max="5903" width="14.85546875" bestFit="1" customWidth="1"/>
    <col min="6145" max="6145" width="11.7109375" bestFit="1" customWidth="1"/>
    <col min="6146" max="6146" width="32.7109375" bestFit="1" customWidth="1"/>
    <col min="6147" max="6147" width="29.42578125" bestFit="1" customWidth="1"/>
    <col min="6148" max="6148" width="20.5703125" bestFit="1" customWidth="1"/>
    <col min="6149" max="6149" width="23.5703125" bestFit="1" customWidth="1"/>
    <col min="6150" max="6150" width="24" bestFit="1" customWidth="1"/>
    <col min="6151" max="6151" width="15.7109375" bestFit="1" customWidth="1"/>
    <col min="6152" max="6152" width="3.7109375" bestFit="1" customWidth="1"/>
    <col min="6153" max="6153" width="14.28515625" bestFit="1" customWidth="1"/>
    <col min="6154" max="6154" width="10.85546875" bestFit="1" customWidth="1"/>
    <col min="6159" max="6159" width="14.85546875" bestFit="1" customWidth="1"/>
    <col min="6401" max="6401" width="11.7109375" bestFit="1" customWidth="1"/>
    <col min="6402" max="6402" width="32.7109375" bestFit="1" customWidth="1"/>
    <col min="6403" max="6403" width="29.42578125" bestFit="1" customWidth="1"/>
    <col min="6404" max="6404" width="20.5703125" bestFit="1" customWidth="1"/>
    <col min="6405" max="6405" width="23.5703125" bestFit="1" customWidth="1"/>
    <col min="6406" max="6406" width="24" bestFit="1" customWidth="1"/>
    <col min="6407" max="6407" width="15.7109375" bestFit="1" customWidth="1"/>
    <col min="6408" max="6408" width="3.7109375" bestFit="1" customWidth="1"/>
    <col min="6409" max="6409" width="14.28515625" bestFit="1" customWidth="1"/>
    <col min="6410" max="6410" width="10.85546875" bestFit="1" customWidth="1"/>
    <col min="6415" max="6415" width="14.85546875" bestFit="1" customWidth="1"/>
    <col min="6657" max="6657" width="11.7109375" bestFit="1" customWidth="1"/>
    <col min="6658" max="6658" width="32.7109375" bestFit="1" customWidth="1"/>
    <col min="6659" max="6659" width="29.42578125" bestFit="1" customWidth="1"/>
    <col min="6660" max="6660" width="20.5703125" bestFit="1" customWidth="1"/>
    <col min="6661" max="6661" width="23.5703125" bestFit="1" customWidth="1"/>
    <col min="6662" max="6662" width="24" bestFit="1" customWidth="1"/>
    <col min="6663" max="6663" width="15.7109375" bestFit="1" customWidth="1"/>
    <col min="6664" max="6664" width="3.7109375" bestFit="1" customWidth="1"/>
    <col min="6665" max="6665" width="14.28515625" bestFit="1" customWidth="1"/>
    <col min="6666" max="6666" width="10.85546875" bestFit="1" customWidth="1"/>
    <col min="6671" max="6671" width="14.85546875" bestFit="1" customWidth="1"/>
    <col min="6913" max="6913" width="11.7109375" bestFit="1" customWidth="1"/>
    <col min="6914" max="6914" width="32.7109375" bestFit="1" customWidth="1"/>
    <col min="6915" max="6915" width="29.42578125" bestFit="1" customWidth="1"/>
    <col min="6916" max="6916" width="20.5703125" bestFit="1" customWidth="1"/>
    <col min="6917" max="6917" width="23.5703125" bestFit="1" customWidth="1"/>
    <col min="6918" max="6918" width="24" bestFit="1" customWidth="1"/>
    <col min="6919" max="6919" width="15.7109375" bestFit="1" customWidth="1"/>
    <col min="6920" max="6920" width="3.7109375" bestFit="1" customWidth="1"/>
    <col min="6921" max="6921" width="14.28515625" bestFit="1" customWidth="1"/>
    <col min="6922" max="6922" width="10.85546875" bestFit="1" customWidth="1"/>
    <col min="6927" max="6927" width="14.85546875" bestFit="1" customWidth="1"/>
    <col min="7169" max="7169" width="11.7109375" bestFit="1" customWidth="1"/>
    <col min="7170" max="7170" width="32.7109375" bestFit="1" customWidth="1"/>
    <col min="7171" max="7171" width="29.42578125" bestFit="1" customWidth="1"/>
    <col min="7172" max="7172" width="20.5703125" bestFit="1" customWidth="1"/>
    <col min="7173" max="7173" width="23.5703125" bestFit="1" customWidth="1"/>
    <col min="7174" max="7174" width="24" bestFit="1" customWidth="1"/>
    <col min="7175" max="7175" width="15.7109375" bestFit="1" customWidth="1"/>
    <col min="7176" max="7176" width="3.7109375" bestFit="1" customWidth="1"/>
    <col min="7177" max="7177" width="14.28515625" bestFit="1" customWidth="1"/>
    <col min="7178" max="7178" width="10.85546875" bestFit="1" customWidth="1"/>
    <col min="7183" max="7183" width="14.85546875" bestFit="1" customWidth="1"/>
    <col min="7425" max="7425" width="11.7109375" bestFit="1" customWidth="1"/>
    <col min="7426" max="7426" width="32.7109375" bestFit="1" customWidth="1"/>
    <col min="7427" max="7427" width="29.42578125" bestFit="1" customWidth="1"/>
    <col min="7428" max="7428" width="20.5703125" bestFit="1" customWidth="1"/>
    <col min="7429" max="7429" width="23.5703125" bestFit="1" customWidth="1"/>
    <col min="7430" max="7430" width="24" bestFit="1" customWidth="1"/>
    <col min="7431" max="7431" width="15.7109375" bestFit="1" customWidth="1"/>
    <col min="7432" max="7432" width="3.7109375" bestFit="1" customWidth="1"/>
    <col min="7433" max="7433" width="14.28515625" bestFit="1" customWidth="1"/>
    <col min="7434" max="7434" width="10.85546875" bestFit="1" customWidth="1"/>
    <col min="7439" max="7439" width="14.85546875" bestFit="1" customWidth="1"/>
    <col min="7681" max="7681" width="11.7109375" bestFit="1" customWidth="1"/>
    <col min="7682" max="7682" width="32.7109375" bestFit="1" customWidth="1"/>
    <col min="7683" max="7683" width="29.42578125" bestFit="1" customWidth="1"/>
    <col min="7684" max="7684" width="20.5703125" bestFit="1" customWidth="1"/>
    <col min="7685" max="7685" width="23.5703125" bestFit="1" customWidth="1"/>
    <col min="7686" max="7686" width="24" bestFit="1" customWidth="1"/>
    <col min="7687" max="7687" width="15.7109375" bestFit="1" customWidth="1"/>
    <col min="7688" max="7688" width="3.7109375" bestFit="1" customWidth="1"/>
    <col min="7689" max="7689" width="14.28515625" bestFit="1" customWidth="1"/>
    <col min="7690" max="7690" width="10.85546875" bestFit="1" customWidth="1"/>
    <col min="7695" max="7695" width="14.85546875" bestFit="1" customWidth="1"/>
    <col min="7937" max="7937" width="11.7109375" bestFit="1" customWidth="1"/>
    <col min="7938" max="7938" width="32.7109375" bestFit="1" customWidth="1"/>
    <col min="7939" max="7939" width="29.42578125" bestFit="1" customWidth="1"/>
    <col min="7940" max="7940" width="20.5703125" bestFit="1" customWidth="1"/>
    <col min="7941" max="7941" width="23.5703125" bestFit="1" customWidth="1"/>
    <col min="7942" max="7942" width="24" bestFit="1" customWidth="1"/>
    <col min="7943" max="7943" width="15.7109375" bestFit="1" customWidth="1"/>
    <col min="7944" max="7944" width="3.7109375" bestFit="1" customWidth="1"/>
    <col min="7945" max="7945" width="14.28515625" bestFit="1" customWidth="1"/>
    <col min="7946" max="7946" width="10.85546875" bestFit="1" customWidth="1"/>
    <col min="7951" max="7951" width="14.85546875" bestFit="1" customWidth="1"/>
    <col min="8193" max="8193" width="11.7109375" bestFit="1" customWidth="1"/>
    <col min="8194" max="8194" width="32.7109375" bestFit="1" customWidth="1"/>
    <col min="8195" max="8195" width="29.42578125" bestFit="1" customWidth="1"/>
    <col min="8196" max="8196" width="20.5703125" bestFit="1" customWidth="1"/>
    <col min="8197" max="8197" width="23.5703125" bestFit="1" customWidth="1"/>
    <col min="8198" max="8198" width="24" bestFit="1" customWidth="1"/>
    <col min="8199" max="8199" width="15.7109375" bestFit="1" customWidth="1"/>
    <col min="8200" max="8200" width="3.7109375" bestFit="1" customWidth="1"/>
    <col min="8201" max="8201" width="14.28515625" bestFit="1" customWidth="1"/>
    <col min="8202" max="8202" width="10.85546875" bestFit="1" customWidth="1"/>
    <col min="8207" max="8207" width="14.85546875" bestFit="1" customWidth="1"/>
    <col min="8449" max="8449" width="11.7109375" bestFit="1" customWidth="1"/>
    <col min="8450" max="8450" width="32.7109375" bestFit="1" customWidth="1"/>
    <col min="8451" max="8451" width="29.42578125" bestFit="1" customWidth="1"/>
    <col min="8452" max="8452" width="20.5703125" bestFit="1" customWidth="1"/>
    <col min="8453" max="8453" width="23.5703125" bestFit="1" customWidth="1"/>
    <col min="8454" max="8454" width="24" bestFit="1" customWidth="1"/>
    <col min="8455" max="8455" width="15.7109375" bestFit="1" customWidth="1"/>
    <col min="8456" max="8456" width="3.7109375" bestFit="1" customWidth="1"/>
    <col min="8457" max="8457" width="14.28515625" bestFit="1" customWidth="1"/>
    <col min="8458" max="8458" width="10.85546875" bestFit="1" customWidth="1"/>
    <col min="8463" max="8463" width="14.85546875" bestFit="1" customWidth="1"/>
    <col min="8705" max="8705" width="11.7109375" bestFit="1" customWidth="1"/>
    <col min="8706" max="8706" width="32.7109375" bestFit="1" customWidth="1"/>
    <col min="8707" max="8707" width="29.42578125" bestFit="1" customWidth="1"/>
    <col min="8708" max="8708" width="20.5703125" bestFit="1" customWidth="1"/>
    <col min="8709" max="8709" width="23.5703125" bestFit="1" customWidth="1"/>
    <col min="8710" max="8710" width="24" bestFit="1" customWidth="1"/>
    <col min="8711" max="8711" width="15.7109375" bestFit="1" customWidth="1"/>
    <col min="8712" max="8712" width="3.7109375" bestFit="1" customWidth="1"/>
    <col min="8713" max="8713" width="14.28515625" bestFit="1" customWidth="1"/>
    <col min="8714" max="8714" width="10.85546875" bestFit="1" customWidth="1"/>
    <col min="8719" max="8719" width="14.85546875" bestFit="1" customWidth="1"/>
    <col min="8961" max="8961" width="11.7109375" bestFit="1" customWidth="1"/>
    <col min="8962" max="8962" width="32.7109375" bestFit="1" customWidth="1"/>
    <col min="8963" max="8963" width="29.42578125" bestFit="1" customWidth="1"/>
    <col min="8964" max="8964" width="20.5703125" bestFit="1" customWidth="1"/>
    <col min="8965" max="8965" width="23.5703125" bestFit="1" customWidth="1"/>
    <col min="8966" max="8966" width="24" bestFit="1" customWidth="1"/>
    <col min="8967" max="8967" width="15.7109375" bestFit="1" customWidth="1"/>
    <col min="8968" max="8968" width="3.7109375" bestFit="1" customWidth="1"/>
    <col min="8969" max="8969" width="14.28515625" bestFit="1" customWidth="1"/>
    <col min="8970" max="8970" width="10.85546875" bestFit="1" customWidth="1"/>
    <col min="8975" max="8975" width="14.85546875" bestFit="1" customWidth="1"/>
    <col min="9217" max="9217" width="11.7109375" bestFit="1" customWidth="1"/>
    <col min="9218" max="9218" width="32.7109375" bestFit="1" customWidth="1"/>
    <col min="9219" max="9219" width="29.42578125" bestFit="1" customWidth="1"/>
    <col min="9220" max="9220" width="20.5703125" bestFit="1" customWidth="1"/>
    <col min="9221" max="9221" width="23.5703125" bestFit="1" customWidth="1"/>
    <col min="9222" max="9222" width="24" bestFit="1" customWidth="1"/>
    <col min="9223" max="9223" width="15.7109375" bestFit="1" customWidth="1"/>
    <col min="9224" max="9224" width="3.7109375" bestFit="1" customWidth="1"/>
    <col min="9225" max="9225" width="14.28515625" bestFit="1" customWidth="1"/>
    <col min="9226" max="9226" width="10.85546875" bestFit="1" customWidth="1"/>
    <col min="9231" max="9231" width="14.85546875" bestFit="1" customWidth="1"/>
    <col min="9473" max="9473" width="11.7109375" bestFit="1" customWidth="1"/>
    <col min="9474" max="9474" width="32.7109375" bestFit="1" customWidth="1"/>
    <col min="9475" max="9475" width="29.42578125" bestFit="1" customWidth="1"/>
    <col min="9476" max="9476" width="20.5703125" bestFit="1" customWidth="1"/>
    <col min="9477" max="9477" width="23.5703125" bestFit="1" customWidth="1"/>
    <col min="9478" max="9478" width="24" bestFit="1" customWidth="1"/>
    <col min="9479" max="9479" width="15.7109375" bestFit="1" customWidth="1"/>
    <col min="9480" max="9480" width="3.7109375" bestFit="1" customWidth="1"/>
    <col min="9481" max="9481" width="14.28515625" bestFit="1" customWidth="1"/>
    <col min="9482" max="9482" width="10.85546875" bestFit="1" customWidth="1"/>
    <col min="9487" max="9487" width="14.85546875" bestFit="1" customWidth="1"/>
    <col min="9729" max="9729" width="11.7109375" bestFit="1" customWidth="1"/>
    <col min="9730" max="9730" width="32.7109375" bestFit="1" customWidth="1"/>
    <col min="9731" max="9731" width="29.42578125" bestFit="1" customWidth="1"/>
    <col min="9732" max="9732" width="20.5703125" bestFit="1" customWidth="1"/>
    <col min="9733" max="9733" width="23.5703125" bestFit="1" customWidth="1"/>
    <col min="9734" max="9734" width="24" bestFit="1" customWidth="1"/>
    <col min="9735" max="9735" width="15.7109375" bestFit="1" customWidth="1"/>
    <col min="9736" max="9736" width="3.7109375" bestFit="1" customWidth="1"/>
    <col min="9737" max="9737" width="14.28515625" bestFit="1" customWidth="1"/>
    <col min="9738" max="9738" width="10.85546875" bestFit="1" customWidth="1"/>
    <col min="9743" max="9743" width="14.85546875" bestFit="1" customWidth="1"/>
    <col min="9985" max="9985" width="11.7109375" bestFit="1" customWidth="1"/>
    <col min="9986" max="9986" width="32.7109375" bestFit="1" customWidth="1"/>
    <col min="9987" max="9987" width="29.42578125" bestFit="1" customWidth="1"/>
    <col min="9988" max="9988" width="20.5703125" bestFit="1" customWidth="1"/>
    <col min="9989" max="9989" width="23.5703125" bestFit="1" customWidth="1"/>
    <col min="9990" max="9990" width="24" bestFit="1" customWidth="1"/>
    <col min="9991" max="9991" width="15.7109375" bestFit="1" customWidth="1"/>
    <col min="9992" max="9992" width="3.7109375" bestFit="1" customWidth="1"/>
    <col min="9993" max="9993" width="14.28515625" bestFit="1" customWidth="1"/>
    <col min="9994" max="9994" width="10.85546875" bestFit="1" customWidth="1"/>
    <col min="9999" max="9999" width="14.85546875" bestFit="1" customWidth="1"/>
    <col min="10241" max="10241" width="11.7109375" bestFit="1" customWidth="1"/>
    <col min="10242" max="10242" width="32.7109375" bestFit="1" customWidth="1"/>
    <col min="10243" max="10243" width="29.42578125" bestFit="1" customWidth="1"/>
    <col min="10244" max="10244" width="20.5703125" bestFit="1" customWidth="1"/>
    <col min="10245" max="10245" width="23.5703125" bestFit="1" customWidth="1"/>
    <col min="10246" max="10246" width="24" bestFit="1" customWidth="1"/>
    <col min="10247" max="10247" width="15.7109375" bestFit="1" customWidth="1"/>
    <col min="10248" max="10248" width="3.7109375" bestFit="1" customWidth="1"/>
    <col min="10249" max="10249" width="14.28515625" bestFit="1" customWidth="1"/>
    <col min="10250" max="10250" width="10.85546875" bestFit="1" customWidth="1"/>
    <col min="10255" max="10255" width="14.85546875" bestFit="1" customWidth="1"/>
    <col min="10497" max="10497" width="11.7109375" bestFit="1" customWidth="1"/>
    <col min="10498" max="10498" width="32.7109375" bestFit="1" customWidth="1"/>
    <col min="10499" max="10499" width="29.42578125" bestFit="1" customWidth="1"/>
    <col min="10500" max="10500" width="20.5703125" bestFit="1" customWidth="1"/>
    <col min="10501" max="10501" width="23.5703125" bestFit="1" customWidth="1"/>
    <col min="10502" max="10502" width="24" bestFit="1" customWidth="1"/>
    <col min="10503" max="10503" width="15.7109375" bestFit="1" customWidth="1"/>
    <col min="10504" max="10504" width="3.7109375" bestFit="1" customWidth="1"/>
    <col min="10505" max="10505" width="14.28515625" bestFit="1" customWidth="1"/>
    <col min="10506" max="10506" width="10.85546875" bestFit="1" customWidth="1"/>
    <col min="10511" max="10511" width="14.85546875" bestFit="1" customWidth="1"/>
    <col min="10753" max="10753" width="11.7109375" bestFit="1" customWidth="1"/>
    <col min="10754" max="10754" width="32.7109375" bestFit="1" customWidth="1"/>
    <col min="10755" max="10755" width="29.42578125" bestFit="1" customWidth="1"/>
    <col min="10756" max="10756" width="20.5703125" bestFit="1" customWidth="1"/>
    <col min="10757" max="10757" width="23.5703125" bestFit="1" customWidth="1"/>
    <col min="10758" max="10758" width="24" bestFit="1" customWidth="1"/>
    <col min="10759" max="10759" width="15.7109375" bestFit="1" customWidth="1"/>
    <col min="10760" max="10760" width="3.7109375" bestFit="1" customWidth="1"/>
    <col min="10761" max="10761" width="14.28515625" bestFit="1" customWidth="1"/>
    <col min="10762" max="10762" width="10.85546875" bestFit="1" customWidth="1"/>
    <col min="10767" max="10767" width="14.85546875" bestFit="1" customWidth="1"/>
    <col min="11009" max="11009" width="11.7109375" bestFit="1" customWidth="1"/>
    <col min="11010" max="11010" width="32.7109375" bestFit="1" customWidth="1"/>
    <col min="11011" max="11011" width="29.42578125" bestFit="1" customWidth="1"/>
    <col min="11012" max="11012" width="20.5703125" bestFit="1" customWidth="1"/>
    <col min="11013" max="11013" width="23.5703125" bestFit="1" customWidth="1"/>
    <col min="11014" max="11014" width="24" bestFit="1" customWidth="1"/>
    <col min="11015" max="11015" width="15.7109375" bestFit="1" customWidth="1"/>
    <col min="11016" max="11016" width="3.7109375" bestFit="1" customWidth="1"/>
    <col min="11017" max="11017" width="14.28515625" bestFit="1" customWidth="1"/>
    <col min="11018" max="11018" width="10.85546875" bestFit="1" customWidth="1"/>
    <col min="11023" max="11023" width="14.85546875" bestFit="1" customWidth="1"/>
    <col min="11265" max="11265" width="11.7109375" bestFit="1" customWidth="1"/>
    <col min="11266" max="11266" width="32.7109375" bestFit="1" customWidth="1"/>
    <col min="11267" max="11267" width="29.42578125" bestFit="1" customWidth="1"/>
    <col min="11268" max="11268" width="20.5703125" bestFit="1" customWidth="1"/>
    <col min="11269" max="11269" width="23.5703125" bestFit="1" customWidth="1"/>
    <col min="11270" max="11270" width="24" bestFit="1" customWidth="1"/>
    <col min="11271" max="11271" width="15.7109375" bestFit="1" customWidth="1"/>
    <col min="11272" max="11272" width="3.7109375" bestFit="1" customWidth="1"/>
    <col min="11273" max="11273" width="14.28515625" bestFit="1" customWidth="1"/>
    <col min="11274" max="11274" width="10.85546875" bestFit="1" customWidth="1"/>
    <col min="11279" max="11279" width="14.85546875" bestFit="1" customWidth="1"/>
    <col min="11521" max="11521" width="11.7109375" bestFit="1" customWidth="1"/>
    <col min="11522" max="11522" width="32.7109375" bestFit="1" customWidth="1"/>
    <col min="11523" max="11523" width="29.42578125" bestFit="1" customWidth="1"/>
    <col min="11524" max="11524" width="20.5703125" bestFit="1" customWidth="1"/>
    <col min="11525" max="11525" width="23.5703125" bestFit="1" customWidth="1"/>
    <col min="11526" max="11526" width="24" bestFit="1" customWidth="1"/>
    <col min="11527" max="11527" width="15.7109375" bestFit="1" customWidth="1"/>
    <col min="11528" max="11528" width="3.7109375" bestFit="1" customWidth="1"/>
    <col min="11529" max="11529" width="14.28515625" bestFit="1" customWidth="1"/>
    <col min="11530" max="11530" width="10.85546875" bestFit="1" customWidth="1"/>
    <col min="11535" max="11535" width="14.85546875" bestFit="1" customWidth="1"/>
    <col min="11777" max="11777" width="11.7109375" bestFit="1" customWidth="1"/>
    <col min="11778" max="11778" width="32.7109375" bestFit="1" customWidth="1"/>
    <col min="11779" max="11779" width="29.42578125" bestFit="1" customWidth="1"/>
    <col min="11780" max="11780" width="20.5703125" bestFit="1" customWidth="1"/>
    <col min="11781" max="11781" width="23.5703125" bestFit="1" customWidth="1"/>
    <col min="11782" max="11782" width="24" bestFit="1" customWidth="1"/>
    <col min="11783" max="11783" width="15.7109375" bestFit="1" customWidth="1"/>
    <col min="11784" max="11784" width="3.7109375" bestFit="1" customWidth="1"/>
    <col min="11785" max="11785" width="14.28515625" bestFit="1" customWidth="1"/>
    <col min="11786" max="11786" width="10.85546875" bestFit="1" customWidth="1"/>
    <col min="11791" max="11791" width="14.85546875" bestFit="1" customWidth="1"/>
    <col min="12033" max="12033" width="11.7109375" bestFit="1" customWidth="1"/>
    <col min="12034" max="12034" width="32.7109375" bestFit="1" customWidth="1"/>
    <col min="12035" max="12035" width="29.42578125" bestFit="1" customWidth="1"/>
    <col min="12036" max="12036" width="20.5703125" bestFit="1" customWidth="1"/>
    <col min="12037" max="12037" width="23.5703125" bestFit="1" customWidth="1"/>
    <col min="12038" max="12038" width="24" bestFit="1" customWidth="1"/>
    <col min="12039" max="12039" width="15.7109375" bestFit="1" customWidth="1"/>
    <col min="12040" max="12040" width="3.7109375" bestFit="1" customWidth="1"/>
    <col min="12041" max="12041" width="14.28515625" bestFit="1" customWidth="1"/>
    <col min="12042" max="12042" width="10.85546875" bestFit="1" customWidth="1"/>
    <col min="12047" max="12047" width="14.85546875" bestFit="1" customWidth="1"/>
    <col min="12289" max="12289" width="11.7109375" bestFit="1" customWidth="1"/>
    <col min="12290" max="12290" width="32.7109375" bestFit="1" customWidth="1"/>
    <col min="12291" max="12291" width="29.42578125" bestFit="1" customWidth="1"/>
    <col min="12292" max="12292" width="20.5703125" bestFit="1" customWidth="1"/>
    <col min="12293" max="12293" width="23.5703125" bestFit="1" customWidth="1"/>
    <col min="12294" max="12294" width="24" bestFit="1" customWidth="1"/>
    <col min="12295" max="12295" width="15.7109375" bestFit="1" customWidth="1"/>
    <col min="12296" max="12296" width="3.7109375" bestFit="1" customWidth="1"/>
    <col min="12297" max="12297" width="14.28515625" bestFit="1" customWidth="1"/>
    <col min="12298" max="12298" width="10.85546875" bestFit="1" customWidth="1"/>
    <col min="12303" max="12303" width="14.85546875" bestFit="1" customWidth="1"/>
    <col min="12545" max="12545" width="11.7109375" bestFit="1" customWidth="1"/>
    <col min="12546" max="12546" width="32.7109375" bestFit="1" customWidth="1"/>
    <col min="12547" max="12547" width="29.42578125" bestFit="1" customWidth="1"/>
    <col min="12548" max="12548" width="20.5703125" bestFit="1" customWidth="1"/>
    <col min="12549" max="12549" width="23.5703125" bestFit="1" customWidth="1"/>
    <col min="12550" max="12550" width="24" bestFit="1" customWidth="1"/>
    <col min="12551" max="12551" width="15.7109375" bestFit="1" customWidth="1"/>
    <col min="12552" max="12552" width="3.7109375" bestFit="1" customWidth="1"/>
    <col min="12553" max="12553" width="14.28515625" bestFit="1" customWidth="1"/>
    <col min="12554" max="12554" width="10.85546875" bestFit="1" customWidth="1"/>
    <col min="12559" max="12559" width="14.85546875" bestFit="1" customWidth="1"/>
    <col min="12801" max="12801" width="11.7109375" bestFit="1" customWidth="1"/>
    <col min="12802" max="12802" width="32.7109375" bestFit="1" customWidth="1"/>
    <col min="12803" max="12803" width="29.42578125" bestFit="1" customWidth="1"/>
    <col min="12804" max="12804" width="20.5703125" bestFit="1" customWidth="1"/>
    <col min="12805" max="12805" width="23.5703125" bestFit="1" customWidth="1"/>
    <col min="12806" max="12806" width="24" bestFit="1" customWidth="1"/>
    <col min="12807" max="12807" width="15.7109375" bestFit="1" customWidth="1"/>
    <col min="12808" max="12808" width="3.7109375" bestFit="1" customWidth="1"/>
    <col min="12809" max="12809" width="14.28515625" bestFit="1" customWidth="1"/>
    <col min="12810" max="12810" width="10.85546875" bestFit="1" customWidth="1"/>
    <col min="12815" max="12815" width="14.85546875" bestFit="1" customWidth="1"/>
    <col min="13057" max="13057" width="11.7109375" bestFit="1" customWidth="1"/>
    <col min="13058" max="13058" width="32.7109375" bestFit="1" customWidth="1"/>
    <col min="13059" max="13059" width="29.42578125" bestFit="1" customWidth="1"/>
    <col min="13060" max="13060" width="20.5703125" bestFit="1" customWidth="1"/>
    <col min="13061" max="13061" width="23.5703125" bestFit="1" customWidth="1"/>
    <col min="13062" max="13062" width="24" bestFit="1" customWidth="1"/>
    <col min="13063" max="13063" width="15.7109375" bestFit="1" customWidth="1"/>
    <col min="13064" max="13064" width="3.7109375" bestFit="1" customWidth="1"/>
    <col min="13065" max="13065" width="14.28515625" bestFit="1" customWidth="1"/>
    <col min="13066" max="13066" width="10.85546875" bestFit="1" customWidth="1"/>
    <col min="13071" max="13071" width="14.85546875" bestFit="1" customWidth="1"/>
    <col min="13313" max="13313" width="11.7109375" bestFit="1" customWidth="1"/>
    <col min="13314" max="13314" width="32.7109375" bestFit="1" customWidth="1"/>
    <col min="13315" max="13315" width="29.42578125" bestFit="1" customWidth="1"/>
    <col min="13316" max="13316" width="20.5703125" bestFit="1" customWidth="1"/>
    <col min="13317" max="13317" width="23.5703125" bestFit="1" customWidth="1"/>
    <col min="13318" max="13318" width="24" bestFit="1" customWidth="1"/>
    <col min="13319" max="13319" width="15.7109375" bestFit="1" customWidth="1"/>
    <col min="13320" max="13320" width="3.7109375" bestFit="1" customWidth="1"/>
    <col min="13321" max="13321" width="14.28515625" bestFit="1" customWidth="1"/>
    <col min="13322" max="13322" width="10.85546875" bestFit="1" customWidth="1"/>
    <col min="13327" max="13327" width="14.85546875" bestFit="1" customWidth="1"/>
    <col min="13569" max="13569" width="11.7109375" bestFit="1" customWidth="1"/>
    <col min="13570" max="13570" width="32.7109375" bestFit="1" customWidth="1"/>
    <col min="13571" max="13571" width="29.42578125" bestFit="1" customWidth="1"/>
    <col min="13572" max="13572" width="20.5703125" bestFit="1" customWidth="1"/>
    <col min="13573" max="13573" width="23.5703125" bestFit="1" customWidth="1"/>
    <col min="13574" max="13574" width="24" bestFit="1" customWidth="1"/>
    <col min="13575" max="13575" width="15.7109375" bestFit="1" customWidth="1"/>
    <col min="13576" max="13576" width="3.7109375" bestFit="1" customWidth="1"/>
    <col min="13577" max="13577" width="14.28515625" bestFit="1" customWidth="1"/>
    <col min="13578" max="13578" width="10.85546875" bestFit="1" customWidth="1"/>
    <col min="13583" max="13583" width="14.85546875" bestFit="1" customWidth="1"/>
    <col min="13825" max="13825" width="11.7109375" bestFit="1" customWidth="1"/>
    <col min="13826" max="13826" width="32.7109375" bestFit="1" customWidth="1"/>
    <col min="13827" max="13827" width="29.42578125" bestFit="1" customWidth="1"/>
    <col min="13828" max="13828" width="20.5703125" bestFit="1" customWidth="1"/>
    <col min="13829" max="13829" width="23.5703125" bestFit="1" customWidth="1"/>
    <col min="13830" max="13830" width="24" bestFit="1" customWidth="1"/>
    <col min="13831" max="13831" width="15.7109375" bestFit="1" customWidth="1"/>
    <col min="13832" max="13832" width="3.7109375" bestFit="1" customWidth="1"/>
    <col min="13833" max="13833" width="14.28515625" bestFit="1" customWidth="1"/>
    <col min="13834" max="13834" width="10.85546875" bestFit="1" customWidth="1"/>
    <col min="13839" max="13839" width="14.85546875" bestFit="1" customWidth="1"/>
    <col min="14081" max="14081" width="11.7109375" bestFit="1" customWidth="1"/>
    <col min="14082" max="14082" width="32.7109375" bestFit="1" customWidth="1"/>
    <col min="14083" max="14083" width="29.42578125" bestFit="1" customWidth="1"/>
    <col min="14084" max="14084" width="20.5703125" bestFit="1" customWidth="1"/>
    <col min="14085" max="14085" width="23.5703125" bestFit="1" customWidth="1"/>
    <col min="14086" max="14086" width="24" bestFit="1" customWidth="1"/>
    <col min="14087" max="14087" width="15.7109375" bestFit="1" customWidth="1"/>
    <col min="14088" max="14088" width="3.7109375" bestFit="1" customWidth="1"/>
    <col min="14089" max="14089" width="14.28515625" bestFit="1" customWidth="1"/>
    <col min="14090" max="14090" width="10.85546875" bestFit="1" customWidth="1"/>
    <col min="14095" max="14095" width="14.85546875" bestFit="1" customWidth="1"/>
    <col min="14337" max="14337" width="11.7109375" bestFit="1" customWidth="1"/>
    <col min="14338" max="14338" width="32.7109375" bestFit="1" customWidth="1"/>
    <col min="14339" max="14339" width="29.42578125" bestFit="1" customWidth="1"/>
    <col min="14340" max="14340" width="20.5703125" bestFit="1" customWidth="1"/>
    <col min="14341" max="14341" width="23.5703125" bestFit="1" customWidth="1"/>
    <col min="14342" max="14342" width="24" bestFit="1" customWidth="1"/>
    <col min="14343" max="14343" width="15.7109375" bestFit="1" customWidth="1"/>
    <col min="14344" max="14344" width="3.7109375" bestFit="1" customWidth="1"/>
    <col min="14345" max="14345" width="14.28515625" bestFit="1" customWidth="1"/>
    <col min="14346" max="14346" width="10.85546875" bestFit="1" customWidth="1"/>
    <col min="14351" max="14351" width="14.85546875" bestFit="1" customWidth="1"/>
    <col min="14593" max="14593" width="11.7109375" bestFit="1" customWidth="1"/>
    <col min="14594" max="14594" width="32.7109375" bestFit="1" customWidth="1"/>
    <col min="14595" max="14595" width="29.42578125" bestFit="1" customWidth="1"/>
    <col min="14596" max="14596" width="20.5703125" bestFit="1" customWidth="1"/>
    <col min="14597" max="14597" width="23.5703125" bestFit="1" customWidth="1"/>
    <col min="14598" max="14598" width="24" bestFit="1" customWidth="1"/>
    <col min="14599" max="14599" width="15.7109375" bestFit="1" customWidth="1"/>
    <col min="14600" max="14600" width="3.7109375" bestFit="1" customWidth="1"/>
    <col min="14601" max="14601" width="14.28515625" bestFit="1" customWidth="1"/>
    <col min="14602" max="14602" width="10.85546875" bestFit="1" customWidth="1"/>
    <col min="14607" max="14607" width="14.85546875" bestFit="1" customWidth="1"/>
    <col min="14849" max="14849" width="11.7109375" bestFit="1" customWidth="1"/>
    <col min="14850" max="14850" width="32.7109375" bestFit="1" customWidth="1"/>
    <col min="14851" max="14851" width="29.42578125" bestFit="1" customWidth="1"/>
    <col min="14852" max="14852" width="20.5703125" bestFit="1" customWidth="1"/>
    <col min="14853" max="14853" width="23.5703125" bestFit="1" customWidth="1"/>
    <col min="14854" max="14854" width="24" bestFit="1" customWidth="1"/>
    <col min="14855" max="14855" width="15.7109375" bestFit="1" customWidth="1"/>
    <col min="14856" max="14856" width="3.7109375" bestFit="1" customWidth="1"/>
    <col min="14857" max="14857" width="14.28515625" bestFit="1" customWidth="1"/>
    <col min="14858" max="14858" width="10.85546875" bestFit="1" customWidth="1"/>
    <col min="14863" max="14863" width="14.85546875" bestFit="1" customWidth="1"/>
    <col min="15105" max="15105" width="11.7109375" bestFit="1" customWidth="1"/>
    <col min="15106" max="15106" width="32.7109375" bestFit="1" customWidth="1"/>
    <col min="15107" max="15107" width="29.42578125" bestFit="1" customWidth="1"/>
    <col min="15108" max="15108" width="20.5703125" bestFit="1" customWidth="1"/>
    <col min="15109" max="15109" width="23.5703125" bestFit="1" customWidth="1"/>
    <col min="15110" max="15110" width="24" bestFit="1" customWidth="1"/>
    <col min="15111" max="15111" width="15.7109375" bestFit="1" customWidth="1"/>
    <col min="15112" max="15112" width="3.7109375" bestFit="1" customWidth="1"/>
    <col min="15113" max="15113" width="14.28515625" bestFit="1" customWidth="1"/>
    <col min="15114" max="15114" width="10.85546875" bestFit="1" customWidth="1"/>
    <col min="15119" max="15119" width="14.85546875" bestFit="1" customWidth="1"/>
    <col min="15361" max="15361" width="11.7109375" bestFit="1" customWidth="1"/>
    <col min="15362" max="15362" width="32.7109375" bestFit="1" customWidth="1"/>
    <col min="15363" max="15363" width="29.42578125" bestFit="1" customWidth="1"/>
    <col min="15364" max="15364" width="20.5703125" bestFit="1" customWidth="1"/>
    <col min="15365" max="15365" width="23.5703125" bestFit="1" customWidth="1"/>
    <col min="15366" max="15366" width="24" bestFit="1" customWidth="1"/>
    <col min="15367" max="15367" width="15.7109375" bestFit="1" customWidth="1"/>
    <col min="15368" max="15368" width="3.7109375" bestFit="1" customWidth="1"/>
    <col min="15369" max="15369" width="14.28515625" bestFit="1" customWidth="1"/>
    <col min="15370" max="15370" width="10.85546875" bestFit="1" customWidth="1"/>
    <col min="15375" max="15375" width="14.85546875" bestFit="1" customWidth="1"/>
    <col min="15617" max="15617" width="11.7109375" bestFit="1" customWidth="1"/>
    <col min="15618" max="15618" width="32.7109375" bestFit="1" customWidth="1"/>
    <col min="15619" max="15619" width="29.42578125" bestFit="1" customWidth="1"/>
    <col min="15620" max="15620" width="20.5703125" bestFit="1" customWidth="1"/>
    <col min="15621" max="15621" width="23.5703125" bestFit="1" customWidth="1"/>
    <col min="15622" max="15622" width="24" bestFit="1" customWidth="1"/>
    <col min="15623" max="15623" width="15.7109375" bestFit="1" customWidth="1"/>
    <col min="15624" max="15624" width="3.7109375" bestFit="1" customWidth="1"/>
    <col min="15625" max="15625" width="14.28515625" bestFit="1" customWidth="1"/>
    <col min="15626" max="15626" width="10.85546875" bestFit="1" customWidth="1"/>
    <col min="15631" max="15631" width="14.85546875" bestFit="1" customWidth="1"/>
    <col min="15873" max="15873" width="11.7109375" bestFit="1" customWidth="1"/>
    <col min="15874" max="15874" width="32.7109375" bestFit="1" customWidth="1"/>
    <col min="15875" max="15875" width="29.42578125" bestFit="1" customWidth="1"/>
    <col min="15876" max="15876" width="20.5703125" bestFit="1" customWidth="1"/>
    <col min="15877" max="15877" width="23.5703125" bestFit="1" customWidth="1"/>
    <col min="15878" max="15878" width="24" bestFit="1" customWidth="1"/>
    <col min="15879" max="15879" width="15.7109375" bestFit="1" customWidth="1"/>
    <col min="15880" max="15880" width="3.7109375" bestFit="1" customWidth="1"/>
    <col min="15881" max="15881" width="14.28515625" bestFit="1" customWidth="1"/>
    <col min="15882" max="15882" width="10.85546875" bestFit="1" customWidth="1"/>
    <col min="15887" max="15887" width="14.85546875" bestFit="1" customWidth="1"/>
    <col min="16129" max="16129" width="11.7109375" bestFit="1" customWidth="1"/>
    <col min="16130" max="16130" width="32.7109375" bestFit="1" customWidth="1"/>
    <col min="16131" max="16131" width="29.42578125" bestFit="1" customWidth="1"/>
    <col min="16132" max="16132" width="20.5703125" bestFit="1" customWidth="1"/>
    <col min="16133" max="16133" width="23.5703125" bestFit="1" customWidth="1"/>
    <col min="16134" max="16134" width="24" bestFit="1" customWidth="1"/>
    <col min="16135" max="16135" width="15.7109375" bestFit="1" customWidth="1"/>
    <col min="16136" max="16136" width="3.7109375" bestFit="1" customWidth="1"/>
    <col min="16137" max="16137" width="14.28515625" bestFit="1" customWidth="1"/>
    <col min="16138" max="16138" width="10.85546875" bestFit="1" customWidth="1"/>
    <col min="16143" max="16143" width="14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7" s="15" customFormat="1" x14ac:dyDescent="0.25">
      <c r="A2" s="15">
        <v>336122</v>
      </c>
      <c r="B2" s="15" t="s">
        <v>16</v>
      </c>
      <c r="C2" s="15" t="s">
        <v>17</v>
      </c>
      <c r="D2" s="15" t="s">
        <v>18</v>
      </c>
      <c r="E2" s="16" t="s">
        <v>19</v>
      </c>
      <c r="F2" s="15" t="s">
        <v>20</v>
      </c>
      <c r="G2" s="15" t="s">
        <v>21</v>
      </c>
      <c r="H2" s="15" t="s">
        <v>22</v>
      </c>
      <c r="I2" s="17">
        <v>6001</v>
      </c>
      <c r="J2" s="15" t="s">
        <v>1447</v>
      </c>
      <c r="K2" s="15">
        <v>0</v>
      </c>
      <c r="L2" s="15">
        <v>50</v>
      </c>
      <c r="M2" s="15">
        <v>14</v>
      </c>
      <c r="N2" s="15">
        <v>0</v>
      </c>
      <c r="O2" s="15">
        <v>64</v>
      </c>
      <c r="P2" s="15" t="s">
        <v>23</v>
      </c>
    </row>
    <row r="3" spans="1:17" s="15" customFormat="1" x14ac:dyDescent="0.25">
      <c r="A3" s="15">
        <v>333230</v>
      </c>
      <c r="B3" s="15" t="s">
        <v>24</v>
      </c>
      <c r="C3" s="15" t="s">
        <v>25</v>
      </c>
      <c r="D3" s="15" t="s">
        <v>26</v>
      </c>
      <c r="E3" s="16" t="s">
        <v>27</v>
      </c>
      <c r="F3" s="15" t="s">
        <v>28</v>
      </c>
      <c r="G3" s="15" t="s">
        <v>29</v>
      </c>
      <c r="H3" s="15" t="s">
        <v>22</v>
      </c>
      <c r="I3" s="17">
        <v>6001</v>
      </c>
      <c r="J3" s="15" t="s">
        <v>30</v>
      </c>
      <c r="K3" s="15">
        <v>144</v>
      </c>
      <c r="L3" s="15">
        <v>180</v>
      </c>
      <c r="M3" s="15">
        <v>151</v>
      </c>
      <c r="N3" s="15">
        <v>152</v>
      </c>
      <c r="O3" s="15">
        <v>627</v>
      </c>
      <c r="P3" s="15" t="s">
        <v>23</v>
      </c>
    </row>
    <row r="4" spans="1:17" s="15" customFormat="1" x14ac:dyDescent="0.25">
      <c r="A4" s="15">
        <v>333559</v>
      </c>
      <c r="B4" s="15" t="s">
        <v>24</v>
      </c>
      <c r="C4" s="15" t="s">
        <v>25</v>
      </c>
      <c r="D4" s="15" t="s">
        <v>26</v>
      </c>
      <c r="E4" s="16" t="s">
        <v>27</v>
      </c>
      <c r="F4" s="15" t="s">
        <v>31</v>
      </c>
      <c r="G4" s="15" t="s">
        <v>32</v>
      </c>
      <c r="H4" s="15" t="s">
        <v>22</v>
      </c>
      <c r="I4" s="17">
        <v>6001</v>
      </c>
      <c r="J4" s="15" t="s">
        <v>30</v>
      </c>
      <c r="K4" s="15">
        <v>2009</v>
      </c>
      <c r="L4" s="15">
        <v>2289</v>
      </c>
      <c r="M4" s="15">
        <v>2413</v>
      </c>
      <c r="N4" s="15">
        <v>2117</v>
      </c>
      <c r="O4" s="15">
        <v>8828</v>
      </c>
      <c r="P4" s="15" t="s">
        <v>23</v>
      </c>
    </row>
    <row r="5" spans="1:17" x14ac:dyDescent="0.25">
      <c r="A5" s="6">
        <v>328821</v>
      </c>
      <c r="B5" s="6" t="s">
        <v>33</v>
      </c>
      <c r="C5" s="6" t="s">
        <v>34</v>
      </c>
      <c r="D5" s="6" t="s">
        <v>18</v>
      </c>
      <c r="E5" s="7" t="s">
        <v>35</v>
      </c>
      <c r="F5" s="6" t="s">
        <v>34</v>
      </c>
      <c r="G5" s="6" t="s">
        <v>36</v>
      </c>
      <c r="H5" s="6" t="s">
        <v>22</v>
      </c>
      <c r="I5" s="8">
        <v>6001</v>
      </c>
      <c r="J5" s="6" t="s">
        <v>30</v>
      </c>
      <c r="K5" s="6">
        <v>8</v>
      </c>
      <c r="L5" s="6">
        <v>9</v>
      </c>
      <c r="M5" s="6">
        <v>7</v>
      </c>
      <c r="N5" s="6">
        <v>7</v>
      </c>
      <c r="O5" s="6">
        <v>31</v>
      </c>
      <c r="P5" s="6" t="s">
        <v>23</v>
      </c>
      <c r="Q5" s="6"/>
    </row>
    <row r="6" spans="1:17" s="12" customFormat="1" x14ac:dyDescent="0.25">
      <c r="A6" s="12">
        <v>333270</v>
      </c>
      <c r="B6" s="12" t="s">
        <v>37</v>
      </c>
      <c r="C6" s="12" t="s">
        <v>38</v>
      </c>
      <c r="D6" s="12" t="s">
        <v>18</v>
      </c>
      <c r="E6" s="13" t="s">
        <v>39</v>
      </c>
      <c r="F6" s="12" t="s">
        <v>38</v>
      </c>
      <c r="G6" s="12" t="s">
        <v>40</v>
      </c>
      <c r="H6" s="12" t="s">
        <v>22</v>
      </c>
      <c r="I6" s="14">
        <v>6001</v>
      </c>
      <c r="J6" s="12" t="s">
        <v>30</v>
      </c>
      <c r="K6" s="12">
        <v>25</v>
      </c>
      <c r="L6" s="12">
        <v>31</v>
      </c>
      <c r="M6" s="12">
        <v>25</v>
      </c>
      <c r="N6" s="12">
        <v>33</v>
      </c>
      <c r="O6" s="12">
        <v>114</v>
      </c>
      <c r="P6" s="12" t="s">
        <v>23</v>
      </c>
    </row>
    <row r="7" spans="1:17" x14ac:dyDescent="0.25">
      <c r="A7" s="6">
        <v>329163</v>
      </c>
      <c r="B7" s="6" t="s">
        <v>41</v>
      </c>
      <c r="C7" s="6" t="s">
        <v>42</v>
      </c>
      <c r="D7" s="6" t="s">
        <v>18</v>
      </c>
      <c r="E7" s="7" t="s">
        <v>43</v>
      </c>
      <c r="F7" s="6" t="s">
        <v>44</v>
      </c>
      <c r="G7" s="6" t="s">
        <v>45</v>
      </c>
      <c r="H7" s="6" t="s">
        <v>22</v>
      </c>
      <c r="I7" s="8">
        <v>6001</v>
      </c>
      <c r="J7" s="6" t="s">
        <v>30</v>
      </c>
      <c r="K7" s="6">
        <v>1</v>
      </c>
      <c r="L7" s="6">
        <v>1</v>
      </c>
      <c r="M7" s="6">
        <v>1</v>
      </c>
      <c r="N7" s="6">
        <v>1</v>
      </c>
      <c r="O7" s="6">
        <v>4</v>
      </c>
      <c r="P7" s="6" t="s">
        <v>23</v>
      </c>
      <c r="Q7" s="6"/>
    </row>
    <row r="8" spans="1:17" x14ac:dyDescent="0.25">
      <c r="A8" s="6">
        <v>333138</v>
      </c>
      <c r="B8" s="6" t="s">
        <v>46</v>
      </c>
      <c r="C8" s="6" t="s">
        <v>47</v>
      </c>
      <c r="D8" s="6" t="s">
        <v>18</v>
      </c>
      <c r="E8" s="7" t="s">
        <v>43</v>
      </c>
      <c r="F8" s="6" t="s">
        <v>48</v>
      </c>
      <c r="G8" s="6" t="s">
        <v>49</v>
      </c>
      <c r="H8" s="6" t="s">
        <v>22</v>
      </c>
      <c r="I8" s="8">
        <v>6001</v>
      </c>
      <c r="J8" s="6" t="s">
        <v>30</v>
      </c>
      <c r="K8" s="6">
        <v>29</v>
      </c>
      <c r="L8" s="6">
        <v>22</v>
      </c>
      <c r="M8" s="6">
        <v>17</v>
      </c>
      <c r="N8" s="6">
        <v>22</v>
      </c>
      <c r="O8" s="6">
        <v>90</v>
      </c>
      <c r="P8" s="6" t="s">
        <v>23</v>
      </c>
      <c r="Q8" s="6"/>
    </row>
    <row r="9" spans="1:17" x14ac:dyDescent="0.25">
      <c r="A9" s="6">
        <v>329217</v>
      </c>
      <c r="B9" s="6" t="s">
        <v>50</v>
      </c>
      <c r="C9" s="6" t="s">
        <v>51</v>
      </c>
      <c r="D9" s="6" t="s">
        <v>18</v>
      </c>
      <c r="E9" s="7" t="s">
        <v>52</v>
      </c>
      <c r="F9" s="6" t="s">
        <v>53</v>
      </c>
      <c r="G9" s="6" t="s">
        <v>54</v>
      </c>
      <c r="H9" s="6" t="s">
        <v>22</v>
      </c>
      <c r="I9" s="8">
        <v>6001</v>
      </c>
      <c r="J9" s="6" t="s">
        <v>30</v>
      </c>
      <c r="K9" s="6">
        <v>12</v>
      </c>
      <c r="L9" s="6">
        <v>19</v>
      </c>
      <c r="M9" s="6">
        <v>63</v>
      </c>
      <c r="N9" s="6">
        <v>57</v>
      </c>
      <c r="O9" s="6">
        <v>151</v>
      </c>
      <c r="P9" s="6" t="s">
        <v>23</v>
      </c>
      <c r="Q9" s="6"/>
    </row>
    <row r="10" spans="1:17" x14ac:dyDescent="0.25">
      <c r="A10" s="6">
        <v>329225</v>
      </c>
      <c r="B10" s="6" t="s">
        <v>55</v>
      </c>
      <c r="C10" s="6" t="s">
        <v>56</v>
      </c>
      <c r="D10" s="6" t="s">
        <v>18</v>
      </c>
      <c r="E10" s="7" t="s">
        <v>57</v>
      </c>
      <c r="F10" s="6" t="s">
        <v>58</v>
      </c>
      <c r="G10" s="6" t="s">
        <v>59</v>
      </c>
      <c r="H10" s="6" t="s">
        <v>22</v>
      </c>
      <c r="I10" s="8">
        <v>6001</v>
      </c>
      <c r="J10" s="6" t="s">
        <v>30</v>
      </c>
      <c r="K10" s="6">
        <v>18</v>
      </c>
      <c r="L10" s="6">
        <v>17</v>
      </c>
      <c r="M10" s="6">
        <v>18</v>
      </c>
      <c r="N10" s="6">
        <v>12</v>
      </c>
      <c r="O10" s="6">
        <v>65</v>
      </c>
      <c r="P10" s="6" t="s">
        <v>23</v>
      </c>
      <c r="Q10" s="6"/>
    </row>
    <row r="11" spans="1:17" x14ac:dyDescent="0.25">
      <c r="A11" s="6">
        <v>329218</v>
      </c>
      <c r="B11" s="6" t="s">
        <v>60</v>
      </c>
      <c r="C11" s="6" t="s">
        <v>61</v>
      </c>
      <c r="D11" s="6" t="s">
        <v>18</v>
      </c>
      <c r="E11" s="7" t="s">
        <v>62</v>
      </c>
      <c r="F11" s="6" t="s">
        <v>63</v>
      </c>
      <c r="G11" s="6" t="s">
        <v>64</v>
      </c>
      <c r="H11" s="6" t="s">
        <v>22</v>
      </c>
      <c r="I11" s="8">
        <v>6001</v>
      </c>
      <c r="J11" s="6" t="s">
        <v>30</v>
      </c>
      <c r="K11" s="6">
        <v>11</v>
      </c>
      <c r="L11" s="6">
        <v>13</v>
      </c>
      <c r="M11" s="6">
        <v>10</v>
      </c>
      <c r="N11" s="6">
        <v>18</v>
      </c>
      <c r="O11" s="6">
        <v>52</v>
      </c>
      <c r="P11" s="6" t="s">
        <v>23</v>
      </c>
      <c r="Q11" s="6"/>
    </row>
    <row r="12" spans="1:17" x14ac:dyDescent="0.25">
      <c r="A12" s="6">
        <v>329219</v>
      </c>
      <c r="B12" s="6" t="s">
        <v>65</v>
      </c>
      <c r="C12" s="6" t="s">
        <v>66</v>
      </c>
      <c r="D12" s="6" t="s">
        <v>18</v>
      </c>
      <c r="E12" s="7">
        <v>6001</v>
      </c>
      <c r="F12" s="6" t="s">
        <v>66</v>
      </c>
      <c r="G12" s="6" t="s">
        <v>67</v>
      </c>
      <c r="H12" s="6" t="s">
        <v>22</v>
      </c>
      <c r="I12" s="8">
        <v>6001</v>
      </c>
      <c r="J12" s="6" t="s">
        <v>30</v>
      </c>
      <c r="K12" s="6">
        <v>25</v>
      </c>
      <c r="L12" s="6">
        <v>31</v>
      </c>
      <c r="M12" s="6">
        <v>28</v>
      </c>
      <c r="N12" s="6">
        <v>22</v>
      </c>
      <c r="O12" s="6">
        <v>106</v>
      </c>
      <c r="P12" s="6" t="s">
        <v>23</v>
      </c>
      <c r="Q12" s="6"/>
    </row>
    <row r="13" spans="1:17" x14ac:dyDescent="0.25">
      <c r="A13" s="6">
        <v>329220</v>
      </c>
      <c r="B13" s="6" t="s">
        <v>68</v>
      </c>
      <c r="C13" s="6" t="s">
        <v>69</v>
      </c>
      <c r="D13" s="6" t="s">
        <v>18</v>
      </c>
      <c r="E13" s="7" t="s">
        <v>70</v>
      </c>
      <c r="F13" s="6" t="s">
        <v>71</v>
      </c>
      <c r="G13" s="6" t="s">
        <v>72</v>
      </c>
      <c r="H13" s="6" t="s">
        <v>22</v>
      </c>
      <c r="I13" s="8">
        <v>6001</v>
      </c>
      <c r="J13" s="6" t="s">
        <v>30</v>
      </c>
      <c r="K13" s="6">
        <v>10</v>
      </c>
      <c r="L13" s="6">
        <v>32</v>
      </c>
      <c r="M13" s="6">
        <v>9</v>
      </c>
      <c r="N13" s="6">
        <v>8</v>
      </c>
      <c r="O13" s="6">
        <v>59</v>
      </c>
      <c r="P13" s="6" t="s">
        <v>23</v>
      </c>
      <c r="Q13" s="6"/>
    </row>
    <row r="14" spans="1:17" x14ac:dyDescent="0.25">
      <c r="A14" s="6">
        <v>353390</v>
      </c>
      <c r="B14" s="6" t="s">
        <v>73</v>
      </c>
      <c r="C14" s="6" t="s">
        <v>74</v>
      </c>
      <c r="D14" s="6" t="s">
        <v>18</v>
      </c>
      <c r="E14" s="7">
        <v>6001</v>
      </c>
      <c r="F14" s="6" t="s">
        <v>74</v>
      </c>
      <c r="G14" s="6" t="s">
        <v>75</v>
      </c>
      <c r="H14" s="6" t="s">
        <v>22</v>
      </c>
      <c r="I14" s="8">
        <v>6001</v>
      </c>
      <c r="J14" s="6" t="s">
        <v>30</v>
      </c>
      <c r="K14" s="6">
        <v>10</v>
      </c>
      <c r="L14" s="6">
        <v>9</v>
      </c>
      <c r="M14" s="6">
        <v>5</v>
      </c>
      <c r="N14" s="6">
        <v>2</v>
      </c>
      <c r="O14" s="6">
        <v>26</v>
      </c>
      <c r="P14" s="6" t="s">
        <v>23</v>
      </c>
      <c r="Q14" s="6"/>
    </row>
    <row r="15" spans="1:17" x14ac:dyDescent="0.25">
      <c r="A15" s="6">
        <v>329222</v>
      </c>
      <c r="B15" s="6" t="s">
        <v>76</v>
      </c>
      <c r="C15" s="6" t="s">
        <v>77</v>
      </c>
      <c r="D15" s="6" t="s">
        <v>18</v>
      </c>
      <c r="E15" s="7" t="s">
        <v>78</v>
      </c>
      <c r="F15" s="6" t="s">
        <v>77</v>
      </c>
      <c r="G15" s="6" t="s">
        <v>79</v>
      </c>
      <c r="H15" s="6" t="s">
        <v>22</v>
      </c>
      <c r="I15" s="8">
        <v>6001</v>
      </c>
      <c r="J15" s="6" t="s">
        <v>30</v>
      </c>
      <c r="K15" s="6">
        <v>5</v>
      </c>
      <c r="L15" s="6">
        <v>5</v>
      </c>
      <c r="M15" s="6">
        <v>6</v>
      </c>
      <c r="N15" s="6">
        <v>4</v>
      </c>
      <c r="O15" s="6">
        <v>20</v>
      </c>
      <c r="P15" s="6" t="s">
        <v>23</v>
      </c>
      <c r="Q15" s="6"/>
    </row>
    <row r="16" spans="1:17" x14ac:dyDescent="0.25">
      <c r="A16" s="6">
        <v>329223</v>
      </c>
      <c r="B16" s="6" t="s">
        <v>80</v>
      </c>
      <c r="C16" s="6" t="s">
        <v>81</v>
      </c>
      <c r="D16" s="6" t="s">
        <v>18</v>
      </c>
      <c r="E16" s="7">
        <v>6001</v>
      </c>
      <c r="F16" s="6" t="s">
        <v>82</v>
      </c>
      <c r="G16" s="6" t="s">
        <v>83</v>
      </c>
      <c r="H16" s="6" t="s">
        <v>22</v>
      </c>
      <c r="I16" s="8">
        <v>6001</v>
      </c>
      <c r="J16" s="6" t="s">
        <v>30</v>
      </c>
      <c r="K16" s="6">
        <v>13</v>
      </c>
      <c r="L16" s="6">
        <v>17</v>
      </c>
      <c r="M16" s="6">
        <v>11</v>
      </c>
      <c r="N16" s="6">
        <v>7</v>
      </c>
      <c r="O16" s="6">
        <v>48</v>
      </c>
      <c r="P16" s="6" t="s">
        <v>23</v>
      </c>
      <c r="Q16" s="6"/>
    </row>
    <row r="17" spans="1:17" x14ac:dyDescent="0.25">
      <c r="A17" s="6">
        <v>329224</v>
      </c>
      <c r="B17" s="6" t="s">
        <v>84</v>
      </c>
      <c r="C17" s="6" t="s">
        <v>85</v>
      </c>
      <c r="D17" s="6" t="s">
        <v>18</v>
      </c>
      <c r="E17" s="7">
        <v>6001</v>
      </c>
      <c r="F17" s="6" t="s">
        <v>86</v>
      </c>
      <c r="G17" s="6" t="s">
        <v>87</v>
      </c>
      <c r="H17" s="6" t="s">
        <v>22</v>
      </c>
      <c r="I17" s="8">
        <v>6001</v>
      </c>
      <c r="J17" s="6" t="s">
        <v>30</v>
      </c>
      <c r="K17" s="6">
        <v>2</v>
      </c>
      <c r="L17" s="6">
        <v>2</v>
      </c>
      <c r="M17" s="6">
        <v>2</v>
      </c>
      <c r="N17" s="6">
        <v>1</v>
      </c>
      <c r="O17" s="6">
        <v>7</v>
      </c>
      <c r="P17" s="6" t="s">
        <v>23</v>
      </c>
      <c r="Q17" s="6"/>
    </row>
    <row r="18" spans="1:17" x14ac:dyDescent="0.25">
      <c r="A18" s="6">
        <v>333032</v>
      </c>
      <c r="B18" s="6" t="s">
        <v>88</v>
      </c>
      <c r="C18" s="6" t="s">
        <v>89</v>
      </c>
      <c r="D18" s="6" t="s">
        <v>18</v>
      </c>
      <c r="E18" s="7" t="s">
        <v>90</v>
      </c>
      <c r="F18" s="6" t="s">
        <v>91</v>
      </c>
      <c r="G18" s="6" t="s">
        <v>92</v>
      </c>
      <c r="H18" s="6" t="s">
        <v>22</v>
      </c>
      <c r="I18" s="8">
        <v>6001</v>
      </c>
      <c r="J18" s="6" t="s">
        <v>30</v>
      </c>
      <c r="K18" s="6">
        <v>197</v>
      </c>
      <c r="L18" s="6">
        <v>467</v>
      </c>
      <c r="M18" s="6">
        <v>249</v>
      </c>
      <c r="N18" s="6">
        <v>191</v>
      </c>
      <c r="O18" s="6">
        <v>1104</v>
      </c>
      <c r="P18" s="6" t="s">
        <v>93</v>
      </c>
      <c r="Q18" s="6"/>
    </row>
    <row r="19" spans="1:17" x14ac:dyDescent="0.25">
      <c r="A19" s="6">
        <v>333030</v>
      </c>
      <c r="B19" s="6" t="s">
        <v>88</v>
      </c>
      <c r="C19" s="6" t="s">
        <v>94</v>
      </c>
      <c r="D19" s="6" t="s">
        <v>18</v>
      </c>
      <c r="E19" s="7" t="s">
        <v>90</v>
      </c>
      <c r="F19" s="6" t="s">
        <v>95</v>
      </c>
      <c r="G19" s="6" t="s">
        <v>96</v>
      </c>
      <c r="H19" s="6" t="s">
        <v>22</v>
      </c>
      <c r="I19" s="8">
        <v>6001</v>
      </c>
      <c r="J19" s="6" t="s">
        <v>30</v>
      </c>
      <c r="K19" s="6">
        <v>132</v>
      </c>
      <c r="L19" s="6">
        <v>229</v>
      </c>
      <c r="M19" s="6">
        <v>377</v>
      </c>
      <c r="N19" s="6">
        <v>0</v>
      </c>
      <c r="O19" s="6">
        <v>738</v>
      </c>
      <c r="P19" s="6" t="s">
        <v>23</v>
      </c>
      <c r="Q19" s="6"/>
    </row>
    <row r="20" spans="1:17" x14ac:dyDescent="0.25">
      <c r="A20" s="6">
        <v>333748</v>
      </c>
      <c r="B20" s="6" t="s">
        <v>88</v>
      </c>
      <c r="C20" s="6" t="s">
        <v>97</v>
      </c>
      <c r="D20" s="6" t="s">
        <v>18</v>
      </c>
      <c r="E20" s="7" t="s">
        <v>90</v>
      </c>
      <c r="F20" s="6" t="s">
        <v>95</v>
      </c>
      <c r="G20" s="6" t="s">
        <v>98</v>
      </c>
      <c r="H20" s="6" t="s">
        <v>22</v>
      </c>
      <c r="I20" s="8">
        <v>6001</v>
      </c>
      <c r="J20" s="6" t="s">
        <v>30</v>
      </c>
      <c r="K20" s="6">
        <v>526</v>
      </c>
      <c r="L20" s="6">
        <v>899</v>
      </c>
      <c r="M20" s="6">
        <v>700</v>
      </c>
      <c r="N20" s="6">
        <v>103</v>
      </c>
      <c r="O20" s="6">
        <v>2228</v>
      </c>
      <c r="P20" s="6" t="s">
        <v>23</v>
      </c>
      <c r="Q20" s="6"/>
    </row>
    <row r="21" spans="1:17" x14ac:dyDescent="0.25">
      <c r="A21" s="6">
        <v>333031</v>
      </c>
      <c r="B21" s="6" t="s">
        <v>88</v>
      </c>
      <c r="C21" s="6" t="s">
        <v>94</v>
      </c>
      <c r="D21" s="6" t="s">
        <v>18</v>
      </c>
      <c r="E21" s="7" t="s">
        <v>90</v>
      </c>
      <c r="F21" s="6" t="s">
        <v>99</v>
      </c>
      <c r="G21" s="6" t="s">
        <v>100</v>
      </c>
      <c r="H21" s="6" t="s">
        <v>22</v>
      </c>
      <c r="I21" s="8">
        <v>6001</v>
      </c>
      <c r="J21" s="6" t="s">
        <v>30</v>
      </c>
      <c r="K21" s="6">
        <v>5</v>
      </c>
      <c r="L21" s="6">
        <v>36</v>
      </c>
      <c r="M21" s="6">
        <v>18</v>
      </c>
      <c r="N21" s="6">
        <v>0</v>
      </c>
      <c r="O21" s="6">
        <v>59</v>
      </c>
      <c r="P21" s="6" t="s">
        <v>23</v>
      </c>
      <c r="Q21" s="6"/>
    </row>
    <row r="22" spans="1:17" s="12" customFormat="1" x14ac:dyDescent="0.25">
      <c r="A22" s="12">
        <v>329736</v>
      </c>
      <c r="B22" s="12" t="s">
        <v>101</v>
      </c>
      <c r="C22" s="12" t="s">
        <v>102</v>
      </c>
      <c r="D22" s="12" t="s">
        <v>18</v>
      </c>
      <c r="E22" s="13">
        <v>6001</v>
      </c>
      <c r="F22" s="12" t="s">
        <v>102</v>
      </c>
      <c r="G22" s="12" t="s">
        <v>103</v>
      </c>
      <c r="H22" s="12" t="s">
        <v>22</v>
      </c>
      <c r="I22" s="14">
        <v>6001</v>
      </c>
      <c r="J22" s="12" t="s">
        <v>30</v>
      </c>
      <c r="K22" s="12">
        <v>29</v>
      </c>
      <c r="L22" s="12">
        <v>29</v>
      </c>
      <c r="M22" s="12">
        <v>26</v>
      </c>
      <c r="N22" s="12">
        <v>24</v>
      </c>
      <c r="O22" s="12">
        <v>108</v>
      </c>
      <c r="P22" s="12" t="s">
        <v>23</v>
      </c>
    </row>
    <row r="23" spans="1:17" s="12" customFormat="1" x14ac:dyDescent="0.25">
      <c r="A23" s="12">
        <v>329737</v>
      </c>
      <c r="B23" s="12" t="s">
        <v>104</v>
      </c>
      <c r="C23" s="12" t="s">
        <v>102</v>
      </c>
      <c r="D23" s="12" t="s">
        <v>18</v>
      </c>
      <c r="E23" s="13">
        <v>6001</v>
      </c>
      <c r="F23" s="12" t="s">
        <v>102</v>
      </c>
      <c r="G23" s="12" t="s">
        <v>105</v>
      </c>
      <c r="H23" s="12" t="s">
        <v>22</v>
      </c>
      <c r="I23" s="14">
        <v>6001</v>
      </c>
      <c r="J23" s="12" t="s">
        <v>30</v>
      </c>
      <c r="K23" s="12">
        <v>13</v>
      </c>
      <c r="L23" s="12">
        <v>15</v>
      </c>
      <c r="M23" s="12">
        <v>11</v>
      </c>
      <c r="N23" s="12">
        <v>12</v>
      </c>
      <c r="O23" s="12">
        <v>51</v>
      </c>
      <c r="P23" s="12" t="s">
        <v>23</v>
      </c>
    </row>
    <row r="24" spans="1:17" x14ac:dyDescent="0.25">
      <c r="A24" s="6">
        <v>328530</v>
      </c>
      <c r="B24" s="6" t="s">
        <v>106</v>
      </c>
      <c r="C24" s="6" t="s">
        <v>107</v>
      </c>
      <c r="D24" s="6" t="s">
        <v>18</v>
      </c>
      <c r="E24" s="7" t="s">
        <v>108</v>
      </c>
      <c r="F24" s="6" t="s">
        <v>109</v>
      </c>
      <c r="G24" s="6" t="s">
        <v>110</v>
      </c>
      <c r="H24" s="6" t="s">
        <v>22</v>
      </c>
      <c r="I24" s="8">
        <v>6001</v>
      </c>
      <c r="J24" s="6" t="s">
        <v>30</v>
      </c>
      <c r="K24" s="6">
        <v>58</v>
      </c>
      <c r="L24" s="6">
        <v>97</v>
      </c>
      <c r="M24" s="6">
        <v>70</v>
      </c>
      <c r="N24" s="6">
        <v>21</v>
      </c>
      <c r="O24" s="6">
        <v>246</v>
      </c>
      <c r="P24" s="6" t="s">
        <v>23</v>
      </c>
      <c r="Q24" s="6"/>
    </row>
    <row r="25" spans="1:17" s="12" customFormat="1" x14ac:dyDescent="0.25">
      <c r="A25" s="12">
        <v>329767</v>
      </c>
      <c r="B25" s="12" t="s">
        <v>111</v>
      </c>
      <c r="C25" s="12" t="s">
        <v>112</v>
      </c>
      <c r="D25" s="12" t="s">
        <v>18</v>
      </c>
      <c r="E25" s="13" t="s">
        <v>113</v>
      </c>
      <c r="F25" s="12" t="s">
        <v>114</v>
      </c>
      <c r="G25" s="12" t="s">
        <v>115</v>
      </c>
      <c r="H25" s="12" t="s">
        <v>22</v>
      </c>
      <c r="I25" s="14">
        <v>6001</v>
      </c>
      <c r="J25" s="12" t="s">
        <v>30</v>
      </c>
      <c r="K25" s="12">
        <v>4</v>
      </c>
      <c r="L25" s="12">
        <v>6</v>
      </c>
      <c r="M25" s="12">
        <v>1</v>
      </c>
      <c r="N25" s="12">
        <v>0</v>
      </c>
      <c r="O25" s="12">
        <v>11</v>
      </c>
      <c r="P25" s="12" t="s">
        <v>116</v>
      </c>
    </row>
    <row r="26" spans="1:17" x14ac:dyDescent="0.25">
      <c r="A26" s="6">
        <v>328532</v>
      </c>
      <c r="B26" s="6" t="s">
        <v>117</v>
      </c>
      <c r="C26" s="6" t="s">
        <v>118</v>
      </c>
      <c r="D26" s="6" t="s">
        <v>18</v>
      </c>
      <c r="E26" s="7" t="s">
        <v>119</v>
      </c>
      <c r="F26" s="6" t="s">
        <v>118</v>
      </c>
      <c r="G26" s="6" t="s">
        <v>120</v>
      </c>
      <c r="H26" s="6" t="s">
        <v>22</v>
      </c>
      <c r="I26" s="8">
        <v>6001</v>
      </c>
      <c r="J26" s="6" t="s">
        <v>30</v>
      </c>
      <c r="K26" s="6">
        <v>8</v>
      </c>
      <c r="L26" s="6">
        <v>35</v>
      </c>
      <c r="M26" s="6">
        <v>13</v>
      </c>
      <c r="N26" s="6">
        <v>2</v>
      </c>
      <c r="O26" s="6">
        <v>58</v>
      </c>
      <c r="P26" s="6" t="s">
        <v>23</v>
      </c>
      <c r="Q26" s="6"/>
    </row>
    <row r="27" spans="1:17" s="15" customFormat="1" x14ac:dyDescent="0.25">
      <c r="A27" s="15">
        <v>333304</v>
      </c>
      <c r="B27" s="15" t="s">
        <v>121</v>
      </c>
      <c r="C27" s="15" t="s">
        <v>122</v>
      </c>
      <c r="D27" s="15" t="s">
        <v>18</v>
      </c>
      <c r="E27" s="16" t="s">
        <v>123</v>
      </c>
      <c r="F27" s="15" t="s">
        <v>122</v>
      </c>
      <c r="G27" s="15" t="s">
        <v>124</v>
      </c>
      <c r="H27" s="15" t="s">
        <v>22</v>
      </c>
      <c r="I27" s="17">
        <v>6001</v>
      </c>
      <c r="J27" s="15" t="s">
        <v>30</v>
      </c>
      <c r="K27" s="15">
        <v>183</v>
      </c>
      <c r="L27" s="15">
        <v>464</v>
      </c>
      <c r="M27" s="15">
        <v>631</v>
      </c>
      <c r="N27" s="15">
        <v>186</v>
      </c>
      <c r="O27" s="15">
        <v>1464</v>
      </c>
      <c r="P27" s="15" t="s">
        <v>23</v>
      </c>
    </row>
    <row r="28" spans="1:17" s="12" customFormat="1" x14ac:dyDescent="0.25">
      <c r="A28" s="12">
        <v>329960</v>
      </c>
      <c r="B28" s="12" t="s">
        <v>125</v>
      </c>
      <c r="C28" s="12" t="s">
        <v>126</v>
      </c>
      <c r="D28" s="12" t="s">
        <v>18</v>
      </c>
      <c r="E28" s="13" t="s">
        <v>127</v>
      </c>
      <c r="F28" s="12" t="s">
        <v>128</v>
      </c>
      <c r="G28" s="12" t="s">
        <v>129</v>
      </c>
      <c r="H28" s="12" t="s">
        <v>22</v>
      </c>
      <c r="I28" s="14">
        <v>6001</v>
      </c>
      <c r="J28" s="12" t="s">
        <v>30</v>
      </c>
      <c r="K28" s="12">
        <v>16</v>
      </c>
      <c r="L28" s="12">
        <v>18</v>
      </c>
      <c r="M28" s="12">
        <v>25</v>
      </c>
      <c r="N28" s="12">
        <v>16</v>
      </c>
      <c r="O28" s="12">
        <v>75</v>
      </c>
      <c r="P28" s="12" t="s">
        <v>130</v>
      </c>
    </row>
    <row r="29" spans="1:17" s="12" customFormat="1" x14ac:dyDescent="0.25">
      <c r="A29" s="12">
        <v>329962</v>
      </c>
      <c r="B29" s="12" t="s">
        <v>131</v>
      </c>
      <c r="C29" s="12" t="s">
        <v>132</v>
      </c>
      <c r="D29" s="12" t="s">
        <v>18</v>
      </c>
      <c r="E29" s="13" t="s">
        <v>133</v>
      </c>
      <c r="F29" s="12" t="s">
        <v>128</v>
      </c>
      <c r="G29" s="12" t="s">
        <v>134</v>
      </c>
      <c r="H29" s="12" t="s">
        <v>22</v>
      </c>
      <c r="I29" s="14">
        <v>6001</v>
      </c>
      <c r="J29" s="12" t="s">
        <v>30</v>
      </c>
      <c r="K29" s="12">
        <v>78</v>
      </c>
      <c r="L29" s="12">
        <v>36</v>
      </c>
      <c r="M29" s="12">
        <v>46</v>
      </c>
      <c r="N29" s="12">
        <v>34</v>
      </c>
      <c r="O29" s="12">
        <v>194</v>
      </c>
      <c r="P29" s="12" t="s">
        <v>130</v>
      </c>
    </row>
    <row r="30" spans="1:17" s="12" customFormat="1" x14ac:dyDescent="0.25">
      <c r="A30" s="12">
        <v>354255</v>
      </c>
      <c r="B30" s="12" t="s">
        <v>135</v>
      </c>
      <c r="C30" s="12" t="s">
        <v>136</v>
      </c>
      <c r="D30" s="12" t="s">
        <v>18</v>
      </c>
      <c r="E30" s="13">
        <v>6001</v>
      </c>
      <c r="F30" s="12" t="s">
        <v>136</v>
      </c>
      <c r="G30" s="12" t="s">
        <v>137</v>
      </c>
      <c r="H30" s="12" t="s">
        <v>22</v>
      </c>
      <c r="I30" s="14">
        <v>6001</v>
      </c>
      <c r="J30" s="12" t="s">
        <v>30</v>
      </c>
      <c r="K30" s="12">
        <v>2</v>
      </c>
      <c r="L30" s="12">
        <v>2</v>
      </c>
      <c r="M30" s="12">
        <v>1</v>
      </c>
      <c r="N30" s="12">
        <v>1</v>
      </c>
      <c r="O30" s="12">
        <v>6</v>
      </c>
      <c r="P30" s="12" t="s">
        <v>130</v>
      </c>
    </row>
    <row r="31" spans="1:17" s="12" customFormat="1" x14ac:dyDescent="0.25">
      <c r="A31" s="12">
        <v>361633</v>
      </c>
      <c r="B31" s="12" t="s">
        <v>138</v>
      </c>
      <c r="C31" s="12" t="s">
        <v>139</v>
      </c>
      <c r="D31" s="12" t="s">
        <v>18</v>
      </c>
      <c r="E31" s="13">
        <v>6001</v>
      </c>
      <c r="F31" s="12" t="s">
        <v>139</v>
      </c>
      <c r="G31" s="12" t="s">
        <v>140</v>
      </c>
      <c r="H31" s="12" t="s">
        <v>22</v>
      </c>
      <c r="I31" s="14">
        <v>6001</v>
      </c>
      <c r="J31" s="12" t="s">
        <v>30</v>
      </c>
      <c r="K31" s="12">
        <v>11</v>
      </c>
      <c r="L31" s="12">
        <v>13</v>
      </c>
      <c r="M31" s="12">
        <v>16</v>
      </c>
      <c r="N31" s="12">
        <v>12</v>
      </c>
      <c r="O31" s="12">
        <v>52</v>
      </c>
      <c r="P31" s="12" t="s">
        <v>130</v>
      </c>
    </row>
    <row r="32" spans="1:17" s="12" customFormat="1" x14ac:dyDescent="0.25">
      <c r="A32" s="12">
        <v>333340</v>
      </c>
      <c r="B32" s="12" t="s">
        <v>141</v>
      </c>
      <c r="C32" s="12" t="s">
        <v>142</v>
      </c>
      <c r="D32" s="12" t="s">
        <v>18</v>
      </c>
      <c r="E32" s="13" t="s">
        <v>143</v>
      </c>
      <c r="F32" s="12" t="s">
        <v>144</v>
      </c>
      <c r="G32" s="12" t="s">
        <v>145</v>
      </c>
      <c r="H32" s="12" t="s">
        <v>22</v>
      </c>
      <c r="I32" s="14">
        <v>6001</v>
      </c>
      <c r="J32" s="12" t="s">
        <v>30</v>
      </c>
      <c r="K32" s="12">
        <v>0</v>
      </c>
      <c r="L32" s="12">
        <v>115</v>
      </c>
      <c r="M32" s="12">
        <v>69</v>
      </c>
      <c r="N32" s="12">
        <v>0</v>
      </c>
      <c r="O32" s="12">
        <v>184</v>
      </c>
      <c r="P32" s="12" t="s">
        <v>146</v>
      </c>
    </row>
    <row r="33" spans="1:17" x14ac:dyDescent="0.25">
      <c r="A33" s="6">
        <v>328726</v>
      </c>
      <c r="B33" s="6" t="s">
        <v>147</v>
      </c>
      <c r="C33" s="6" t="s">
        <v>148</v>
      </c>
      <c r="D33" s="6" t="s">
        <v>18</v>
      </c>
      <c r="E33" s="7" t="s">
        <v>149</v>
      </c>
      <c r="F33" s="6" t="s">
        <v>150</v>
      </c>
      <c r="G33" s="6" t="s">
        <v>151</v>
      </c>
      <c r="H33" s="6" t="s">
        <v>22</v>
      </c>
      <c r="I33" s="8">
        <v>6001</v>
      </c>
      <c r="J33" s="6" t="s">
        <v>30</v>
      </c>
      <c r="K33" s="6">
        <v>7</v>
      </c>
      <c r="L33" s="6">
        <v>53</v>
      </c>
      <c r="M33" s="6">
        <v>50</v>
      </c>
      <c r="N33" s="6">
        <v>20</v>
      </c>
      <c r="O33" s="6">
        <v>130</v>
      </c>
      <c r="P33" s="6" t="s">
        <v>23</v>
      </c>
      <c r="Q33" s="6"/>
    </row>
    <row r="34" spans="1:17" x14ac:dyDescent="0.25">
      <c r="A34" s="6">
        <v>328727</v>
      </c>
      <c r="B34" s="6" t="s">
        <v>152</v>
      </c>
      <c r="C34" s="6" t="s">
        <v>150</v>
      </c>
      <c r="D34" s="6" t="s">
        <v>18</v>
      </c>
      <c r="E34" s="7" t="s">
        <v>149</v>
      </c>
      <c r="F34" s="6" t="s">
        <v>150</v>
      </c>
      <c r="G34" s="6" t="s">
        <v>153</v>
      </c>
      <c r="H34" s="6" t="s">
        <v>22</v>
      </c>
      <c r="I34" s="8">
        <v>6001</v>
      </c>
      <c r="J34" s="6" t="s">
        <v>30</v>
      </c>
      <c r="K34" s="6">
        <v>4</v>
      </c>
      <c r="L34" s="6">
        <v>2</v>
      </c>
      <c r="M34" s="6">
        <v>11</v>
      </c>
      <c r="N34" s="6">
        <v>28</v>
      </c>
      <c r="O34" s="6">
        <v>45</v>
      </c>
      <c r="P34" s="6" t="s">
        <v>23</v>
      </c>
      <c r="Q34" s="6"/>
    </row>
    <row r="35" spans="1:17" x14ac:dyDescent="0.25">
      <c r="A35" s="6">
        <v>333299</v>
      </c>
      <c r="B35" s="6" t="s">
        <v>154</v>
      </c>
      <c r="C35" s="6" t="s">
        <v>155</v>
      </c>
      <c r="D35" s="6" t="s">
        <v>18</v>
      </c>
      <c r="E35" s="7" t="s">
        <v>156</v>
      </c>
      <c r="F35" s="6" t="s">
        <v>157</v>
      </c>
      <c r="G35" s="6" t="s">
        <v>158</v>
      </c>
      <c r="H35" s="6" t="s">
        <v>22</v>
      </c>
      <c r="I35" s="8">
        <v>6001</v>
      </c>
      <c r="J35" s="6" t="s">
        <v>30</v>
      </c>
      <c r="K35" s="6">
        <v>75</v>
      </c>
      <c r="L35" s="6">
        <v>110</v>
      </c>
      <c r="M35" s="6">
        <v>96</v>
      </c>
      <c r="N35" s="6">
        <v>82</v>
      </c>
      <c r="O35" s="6">
        <v>363</v>
      </c>
      <c r="P35" s="6" t="s">
        <v>23</v>
      </c>
      <c r="Q35" s="6"/>
    </row>
    <row r="36" spans="1:17" x14ac:dyDescent="0.25">
      <c r="A36" s="6">
        <v>333301</v>
      </c>
      <c r="B36" s="6" t="s">
        <v>159</v>
      </c>
      <c r="C36" s="6" t="s">
        <v>160</v>
      </c>
      <c r="D36" s="6" t="s">
        <v>18</v>
      </c>
      <c r="E36" s="7">
        <v>6001</v>
      </c>
      <c r="F36" s="6" t="s">
        <v>161</v>
      </c>
      <c r="G36" s="6" t="s">
        <v>162</v>
      </c>
      <c r="H36" s="6" t="s">
        <v>22</v>
      </c>
      <c r="I36" s="8">
        <v>6001</v>
      </c>
      <c r="J36" s="6" t="s">
        <v>30</v>
      </c>
      <c r="K36" s="6">
        <v>149</v>
      </c>
      <c r="L36" s="6">
        <v>211</v>
      </c>
      <c r="M36" s="6">
        <v>219</v>
      </c>
      <c r="N36" s="6">
        <v>127</v>
      </c>
      <c r="O36" s="6">
        <v>706</v>
      </c>
      <c r="P36" s="6" t="s">
        <v>23</v>
      </c>
      <c r="Q36" s="6"/>
    </row>
    <row r="37" spans="1:17" x14ac:dyDescent="0.25">
      <c r="A37" s="6">
        <v>328468</v>
      </c>
      <c r="B37" s="6" t="s">
        <v>163</v>
      </c>
      <c r="C37" s="6" t="s">
        <v>164</v>
      </c>
      <c r="D37" s="6" t="s">
        <v>18</v>
      </c>
      <c r="E37" s="7" t="s">
        <v>165</v>
      </c>
      <c r="F37" s="6" t="s">
        <v>166</v>
      </c>
      <c r="G37" s="6" t="s">
        <v>167</v>
      </c>
      <c r="H37" s="6" t="s">
        <v>22</v>
      </c>
      <c r="I37" s="8">
        <v>6001</v>
      </c>
      <c r="J37" s="6" t="s">
        <v>30</v>
      </c>
      <c r="K37" s="6">
        <v>5</v>
      </c>
      <c r="L37" s="6">
        <v>93</v>
      </c>
      <c r="M37" s="6">
        <v>7</v>
      </c>
      <c r="N37" s="6">
        <v>10</v>
      </c>
      <c r="O37" s="6">
        <v>115</v>
      </c>
      <c r="P37" s="6" t="s">
        <v>23</v>
      </c>
      <c r="Q37" s="6"/>
    </row>
    <row r="38" spans="1:17" x14ac:dyDescent="0.25">
      <c r="A38" s="6">
        <v>328470</v>
      </c>
      <c r="B38" s="6" t="s">
        <v>168</v>
      </c>
      <c r="C38" s="6" t="s">
        <v>169</v>
      </c>
      <c r="D38" s="6" t="s">
        <v>18</v>
      </c>
      <c r="E38" s="7" t="s">
        <v>170</v>
      </c>
      <c r="F38" s="6" t="s">
        <v>169</v>
      </c>
      <c r="G38" s="6" t="s">
        <v>171</v>
      </c>
      <c r="H38" s="6" t="s">
        <v>22</v>
      </c>
      <c r="I38" s="8">
        <v>6001</v>
      </c>
      <c r="J38" s="6" t="s">
        <v>30</v>
      </c>
      <c r="K38" s="6">
        <v>143</v>
      </c>
      <c r="L38" s="6">
        <v>519</v>
      </c>
      <c r="M38" s="6">
        <v>88</v>
      </c>
      <c r="N38" s="6">
        <v>3</v>
      </c>
      <c r="O38" s="6">
        <v>753</v>
      </c>
      <c r="P38" s="6" t="s">
        <v>23</v>
      </c>
      <c r="Q38" s="6"/>
    </row>
    <row r="39" spans="1:17" x14ac:dyDescent="0.25">
      <c r="A39" s="6">
        <v>333182</v>
      </c>
      <c r="B39" s="6" t="s">
        <v>172</v>
      </c>
      <c r="C39" s="6" t="s">
        <v>173</v>
      </c>
      <c r="D39" s="6" t="s">
        <v>18</v>
      </c>
      <c r="E39" s="7" t="s">
        <v>174</v>
      </c>
      <c r="F39" s="6" t="s">
        <v>173</v>
      </c>
      <c r="G39" s="6" t="s">
        <v>175</v>
      </c>
      <c r="H39" s="6" t="s">
        <v>22</v>
      </c>
      <c r="I39" s="8">
        <v>6001</v>
      </c>
      <c r="J39" s="6" t="s">
        <v>30</v>
      </c>
      <c r="K39" s="6">
        <v>166</v>
      </c>
      <c r="L39" s="6">
        <v>292</v>
      </c>
      <c r="M39" s="6">
        <v>213</v>
      </c>
      <c r="N39" s="6">
        <v>110</v>
      </c>
      <c r="O39" s="6">
        <v>781</v>
      </c>
      <c r="P39" s="6" t="s">
        <v>23</v>
      </c>
      <c r="Q39" s="6"/>
    </row>
    <row r="40" spans="1:17" x14ac:dyDescent="0.25">
      <c r="A40" s="6">
        <v>333166</v>
      </c>
      <c r="B40" s="6" t="s">
        <v>176</v>
      </c>
      <c r="C40" s="6" t="s">
        <v>177</v>
      </c>
      <c r="D40" s="6" t="s">
        <v>18</v>
      </c>
      <c r="E40" s="7" t="s">
        <v>178</v>
      </c>
      <c r="F40" s="6" t="s">
        <v>179</v>
      </c>
      <c r="G40" s="6" t="s">
        <v>180</v>
      </c>
      <c r="H40" s="6" t="s">
        <v>22</v>
      </c>
      <c r="I40" s="8">
        <v>6001</v>
      </c>
      <c r="J40" s="6" t="s">
        <v>30</v>
      </c>
      <c r="K40" s="6">
        <v>12</v>
      </c>
      <c r="L40" s="6">
        <v>406</v>
      </c>
      <c r="M40" s="6">
        <v>155</v>
      </c>
      <c r="N40" s="6">
        <v>3</v>
      </c>
      <c r="O40" s="6">
        <v>576</v>
      </c>
      <c r="P40" s="6" t="s">
        <v>23</v>
      </c>
      <c r="Q40" s="6"/>
    </row>
    <row r="41" spans="1:17" s="6" customFormat="1" x14ac:dyDescent="0.25">
      <c r="A41" s="6">
        <v>333008</v>
      </c>
      <c r="B41" s="6" t="s">
        <v>181</v>
      </c>
      <c r="C41" s="6" t="s">
        <v>182</v>
      </c>
      <c r="D41" s="6" t="s">
        <v>18</v>
      </c>
      <c r="E41" s="7" t="s">
        <v>183</v>
      </c>
      <c r="F41" s="6" t="s">
        <v>184</v>
      </c>
      <c r="G41" s="6" t="s">
        <v>185</v>
      </c>
      <c r="H41" s="6" t="s">
        <v>22</v>
      </c>
      <c r="I41" s="8">
        <v>6001</v>
      </c>
      <c r="J41" s="6" t="s">
        <v>30</v>
      </c>
      <c r="K41" s="6">
        <v>368</v>
      </c>
      <c r="L41" s="6">
        <v>373</v>
      </c>
      <c r="M41" s="6">
        <v>273</v>
      </c>
      <c r="N41" s="6">
        <v>193</v>
      </c>
      <c r="O41" s="6">
        <v>1207</v>
      </c>
      <c r="P41" s="6" t="s">
        <v>23</v>
      </c>
    </row>
    <row r="42" spans="1:17" s="6" customFormat="1" x14ac:dyDescent="0.25">
      <c r="A42" s="6">
        <v>333009</v>
      </c>
      <c r="B42" s="6" t="s">
        <v>186</v>
      </c>
      <c r="C42" s="6" t="s">
        <v>187</v>
      </c>
      <c r="D42" s="6" t="s">
        <v>18</v>
      </c>
      <c r="E42" s="7">
        <v>6001</v>
      </c>
      <c r="F42" s="6" t="s">
        <v>187</v>
      </c>
      <c r="G42" s="6" t="s">
        <v>188</v>
      </c>
      <c r="H42" s="6" t="s">
        <v>22</v>
      </c>
      <c r="I42" s="8">
        <v>6001</v>
      </c>
      <c r="J42" s="6" t="s">
        <v>30</v>
      </c>
      <c r="K42" s="6">
        <v>7</v>
      </c>
      <c r="L42" s="6">
        <v>9</v>
      </c>
      <c r="M42" s="6">
        <v>2</v>
      </c>
      <c r="N42" s="6">
        <v>10</v>
      </c>
      <c r="O42" s="6">
        <v>28</v>
      </c>
      <c r="P42" s="6" t="s">
        <v>23</v>
      </c>
    </row>
    <row r="43" spans="1:17" s="6" customFormat="1" x14ac:dyDescent="0.25">
      <c r="A43" s="6">
        <v>355225</v>
      </c>
      <c r="B43" s="6" t="s">
        <v>189</v>
      </c>
      <c r="C43" s="6" t="s">
        <v>190</v>
      </c>
      <c r="D43" s="6" t="s">
        <v>18</v>
      </c>
      <c r="E43" s="7">
        <v>6001</v>
      </c>
      <c r="F43" s="6" t="s">
        <v>191</v>
      </c>
      <c r="G43" s="6" t="s">
        <v>192</v>
      </c>
      <c r="H43" s="6" t="s">
        <v>22</v>
      </c>
      <c r="I43" s="8">
        <v>6001</v>
      </c>
      <c r="J43" s="6" t="s">
        <v>30</v>
      </c>
      <c r="K43" s="6">
        <v>10</v>
      </c>
      <c r="L43" s="6">
        <v>26</v>
      </c>
      <c r="M43" s="6">
        <v>18</v>
      </c>
      <c r="N43" s="6">
        <v>4</v>
      </c>
      <c r="O43" s="6">
        <v>58</v>
      </c>
      <c r="P43" s="6" t="s">
        <v>23</v>
      </c>
    </row>
    <row r="44" spans="1:17" s="6" customFormat="1" x14ac:dyDescent="0.25">
      <c r="A44" s="6">
        <v>328540</v>
      </c>
      <c r="B44" s="6" t="s">
        <v>193</v>
      </c>
      <c r="C44" s="6" t="s">
        <v>194</v>
      </c>
      <c r="D44" s="6" t="s">
        <v>18</v>
      </c>
      <c r="E44" s="7" t="s">
        <v>195</v>
      </c>
      <c r="F44" s="6" t="s">
        <v>196</v>
      </c>
      <c r="G44" s="6" t="s">
        <v>197</v>
      </c>
      <c r="H44" s="6" t="s">
        <v>22</v>
      </c>
      <c r="I44" s="8">
        <v>6001</v>
      </c>
      <c r="J44" s="6" t="s">
        <v>30</v>
      </c>
      <c r="K44" s="6">
        <v>8</v>
      </c>
      <c r="L44" s="6">
        <v>26</v>
      </c>
      <c r="M44" s="6">
        <v>2</v>
      </c>
      <c r="N44" s="6">
        <v>2</v>
      </c>
      <c r="O44" s="6">
        <v>38</v>
      </c>
      <c r="P44" s="6" t="s">
        <v>23</v>
      </c>
    </row>
    <row r="45" spans="1:17" s="6" customFormat="1" x14ac:dyDescent="0.25">
      <c r="A45" s="6">
        <v>372460</v>
      </c>
      <c r="B45" s="6" t="s">
        <v>198</v>
      </c>
      <c r="C45" s="6" t="s">
        <v>199</v>
      </c>
      <c r="D45" s="6" t="s">
        <v>18</v>
      </c>
      <c r="E45" s="7" t="s">
        <v>200</v>
      </c>
      <c r="F45" s="6" t="s">
        <v>201</v>
      </c>
      <c r="G45" s="6" t="s">
        <v>202</v>
      </c>
      <c r="H45" s="6" t="s">
        <v>22</v>
      </c>
      <c r="I45" s="8">
        <v>6001</v>
      </c>
      <c r="J45" s="6" t="s">
        <v>30</v>
      </c>
      <c r="K45" s="6">
        <v>2</v>
      </c>
      <c r="L45" s="6">
        <v>38</v>
      </c>
      <c r="M45" s="6">
        <v>12</v>
      </c>
      <c r="N45" s="6">
        <v>0</v>
      </c>
      <c r="O45" s="6">
        <v>52</v>
      </c>
      <c r="P45" s="6" t="s">
        <v>23</v>
      </c>
    </row>
    <row r="46" spans="1:17" s="6" customFormat="1" x14ac:dyDescent="0.25">
      <c r="A46" s="6">
        <v>328544</v>
      </c>
      <c r="B46" s="6" t="s">
        <v>203</v>
      </c>
      <c r="C46" s="6" t="s">
        <v>204</v>
      </c>
      <c r="D46" s="6" t="s">
        <v>18</v>
      </c>
      <c r="E46" s="7">
        <v>6001</v>
      </c>
      <c r="F46" s="6" t="s">
        <v>205</v>
      </c>
      <c r="G46" s="6" t="s">
        <v>206</v>
      </c>
      <c r="H46" s="6" t="s">
        <v>22</v>
      </c>
      <c r="I46" s="8">
        <v>6001</v>
      </c>
      <c r="J46" s="6" t="s">
        <v>30</v>
      </c>
      <c r="K46" s="6">
        <v>0</v>
      </c>
      <c r="L46" s="6">
        <v>0</v>
      </c>
      <c r="M46" s="6">
        <v>1</v>
      </c>
      <c r="N46" s="6">
        <v>3</v>
      </c>
      <c r="O46" s="6">
        <v>4</v>
      </c>
      <c r="P46" s="6" t="s">
        <v>207</v>
      </c>
    </row>
    <row r="47" spans="1:17" s="6" customFormat="1" x14ac:dyDescent="0.25">
      <c r="A47" s="6">
        <v>373950</v>
      </c>
      <c r="B47" s="6" t="s">
        <v>208</v>
      </c>
      <c r="C47" s="6" t="s">
        <v>205</v>
      </c>
      <c r="D47" s="6" t="s">
        <v>18</v>
      </c>
      <c r="E47" s="7">
        <v>6001</v>
      </c>
      <c r="F47" s="6" t="s">
        <v>205</v>
      </c>
      <c r="G47" s="6" t="s">
        <v>206</v>
      </c>
      <c r="H47" s="6" t="s">
        <v>22</v>
      </c>
      <c r="I47" s="8">
        <v>6001</v>
      </c>
      <c r="J47" s="6" t="s">
        <v>30</v>
      </c>
      <c r="K47" s="6">
        <v>2</v>
      </c>
      <c r="L47" s="6">
        <v>2</v>
      </c>
      <c r="M47" s="6">
        <v>1</v>
      </c>
      <c r="N47" s="6">
        <v>0</v>
      </c>
      <c r="O47" s="6">
        <v>5</v>
      </c>
      <c r="P47" s="6" t="s">
        <v>23</v>
      </c>
    </row>
    <row r="48" spans="1:17" s="6" customFormat="1" x14ac:dyDescent="0.25">
      <c r="A48" s="6">
        <v>338537</v>
      </c>
      <c r="B48" s="6" t="s">
        <v>209</v>
      </c>
      <c r="C48" s="6" t="s">
        <v>210</v>
      </c>
      <c r="D48" s="6" t="s">
        <v>18</v>
      </c>
      <c r="E48" s="7">
        <v>6001</v>
      </c>
      <c r="F48" s="6" t="s">
        <v>210</v>
      </c>
      <c r="G48" s="6" t="s">
        <v>211</v>
      </c>
      <c r="H48" s="6" t="s">
        <v>22</v>
      </c>
      <c r="I48" s="8">
        <v>6001</v>
      </c>
      <c r="J48" s="6" t="s">
        <v>30</v>
      </c>
      <c r="K48" s="6">
        <v>61</v>
      </c>
      <c r="L48" s="6">
        <v>96</v>
      </c>
      <c r="M48" s="6">
        <v>63</v>
      </c>
      <c r="N48" s="6">
        <v>45</v>
      </c>
      <c r="O48" s="6">
        <v>265</v>
      </c>
      <c r="P48" s="6" t="s">
        <v>23</v>
      </c>
    </row>
    <row r="49" spans="1:17" s="6" customFormat="1" x14ac:dyDescent="0.25">
      <c r="A49" s="6">
        <v>328894</v>
      </c>
      <c r="B49" s="6" t="s">
        <v>212</v>
      </c>
      <c r="C49" s="6" t="s">
        <v>213</v>
      </c>
      <c r="D49" s="6" t="s">
        <v>18</v>
      </c>
      <c r="E49" s="7" t="s">
        <v>214</v>
      </c>
      <c r="F49" s="6" t="s">
        <v>215</v>
      </c>
      <c r="G49" s="6" t="s">
        <v>216</v>
      </c>
      <c r="H49" s="6" t="s">
        <v>22</v>
      </c>
      <c r="I49" s="8">
        <v>6001</v>
      </c>
      <c r="J49" s="6" t="s">
        <v>30</v>
      </c>
      <c r="K49" s="6">
        <v>11</v>
      </c>
      <c r="L49" s="6">
        <v>42</v>
      </c>
      <c r="M49" s="6">
        <v>9</v>
      </c>
      <c r="N49" s="6">
        <v>7</v>
      </c>
      <c r="O49" s="6">
        <v>69</v>
      </c>
      <c r="P49" s="6" t="s">
        <v>23</v>
      </c>
    </row>
    <row r="50" spans="1:17" s="6" customFormat="1" x14ac:dyDescent="0.25">
      <c r="A50" s="6">
        <v>328550</v>
      </c>
      <c r="B50" s="6" t="s">
        <v>217</v>
      </c>
      <c r="C50" s="6" t="s">
        <v>218</v>
      </c>
      <c r="D50" s="6" t="s">
        <v>18</v>
      </c>
      <c r="E50" s="7" t="s">
        <v>214</v>
      </c>
      <c r="F50" s="6" t="s">
        <v>219</v>
      </c>
      <c r="G50" s="6" t="s">
        <v>220</v>
      </c>
      <c r="H50" s="6" t="s">
        <v>22</v>
      </c>
      <c r="I50" s="8">
        <v>6001</v>
      </c>
      <c r="J50" s="6" t="s">
        <v>30</v>
      </c>
      <c r="K50" s="6">
        <v>15</v>
      </c>
      <c r="L50" s="6">
        <v>69</v>
      </c>
      <c r="M50" s="6">
        <v>40</v>
      </c>
      <c r="N50" s="6">
        <v>15</v>
      </c>
      <c r="O50" s="6">
        <v>139</v>
      </c>
      <c r="P50" s="6" t="s">
        <v>23</v>
      </c>
    </row>
    <row r="51" spans="1:17" s="6" customFormat="1" x14ac:dyDescent="0.25">
      <c r="A51" s="6">
        <v>333019</v>
      </c>
      <c r="B51" s="6" t="s">
        <v>221</v>
      </c>
      <c r="C51" s="6" t="s">
        <v>222</v>
      </c>
      <c r="D51" s="6" t="s">
        <v>18</v>
      </c>
      <c r="E51" s="7" t="s">
        <v>223</v>
      </c>
      <c r="F51" s="6" t="s">
        <v>224</v>
      </c>
      <c r="G51" s="6" t="s">
        <v>225</v>
      </c>
      <c r="H51" s="6" t="s">
        <v>22</v>
      </c>
      <c r="I51" s="8">
        <v>6001</v>
      </c>
      <c r="J51" s="6" t="s">
        <v>30</v>
      </c>
      <c r="K51" s="6">
        <v>1</v>
      </c>
      <c r="L51" s="6">
        <v>2</v>
      </c>
      <c r="M51" s="6">
        <v>1</v>
      </c>
      <c r="N51" s="6">
        <v>0</v>
      </c>
      <c r="O51" s="6">
        <v>4</v>
      </c>
      <c r="P51" s="6" t="s">
        <v>23</v>
      </c>
    </row>
    <row r="52" spans="1:17" s="6" customFormat="1" x14ac:dyDescent="0.25">
      <c r="A52" s="6">
        <v>328555</v>
      </c>
      <c r="B52" s="6" t="s">
        <v>226</v>
      </c>
      <c r="C52" s="6" t="s">
        <v>227</v>
      </c>
      <c r="D52" s="6" t="s">
        <v>18</v>
      </c>
      <c r="E52" s="7" t="s">
        <v>228</v>
      </c>
      <c r="F52" s="6" t="s">
        <v>229</v>
      </c>
      <c r="G52" s="6" t="s">
        <v>230</v>
      </c>
      <c r="H52" s="6" t="s">
        <v>22</v>
      </c>
      <c r="I52" s="8">
        <v>6001</v>
      </c>
      <c r="J52" s="6" t="s">
        <v>30</v>
      </c>
      <c r="K52" s="6">
        <v>44</v>
      </c>
      <c r="L52" s="6">
        <v>48</v>
      </c>
      <c r="M52" s="6">
        <v>38</v>
      </c>
      <c r="N52" s="6">
        <v>30</v>
      </c>
      <c r="O52" s="6">
        <v>160</v>
      </c>
      <c r="P52" s="6" t="s">
        <v>23</v>
      </c>
    </row>
    <row r="53" spans="1:17" s="6" customFormat="1" x14ac:dyDescent="0.25">
      <c r="A53" s="6">
        <v>328556</v>
      </c>
      <c r="B53" s="6" t="s">
        <v>231</v>
      </c>
      <c r="C53" s="6" t="s">
        <v>227</v>
      </c>
      <c r="D53" s="6" t="s">
        <v>18</v>
      </c>
      <c r="E53" s="7" t="s">
        <v>228</v>
      </c>
      <c r="F53" s="6" t="s">
        <v>232</v>
      </c>
      <c r="G53" s="6" t="s">
        <v>233</v>
      </c>
      <c r="H53" s="6" t="s">
        <v>22</v>
      </c>
      <c r="I53" s="8">
        <v>6001</v>
      </c>
      <c r="J53" s="6" t="s">
        <v>30</v>
      </c>
      <c r="K53" s="6">
        <v>3</v>
      </c>
      <c r="L53" s="6">
        <v>1</v>
      </c>
      <c r="M53" s="6">
        <v>0</v>
      </c>
      <c r="N53" s="6">
        <v>1</v>
      </c>
      <c r="O53" s="6">
        <v>5</v>
      </c>
      <c r="P53" s="6" t="s">
        <v>23</v>
      </c>
    </row>
    <row r="54" spans="1:17" s="6" customFormat="1" x14ac:dyDescent="0.25">
      <c r="A54" s="6">
        <v>328557</v>
      </c>
      <c r="B54" s="6" t="s">
        <v>234</v>
      </c>
      <c r="C54" s="6" t="s">
        <v>235</v>
      </c>
      <c r="D54" s="6" t="s">
        <v>18</v>
      </c>
      <c r="E54" s="7" t="s">
        <v>236</v>
      </c>
      <c r="F54" s="6" t="s">
        <v>237</v>
      </c>
      <c r="G54" s="6" t="s">
        <v>238</v>
      </c>
      <c r="H54" s="6" t="s">
        <v>22</v>
      </c>
      <c r="I54" s="8">
        <v>6001</v>
      </c>
      <c r="J54" s="6" t="s">
        <v>30</v>
      </c>
      <c r="K54" s="6">
        <v>37</v>
      </c>
      <c r="L54" s="6">
        <v>210</v>
      </c>
      <c r="M54" s="6">
        <v>55</v>
      </c>
      <c r="N54" s="6">
        <v>11</v>
      </c>
      <c r="O54" s="6">
        <v>313</v>
      </c>
      <c r="P54" s="6" t="s">
        <v>23</v>
      </c>
    </row>
    <row r="55" spans="1:17" s="6" customFormat="1" x14ac:dyDescent="0.25">
      <c r="A55" s="6">
        <v>336591</v>
      </c>
      <c r="B55" s="6" t="s">
        <v>239</v>
      </c>
      <c r="C55" s="6" t="s">
        <v>240</v>
      </c>
      <c r="D55" s="6" t="s">
        <v>18</v>
      </c>
      <c r="E55" s="7">
        <v>6001</v>
      </c>
      <c r="F55" s="6" t="s">
        <v>240</v>
      </c>
      <c r="G55" s="6" t="s">
        <v>241</v>
      </c>
      <c r="H55" s="6" t="s">
        <v>22</v>
      </c>
      <c r="I55" s="8">
        <v>6001</v>
      </c>
      <c r="J55" s="6" t="s">
        <v>30</v>
      </c>
      <c r="K55" s="6">
        <v>25</v>
      </c>
      <c r="L55" s="6">
        <v>78</v>
      </c>
      <c r="M55" s="6">
        <v>71</v>
      </c>
      <c r="N55" s="6">
        <v>75</v>
      </c>
      <c r="O55" s="6">
        <v>249</v>
      </c>
      <c r="P55" s="6" t="s">
        <v>23</v>
      </c>
    </row>
    <row r="56" spans="1:17" s="6" customFormat="1" x14ac:dyDescent="0.25">
      <c r="A56" s="6">
        <v>333018</v>
      </c>
      <c r="B56" s="6" t="s">
        <v>242</v>
      </c>
      <c r="C56" s="6" t="s">
        <v>243</v>
      </c>
      <c r="D56" s="6" t="s">
        <v>18</v>
      </c>
      <c r="E56" s="7" t="s">
        <v>236</v>
      </c>
      <c r="F56" s="6" t="s">
        <v>244</v>
      </c>
      <c r="G56" s="6" t="s">
        <v>245</v>
      </c>
      <c r="H56" s="6" t="s">
        <v>22</v>
      </c>
      <c r="I56" s="8">
        <v>6001</v>
      </c>
      <c r="J56" s="6" t="s">
        <v>30</v>
      </c>
      <c r="K56" s="6">
        <v>75</v>
      </c>
      <c r="L56" s="6">
        <v>98</v>
      </c>
      <c r="M56" s="6">
        <v>84</v>
      </c>
      <c r="N56" s="6">
        <v>65</v>
      </c>
      <c r="O56" s="6">
        <v>322</v>
      </c>
      <c r="P56" s="6" t="s">
        <v>23</v>
      </c>
    </row>
    <row r="57" spans="1:17" s="6" customFormat="1" x14ac:dyDescent="0.25">
      <c r="A57" s="6">
        <v>333012</v>
      </c>
      <c r="B57" s="6" t="s">
        <v>221</v>
      </c>
      <c r="C57" s="6" t="s">
        <v>222</v>
      </c>
      <c r="D57" s="6" t="s">
        <v>18</v>
      </c>
      <c r="E57" s="7" t="s">
        <v>223</v>
      </c>
      <c r="F57" s="6" t="s">
        <v>246</v>
      </c>
      <c r="G57" s="6" t="s">
        <v>247</v>
      </c>
      <c r="H57" s="6" t="s">
        <v>22</v>
      </c>
      <c r="I57" s="8">
        <v>6001</v>
      </c>
      <c r="J57" s="6" t="s">
        <v>30</v>
      </c>
      <c r="K57" s="6">
        <v>1</v>
      </c>
      <c r="L57" s="6">
        <v>212</v>
      </c>
      <c r="M57" s="6">
        <v>41</v>
      </c>
      <c r="N57" s="6">
        <v>0</v>
      </c>
      <c r="O57" s="6">
        <v>254</v>
      </c>
      <c r="P57" s="6" t="s">
        <v>23</v>
      </c>
    </row>
    <row r="58" spans="1:17" s="6" customFormat="1" x14ac:dyDescent="0.25">
      <c r="A58" s="6">
        <v>333016</v>
      </c>
      <c r="B58" s="6" t="s">
        <v>226</v>
      </c>
      <c r="C58" s="6" t="s">
        <v>248</v>
      </c>
      <c r="D58" s="6" t="s">
        <v>18</v>
      </c>
      <c r="E58" s="7" t="s">
        <v>228</v>
      </c>
      <c r="F58" s="6" t="s">
        <v>249</v>
      </c>
      <c r="G58" s="6" t="s">
        <v>250</v>
      </c>
      <c r="H58" s="6" t="s">
        <v>22</v>
      </c>
      <c r="I58" s="8">
        <v>6001</v>
      </c>
      <c r="J58" s="6" t="s">
        <v>30</v>
      </c>
      <c r="K58" s="6">
        <v>9</v>
      </c>
      <c r="L58" s="6">
        <v>9</v>
      </c>
      <c r="M58" s="6">
        <v>8</v>
      </c>
      <c r="N58" s="6">
        <v>13</v>
      </c>
      <c r="O58" s="6">
        <v>39</v>
      </c>
      <c r="P58" s="6" t="s">
        <v>23</v>
      </c>
    </row>
    <row r="59" spans="1:17" s="6" customFormat="1" x14ac:dyDescent="0.25">
      <c r="A59" s="6">
        <v>333017</v>
      </c>
      <c r="B59" s="6" t="s">
        <v>251</v>
      </c>
      <c r="C59" s="6" t="s">
        <v>252</v>
      </c>
      <c r="D59" s="6" t="s">
        <v>18</v>
      </c>
      <c r="E59" s="7">
        <v>6001</v>
      </c>
      <c r="F59" s="6" t="s">
        <v>249</v>
      </c>
      <c r="G59" s="6" t="s">
        <v>253</v>
      </c>
      <c r="H59" s="6" t="s">
        <v>22</v>
      </c>
      <c r="I59" s="8">
        <v>6001</v>
      </c>
      <c r="J59" s="6" t="s">
        <v>30</v>
      </c>
      <c r="K59" s="6">
        <v>203</v>
      </c>
      <c r="L59" s="6">
        <v>246</v>
      </c>
      <c r="M59" s="6">
        <v>264</v>
      </c>
      <c r="N59" s="6">
        <v>193</v>
      </c>
      <c r="O59" s="6">
        <v>906</v>
      </c>
      <c r="P59" s="6" t="s">
        <v>23</v>
      </c>
    </row>
    <row r="60" spans="1:17" s="6" customFormat="1" x14ac:dyDescent="0.25">
      <c r="A60" s="6">
        <v>333689</v>
      </c>
      <c r="B60" s="6" t="s">
        <v>221</v>
      </c>
      <c r="C60" s="6" t="s">
        <v>222</v>
      </c>
      <c r="D60" s="6" t="s">
        <v>18</v>
      </c>
      <c r="E60" s="7" t="s">
        <v>223</v>
      </c>
      <c r="F60" s="6" t="s">
        <v>254</v>
      </c>
      <c r="G60" s="6" t="s">
        <v>255</v>
      </c>
      <c r="H60" s="6" t="s">
        <v>22</v>
      </c>
      <c r="I60" s="8">
        <v>6001</v>
      </c>
      <c r="J60" s="6" t="s">
        <v>30</v>
      </c>
      <c r="K60" s="6">
        <v>220</v>
      </c>
      <c r="L60" s="6">
        <v>365</v>
      </c>
      <c r="M60" s="6">
        <v>170</v>
      </c>
      <c r="N60" s="6">
        <v>162</v>
      </c>
      <c r="O60" s="6">
        <v>917</v>
      </c>
      <c r="P60" s="6" t="s">
        <v>23</v>
      </c>
    </row>
    <row r="61" spans="1:17" s="6" customFormat="1" x14ac:dyDescent="0.25">
      <c r="A61" s="6">
        <v>333601</v>
      </c>
      <c r="B61" s="6" t="s">
        <v>231</v>
      </c>
      <c r="C61" s="6" t="s">
        <v>227</v>
      </c>
      <c r="D61" s="6" t="s">
        <v>18</v>
      </c>
      <c r="E61" s="7" t="s">
        <v>228</v>
      </c>
      <c r="F61" s="6" t="s">
        <v>256</v>
      </c>
      <c r="G61" s="6" t="s">
        <v>257</v>
      </c>
      <c r="H61" s="6" t="s">
        <v>22</v>
      </c>
      <c r="I61" s="8">
        <v>6001</v>
      </c>
      <c r="J61" s="6" t="s">
        <v>30</v>
      </c>
      <c r="K61" s="6">
        <v>353</v>
      </c>
      <c r="L61" s="6">
        <v>402</v>
      </c>
      <c r="M61" s="6">
        <v>388</v>
      </c>
      <c r="N61" s="6">
        <v>283</v>
      </c>
      <c r="O61" s="6">
        <v>1426</v>
      </c>
      <c r="P61" s="6" t="s">
        <v>23</v>
      </c>
    </row>
    <row r="62" spans="1:17" x14ac:dyDescent="0.25">
      <c r="A62" s="6">
        <v>328917</v>
      </c>
      <c r="B62" s="6" t="s">
        <v>258</v>
      </c>
      <c r="C62" s="6" t="s">
        <v>259</v>
      </c>
      <c r="D62" s="6" t="s">
        <v>18</v>
      </c>
      <c r="E62" s="7" t="s">
        <v>260</v>
      </c>
      <c r="F62" s="6" t="s">
        <v>259</v>
      </c>
      <c r="G62" s="6" t="s">
        <v>261</v>
      </c>
      <c r="H62" s="6" t="s">
        <v>22</v>
      </c>
      <c r="I62" s="8">
        <v>6001</v>
      </c>
      <c r="J62" s="6" t="s">
        <v>30</v>
      </c>
      <c r="K62" s="6">
        <v>20</v>
      </c>
      <c r="L62" s="6">
        <v>26</v>
      </c>
      <c r="M62" s="6">
        <v>20</v>
      </c>
      <c r="N62" s="6">
        <v>20</v>
      </c>
      <c r="O62" s="6">
        <v>86</v>
      </c>
      <c r="P62" s="6" t="s">
        <v>23</v>
      </c>
      <c r="Q62" s="6"/>
    </row>
    <row r="63" spans="1:17" s="6" customFormat="1" x14ac:dyDescent="0.25">
      <c r="A63" s="6">
        <v>333134</v>
      </c>
      <c r="B63" s="6" t="s">
        <v>262</v>
      </c>
      <c r="C63" s="6" t="s">
        <v>263</v>
      </c>
      <c r="D63" s="6" t="s">
        <v>18</v>
      </c>
      <c r="E63" s="7" t="s">
        <v>264</v>
      </c>
      <c r="F63" s="6" t="s">
        <v>263</v>
      </c>
      <c r="G63" s="6" t="s">
        <v>265</v>
      </c>
      <c r="H63" s="6" t="s">
        <v>22</v>
      </c>
      <c r="I63" s="8">
        <v>6001</v>
      </c>
      <c r="J63" s="6" t="s">
        <v>30</v>
      </c>
      <c r="K63" s="6">
        <v>14</v>
      </c>
      <c r="L63" s="6">
        <v>131</v>
      </c>
      <c r="M63" s="6">
        <v>116</v>
      </c>
      <c r="N63" s="6">
        <v>17</v>
      </c>
      <c r="O63" s="6">
        <v>278</v>
      </c>
      <c r="P63" s="6" t="s">
        <v>23</v>
      </c>
    </row>
    <row r="64" spans="1:17" s="6" customFormat="1" x14ac:dyDescent="0.25">
      <c r="A64" s="6">
        <v>333132</v>
      </c>
      <c r="B64" s="6" t="s">
        <v>266</v>
      </c>
      <c r="C64" s="6" t="s">
        <v>267</v>
      </c>
      <c r="D64" s="6" t="s">
        <v>18</v>
      </c>
      <c r="E64" s="7" t="s">
        <v>268</v>
      </c>
      <c r="F64" s="6" t="s">
        <v>269</v>
      </c>
      <c r="G64" s="6" t="s">
        <v>270</v>
      </c>
      <c r="H64" s="6" t="s">
        <v>22</v>
      </c>
      <c r="I64" s="8">
        <v>6001</v>
      </c>
      <c r="J64" s="6" t="s">
        <v>30</v>
      </c>
      <c r="K64" s="6">
        <v>73</v>
      </c>
      <c r="L64" s="6">
        <v>311</v>
      </c>
      <c r="M64" s="6">
        <v>61</v>
      </c>
      <c r="N64" s="6">
        <v>0</v>
      </c>
      <c r="O64" s="6">
        <v>445</v>
      </c>
      <c r="P64" s="6" t="s">
        <v>23</v>
      </c>
    </row>
    <row r="65" spans="1:16" s="6" customFormat="1" x14ac:dyDescent="0.25">
      <c r="A65" s="6">
        <v>333551</v>
      </c>
      <c r="B65" s="6" t="s">
        <v>266</v>
      </c>
      <c r="C65" s="6" t="s">
        <v>267</v>
      </c>
      <c r="D65" s="6" t="s">
        <v>18</v>
      </c>
      <c r="E65" s="7" t="s">
        <v>268</v>
      </c>
      <c r="F65" s="6" t="s">
        <v>271</v>
      </c>
      <c r="G65" s="6" t="s">
        <v>272</v>
      </c>
      <c r="H65" s="6" t="s">
        <v>22</v>
      </c>
      <c r="I65" s="8">
        <v>6001</v>
      </c>
      <c r="J65" s="6" t="s">
        <v>30</v>
      </c>
      <c r="K65" s="6">
        <v>132</v>
      </c>
      <c r="L65" s="6">
        <v>358</v>
      </c>
      <c r="M65" s="6">
        <v>132</v>
      </c>
      <c r="N65" s="6">
        <v>46</v>
      </c>
      <c r="O65" s="6">
        <v>668</v>
      </c>
      <c r="P65" s="6" t="s">
        <v>23</v>
      </c>
    </row>
    <row r="66" spans="1:16" s="12" customFormat="1" x14ac:dyDescent="0.25">
      <c r="A66" s="12">
        <v>345883</v>
      </c>
      <c r="B66" s="12" t="s">
        <v>273</v>
      </c>
      <c r="C66" s="12" t="s">
        <v>274</v>
      </c>
      <c r="D66" s="12" t="s">
        <v>18</v>
      </c>
      <c r="E66" s="13">
        <v>6001</v>
      </c>
      <c r="F66" s="12" t="s">
        <v>274</v>
      </c>
      <c r="G66" s="12" t="s">
        <v>275</v>
      </c>
      <c r="H66" s="12" t="s">
        <v>22</v>
      </c>
      <c r="I66" s="14">
        <v>6001</v>
      </c>
      <c r="J66" s="12" t="s">
        <v>30</v>
      </c>
      <c r="K66" s="12">
        <v>2</v>
      </c>
      <c r="L66" s="12">
        <v>6</v>
      </c>
      <c r="M66" s="12">
        <v>1</v>
      </c>
      <c r="N66" s="12">
        <v>2</v>
      </c>
      <c r="O66" s="12">
        <v>11</v>
      </c>
      <c r="P66" s="12" t="s">
        <v>23</v>
      </c>
    </row>
    <row r="67" spans="1:16" s="6" customFormat="1" x14ac:dyDescent="0.25">
      <c r="A67" s="6">
        <v>328743</v>
      </c>
      <c r="B67" s="6" t="s">
        <v>276</v>
      </c>
      <c r="C67" s="6" t="s">
        <v>222</v>
      </c>
      <c r="D67" s="6" t="s">
        <v>18</v>
      </c>
      <c r="E67" s="7" t="s">
        <v>223</v>
      </c>
      <c r="F67" s="6" t="s">
        <v>277</v>
      </c>
      <c r="G67" s="6" t="s">
        <v>278</v>
      </c>
      <c r="H67" s="6" t="s">
        <v>22</v>
      </c>
      <c r="I67" s="8">
        <v>6001</v>
      </c>
      <c r="J67" s="6" t="s">
        <v>30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 t="s">
        <v>23</v>
      </c>
    </row>
    <row r="68" spans="1:16" s="6" customFormat="1" x14ac:dyDescent="0.25">
      <c r="A68" s="6">
        <v>333022</v>
      </c>
      <c r="B68" s="6" t="s">
        <v>279</v>
      </c>
      <c r="C68" s="6" t="s">
        <v>222</v>
      </c>
      <c r="D68" s="6" t="s">
        <v>18</v>
      </c>
      <c r="E68" s="7" t="s">
        <v>223</v>
      </c>
      <c r="F68" s="6" t="s">
        <v>280</v>
      </c>
      <c r="G68" s="6" t="s">
        <v>281</v>
      </c>
      <c r="H68" s="6" t="s">
        <v>22</v>
      </c>
      <c r="I68" s="8">
        <v>6001</v>
      </c>
      <c r="J68" s="6" t="s">
        <v>30</v>
      </c>
      <c r="K68" s="6">
        <v>92</v>
      </c>
      <c r="L68" s="6">
        <v>225</v>
      </c>
      <c r="M68" s="6">
        <v>321</v>
      </c>
      <c r="N68" s="6">
        <v>192</v>
      </c>
      <c r="O68" s="6">
        <v>830</v>
      </c>
      <c r="P68" s="6" t="s">
        <v>23</v>
      </c>
    </row>
    <row r="69" spans="1:16" s="6" customFormat="1" x14ac:dyDescent="0.25">
      <c r="A69" s="6">
        <v>328745</v>
      </c>
      <c r="B69" s="6" t="s">
        <v>282</v>
      </c>
      <c r="C69" s="6" t="s">
        <v>283</v>
      </c>
      <c r="D69" s="6" t="s">
        <v>18</v>
      </c>
      <c r="E69" s="7">
        <v>6001</v>
      </c>
      <c r="F69" s="6" t="s">
        <v>284</v>
      </c>
      <c r="G69" s="6" t="s">
        <v>285</v>
      </c>
      <c r="H69" s="6" t="s">
        <v>22</v>
      </c>
      <c r="I69" s="8">
        <v>6001</v>
      </c>
      <c r="J69" s="6" t="s">
        <v>30</v>
      </c>
      <c r="K69" s="6">
        <v>223</v>
      </c>
      <c r="L69" s="6">
        <v>0</v>
      </c>
      <c r="M69" s="6">
        <v>0</v>
      </c>
      <c r="N69" s="6">
        <v>6</v>
      </c>
      <c r="O69" s="6">
        <v>229</v>
      </c>
      <c r="P69" s="6" t="s">
        <v>23</v>
      </c>
    </row>
    <row r="70" spans="1:16" s="6" customFormat="1" x14ac:dyDescent="0.25">
      <c r="A70" s="6">
        <v>333024</v>
      </c>
      <c r="B70" s="6" t="s">
        <v>286</v>
      </c>
      <c r="C70" s="6" t="s">
        <v>222</v>
      </c>
      <c r="D70" s="6" t="s">
        <v>18</v>
      </c>
      <c r="E70" s="7" t="s">
        <v>223</v>
      </c>
      <c r="F70" s="6" t="s">
        <v>287</v>
      </c>
      <c r="G70" s="6" t="s">
        <v>288</v>
      </c>
      <c r="H70" s="6" t="s">
        <v>22</v>
      </c>
      <c r="I70" s="8">
        <v>6001</v>
      </c>
      <c r="J70" s="6" t="s">
        <v>30</v>
      </c>
      <c r="K70" s="6">
        <v>31</v>
      </c>
      <c r="L70" s="6">
        <v>303</v>
      </c>
      <c r="M70" s="6">
        <v>115</v>
      </c>
      <c r="N70" s="6">
        <v>0</v>
      </c>
      <c r="O70" s="6">
        <v>449</v>
      </c>
      <c r="P70" s="6" t="s">
        <v>23</v>
      </c>
    </row>
    <row r="71" spans="1:16" s="6" customFormat="1" x14ac:dyDescent="0.25">
      <c r="A71" s="6">
        <v>333027</v>
      </c>
      <c r="B71" s="6" t="s">
        <v>289</v>
      </c>
      <c r="C71" s="6" t="s">
        <v>222</v>
      </c>
      <c r="D71" s="6" t="s">
        <v>18</v>
      </c>
      <c r="E71" s="7" t="s">
        <v>223</v>
      </c>
      <c r="F71" s="6" t="s">
        <v>290</v>
      </c>
      <c r="G71" s="6" t="s">
        <v>291</v>
      </c>
      <c r="H71" s="6" t="s">
        <v>22</v>
      </c>
      <c r="I71" s="8">
        <v>6001</v>
      </c>
      <c r="J71" s="6" t="s">
        <v>30</v>
      </c>
      <c r="K71" s="6">
        <v>86</v>
      </c>
      <c r="L71" s="6">
        <v>825</v>
      </c>
      <c r="M71" s="6">
        <v>83</v>
      </c>
      <c r="N71" s="6">
        <v>0</v>
      </c>
      <c r="O71" s="6">
        <v>994</v>
      </c>
      <c r="P71" s="6" t="s">
        <v>23</v>
      </c>
    </row>
    <row r="72" spans="1:16" s="6" customFormat="1" x14ac:dyDescent="0.25">
      <c r="A72" s="6">
        <v>333555</v>
      </c>
      <c r="B72" s="6" t="s">
        <v>292</v>
      </c>
      <c r="C72" s="6" t="s">
        <v>222</v>
      </c>
      <c r="D72" s="6" t="s">
        <v>18</v>
      </c>
      <c r="E72" s="7" t="s">
        <v>223</v>
      </c>
      <c r="F72" s="6" t="s">
        <v>293</v>
      </c>
      <c r="G72" s="6" t="s">
        <v>294</v>
      </c>
      <c r="H72" s="6" t="s">
        <v>22</v>
      </c>
      <c r="I72" s="8">
        <v>6001</v>
      </c>
      <c r="J72" s="6" t="s">
        <v>30</v>
      </c>
      <c r="K72" s="6">
        <v>38</v>
      </c>
      <c r="L72" s="6">
        <v>310</v>
      </c>
      <c r="M72" s="6">
        <v>119</v>
      </c>
      <c r="N72" s="6">
        <v>12</v>
      </c>
      <c r="O72" s="6">
        <v>479</v>
      </c>
      <c r="P72" s="6" t="s">
        <v>23</v>
      </c>
    </row>
    <row r="73" spans="1:16" s="6" customFormat="1" x14ac:dyDescent="0.25">
      <c r="A73" s="6">
        <v>333690</v>
      </c>
      <c r="B73" s="6" t="s">
        <v>295</v>
      </c>
      <c r="C73" s="6" t="s">
        <v>222</v>
      </c>
      <c r="D73" s="6" t="s">
        <v>18</v>
      </c>
      <c r="E73" s="7" t="s">
        <v>223</v>
      </c>
      <c r="F73" s="6" t="s">
        <v>296</v>
      </c>
      <c r="G73" s="6" t="s">
        <v>297</v>
      </c>
      <c r="H73" s="6" t="s">
        <v>22</v>
      </c>
      <c r="I73" s="8">
        <v>6001</v>
      </c>
      <c r="J73" s="6" t="s">
        <v>30</v>
      </c>
      <c r="K73" s="6">
        <v>88</v>
      </c>
      <c r="L73" s="6">
        <v>827</v>
      </c>
      <c r="M73" s="6">
        <v>85</v>
      </c>
      <c r="N73" s="6">
        <v>4</v>
      </c>
      <c r="O73" s="6">
        <v>1004</v>
      </c>
      <c r="P73" s="6" t="s">
        <v>23</v>
      </c>
    </row>
    <row r="74" spans="1:16" s="6" customFormat="1" x14ac:dyDescent="0.25">
      <c r="A74" s="6">
        <v>333623</v>
      </c>
      <c r="B74" s="6" t="s">
        <v>298</v>
      </c>
      <c r="C74" s="6" t="s">
        <v>222</v>
      </c>
      <c r="D74" s="6" t="s">
        <v>18</v>
      </c>
      <c r="E74" s="7" t="s">
        <v>223</v>
      </c>
      <c r="F74" s="6" t="s">
        <v>299</v>
      </c>
      <c r="G74" s="6" t="s">
        <v>300</v>
      </c>
      <c r="H74" s="6" t="s">
        <v>22</v>
      </c>
      <c r="I74" s="8">
        <v>6001</v>
      </c>
      <c r="J74" s="6" t="s">
        <v>30</v>
      </c>
      <c r="K74" s="6">
        <v>365</v>
      </c>
      <c r="L74" s="6">
        <v>0</v>
      </c>
      <c r="M74" s="6">
        <v>0</v>
      </c>
      <c r="N74" s="6">
        <v>11</v>
      </c>
      <c r="O74" s="6">
        <v>376</v>
      </c>
      <c r="P74" s="6" t="s">
        <v>23</v>
      </c>
    </row>
    <row r="75" spans="1:16" s="12" customFormat="1" x14ac:dyDescent="0.25">
      <c r="A75" s="12">
        <v>328770</v>
      </c>
      <c r="B75" s="12" t="s">
        <v>301</v>
      </c>
      <c r="C75" s="12" t="s">
        <v>302</v>
      </c>
      <c r="D75" s="12" t="s">
        <v>18</v>
      </c>
      <c r="E75" s="13" t="s">
        <v>303</v>
      </c>
      <c r="F75" s="12" t="s">
        <v>304</v>
      </c>
      <c r="G75" s="12" t="s">
        <v>305</v>
      </c>
      <c r="H75" s="12" t="s">
        <v>22</v>
      </c>
      <c r="I75" s="14">
        <v>6001</v>
      </c>
      <c r="J75" s="12" t="s">
        <v>30</v>
      </c>
      <c r="K75" s="12">
        <v>0</v>
      </c>
      <c r="L75" s="12">
        <v>0</v>
      </c>
      <c r="M75" s="12">
        <v>0</v>
      </c>
      <c r="N75" s="12">
        <v>9</v>
      </c>
      <c r="O75" s="12">
        <v>9</v>
      </c>
      <c r="P75" s="12" t="s">
        <v>306</v>
      </c>
    </row>
    <row r="76" spans="1:16" s="12" customFormat="1" x14ac:dyDescent="0.25">
      <c r="A76" s="12">
        <v>373141</v>
      </c>
      <c r="B76" s="12" t="s">
        <v>307</v>
      </c>
      <c r="C76" s="12" t="s">
        <v>304</v>
      </c>
      <c r="D76" s="12" t="s">
        <v>18</v>
      </c>
      <c r="E76" s="13">
        <v>6001</v>
      </c>
      <c r="F76" s="12" t="s">
        <v>304</v>
      </c>
      <c r="G76" s="12" t="s">
        <v>305</v>
      </c>
      <c r="H76" s="12" t="s">
        <v>22</v>
      </c>
      <c r="I76" s="14">
        <v>6001</v>
      </c>
      <c r="J76" s="12" t="s">
        <v>30</v>
      </c>
      <c r="K76" s="12">
        <v>7</v>
      </c>
      <c r="L76" s="12">
        <v>8</v>
      </c>
      <c r="M76" s="12">
        <v>8</v>
      </c>
      <c r="N76" s="12">
        <v>0</v>
      </c>
      <c r="O76" s="12">
        <v>23</v>
      </c>
      <c r="P76" s="12" t="s">
        <v>23</v>
      </c>
    </row>
    <row r="77" spans="1:16" s="15" customFormat="1" x14ac:dyDescent="0.25">
      <c r="A77" s="15">
        <v>333071</v>
      </c>
      <c r="B77" s="15" t="s">
        <v>308</v>
      </c>
      <c r="C77" s="15" t="s">
        <v>309</v>
      </c>
      <c r="D77" s="15" t="s">
        <v>18</v>
      </c>
      <c r="E77" s="16" t="s">
        <v>310</v>
      </c>
      <c r="F77" s="15" t="s">
        <v>309</v>
      </c>
      <c r="G77" s="15" t="s">
        <v>311</v>
      </c>
      <c r="H77" s="15" t="s">
        <v>22</v>
      </c>
      <c r="I77" s="17">
        <v>6001</v>
      </c>
      <c r="J77" s="15" t="s">
        <v>30</v>
      </c>
      <c r="K77" s="15">
        <v>8</v>
      </c>
      <c r="L77" s="15">
        <v>10</v>
      </c>
      <c r="M77" s="15">
        <v>11</v>
      </c>
      <c r="N77" s="15">
        <v>12</v>
      </c>
      <c r="O77" s="15">
        <v>41</v>
      </c>
      <c r="P77" s="15" t="s">
        <v>23</v>
      </c>
    </row>
    <row r="78" spans="1:16" s="6" customFormat="1" x14ac:dyDescent="0.25">
      <c r="A78" s="6">
        <v>328810</v>
      </c>
      <c r="B78" s="6" t="s">
        <v>312</v>
      </c>
      <c r="C78" s="6" t="s">
        <v>313</v>
      </c>
      <c r="D78" s="6" t="s">
        <v>18</v>
      </c>
      <c r="E78" s="7" t="s">
        <v>310</v>
      </c>
      <c r="F78" s="6" t="s">
        <v>313</v>
      </c>
      <c r="G78" s="6" t="s">
        <v>314</v>
      </c>
      <c r="H78" s="6" t="s">
        <v>22</v>
      </c>
      <c r="I78" s="8">
        <v>6001</v>
      </c>
      <c r="J78" s="6" t="s">
        <v>30</v>
      </c>
      <c r="K78" s="6">
        <v>1</v>
      </c>
      <c r="L78" s="6">
        <v>1</v>
      </c>
      <c r="M78" s="6">
        <v>2</v>
      </c>
      <c r="N78" s="6">
        <v>1</v>
      </c>
      <c r="O78" s="6">
        <v>5</v>
      </c>
      <c r="P78" s="6" t="s">
        <v>23</v>
      </c>
    </row>
    <row r="79" spans="1:16" s="12" customFormat="1" x14ac:dyDescent="0.25">
      <c r="A79" s="12">
        <v>328777</v>
      </c>
      <c r="B79" s="12" t="s">
        <v>315</v>
      </c>
      <c r="C79" s="12" t="s">
        <v>316</v>
      </c>
      <c r="D79" s="12" t="s">
        <v>18</v>
      </c>
      <c r="E79" s="13" t="s">
        <v>317</v>
      </c>
      <c r="F79" s="12" t="s">
        <v>318</v>
      </c>
      <c r="G79" s="12" t="s">
        <v>319</v>
      </c>
      <c r="H79" s="12" t="s">
        <v>22</v>
      </c>
      <c r="I79" s="14">
        <v>6001</v>
      </c>
      <c r="J79" s="12" t="s">
        <v>30</v>
      </c>
      <c r="K79" s="12">
        <v>17</v>
      </c>
      <c r="L79" s="12">
        <v>31</v>
      </c>
      <c r="M79" s="12">
        <v>14</v>
      </c>
      <c r="N79" s="12">
        <v>11</v>
      </c>
      <c r="O79" s="12">
        <v>73</v>
      </c>
      <c r="P79" s="12" t="s">
        <v>23</v>
      </c>
    </row>
    <row r="80" spans="1:16" s="12" customFormat="1" x14ac:dyDescent="0.25">
      <c r="A80" s="12">
        <v>328779</v>
      </c>
      <c r="B80" s="12" t="s">
        <v>320</v>
      </c>
      <c r="C80" s="12" t="s">
        <v>321</v>
      </c>
      <c r="D80" s="12" t="s">
        <v>18</v>
      </c>
      <c r="E80" s="13" t="s">
        <v>322</v>
      </c>
      <c r="F80" s="12" t="s">
        <v>323</v>
      </c>
      <c r="G80" s="12" t="s">
        <v>324</v>
      </c>
      <c r="H80" s="12" t="s">
        <v>22</v>
      </c>
      <c r="I80" s="14">
        <v>6001</v>
      </c>
      <c r="J80" s="12" t="s">
        <v>30</v>
      </c>
      <c r="K80" s="12">
        <v>0</v>
      </c>
      <c r="L80" s="12">
        <v>1</v>
      </c>
      <c r="M80" s="12">
        <v>1</v>
      </c>
      <c r="N80" s="12">
        <v>1</v>
      </c>
      <c r="O80" s="12">
        <v>3</v>
      </c>
      <c r="P80" s="12" t="s">
        <v>23</v>
      </c>
    </row>
    <row r="81" spans="1:16" s="12" customFormat="1" x14ac:dyDescent="0.25">
      <c r="A81" s="12">
        <v>328780</v>
      </c>
      <c r="B81" s="12" t="s">
        <v>315</v>
      </c>
      <c r="C81" s="12" t="s">
        <v>316</v>
      </c>
      <c r="D81" s="12" t="s">
        <v>18</v>
      </c>
      <c r="E81" s="13" t="s">
        <v>317</v>
      </c>
      <c r="F81" s="12" t="s">
        <v>316</v>
      </c>
      <c r="G81" s="12" t="s">
        <v>325</v>
      </c>
      <c r="H81" s="12" t="s">
        <v>22</v>
      </c>
      <c r="I81" s="14">
        <v>6001</v>
      </c>
      <c r="J81" s="12" t="s">
        <v>30</v>
      </c>
      <c r="K81" s="12">
        <v>48</v>
      </c>
      <c r="L81" s="12">
        <v>40</v>
      </c>
      <c r="M81" s="12">
        <v>19</v>
      </c>
      <c r="N81" s="12">
        <v>9</v>
      </c>
      <c r="O81" s="12">
        <v>116</v>
      </c>
      <c r="P81" s="12" t="s">
        <v>23</v>
      </c>
    </row>
    <row r="82" spans="1:16" s="12" customFormat="1" x14ac:dyDescent="0.25">
      <c r="A82" s="12">
        <v>328768</v>
      </c>
      <c r="B82" s="12" t="s">
        <v>301</v>
      </c>
      <c r="C82" s="12" t="s">
        <v>302</v>
      </c>
      <c r="D82" s="12" t="s">
        <v>18</v>
      </c>
      <c r="E82" s="13" t="s">
        <v>303</v>
      </c>
      <c r="F82" s="12" t="s">
        <v>326</v>
      </c>
      <c r="G82" s="12" t="s">
        <v>327</v>
      </c>
      <c r="H82" s="12" t="s">
        <v>22</v>
      </c>
      <c r="I82" s="14">
        <v>6001</v>
      </c>
      <c r="J82" s="12" t="s">
        <v>30</v>
      </c>
      <c r="K82" s="12">
        <v>2</v>
      </c>
      <c r="L82" s="12">
        <v>5</v>
      </c>
      <c r="M82" s="12">
        <v>3</v>
      </c>
      <c r="N82" s="12">
        <v>2</v>
      </c>
      <c r="O82" s="12">
        <v>12</v>
      </c>
      <c r="P82" s="12" t="s">
        <v>23</v>
      </c>
    </row>
    <row r="83" spans="1:16" s="15" customFormat="1" x14ac:dyDescent="0.25">
      <c r="A83" s="15">
        <v>361953</v>
      </c>
      <c r="B83" s="15" t="s">
        <v>328</v>
      </c>
      <c r="C83" s="15" t="s">
        <v>329</v>
      </c>
      <c r="D83" s="15" t="s">
        <v>18</v>
      </c>
      <c r="E83" s="16" t="s">
        <v>330</v>
      </c>
      <c r="F83" s="15" t="s">
        <v>331</v>
      </c>
      <c r="G83" s="15" t="s">
        <v>332</v>
      </c>
      <c r="H83" s="15" t="s">
        <v>22</v>
      </c>
      <c r="I83" s="17">
        <v>6001</v>
      </c>
      <c r="J83" s="15" t="s">
        <v>30</v>
      </c>
      <c r="K83" s="15">
        <v>0</v>
      </c>
      <c r="L83" s="15">
        <v>0</v>
      </c>
      <c r="M83" s="15">
        <v>0</v>
      </c>
      <c r="N83" s="15">
        <v>0</v>
      </c>
      <c r="O83" s="15">
        <v>0</v>
      </c>
      <c r="P83" s="15" t="s">
        <v>23</v>
      </c>
    </row>
    <row r="84" spans="1:16" s="15" customFormat="1" x14ac:dyDescent="0.25">
      <c r="A84" s="15">
        <v>361958</v>
      </c>
      <c r="B84" s="15" t="s">
        <v>328</v>
      </c>
      <c r="C84" s="15" t="s">
        <v>329</v>
      </c>
      <c r="D84" s="15" t="s">
        <v>18</v>
      </c>
      <c r="E84" s="16" t="s">
        <v>330</v>
      </c>
      <c r="F84" s="15" t="s">
        <v>333</v>
      </c>
      <c r="G84" s="15" t="s">
        <v>334</v>
      </c>
      <c r="H84" s="15" t="s">
        <v>22</v>
      </c>
      <c r="I84" s="17">
        <v>6001</v>
      </c>
      <c r="J84" s="15" t="s">
        <v>30</v>
      </c>
      <c r="K84" s="15">
        <v>3</v>
      </c>
      <c r="L84" s="15">
        <v>2</v>
      </c>
      <c r="M84" s="15">
        <v>2</v>
      </c>
      <c r="N84" s="15">
        <v>2</v>
      </c>
      <c r="O84" s="15">
        <v>9</v>
      </c>
      <c r="P84" s="15" t="s">
        <v>23</v>
      </c>
    </row>
    <row r="85" spans="1:16" s="15" customFormat="1" x14ac:dyDescent="0.25">
      <c r="A85" s="15">
        <v>367051</v>
      </c>
      <c r="B85" s="15" t="s">
        <v>335</v>
      </c>
      <c r="C85" s="15" t="s">
        <v>336</v>
      </c>
      <c r="D85" s="15" t="s">
        <v>18</v>
      </c>
      <c r="E85" s="16">
        <v>6001</v>
      </c>
      <c r="F85" s="15" t="s">
        <v>336</v>
      </c>
      <c r="G85" s="15" t="s">
        <v>337</v>
      </c>
      <c r="H85" s="15" t="s">
        <v>22</v>
      </c>
      <c r="I85" s="17">
        <v>6001</v>
      </c>
      <c r="J85" s="15" t="s">
        <v>30</v>
      </c>
      <c r="K85" s="15">
        <v>47</v>
      </c>
      <c r="L85" s="15">
        <v>60</v>
      </c>
      <c r="M85" s="15">
        <v>49</v>
      </c>
      <c r="N85" s="15">
        <v>38</v>
      </c>
      <c r="O85" s="15">
        <v>194</v>
      </c>
      <c r="P85" s="15" t="s">
        <v>23</v>
      </c>
    </row>
    <row r="86" spans="1:16" s="12" customFormat="1" x14ac:dyDescent="0.25">
      <c r="A86" s="12">
        <v>328839</v>
      </c>
      <c r="B86" s="12" t="s">
        <v>338</v>
      </c>
      <c r="C86" s="12" t="s">
        <v>339</v>
      </c>
      <c r="D86" s="12" t="s">
        <v>18</v>
      </c>
      <c r="E86" s="13" t="s">
        <v>340</v>
      </c>
      <c r="F86" s="12" t="s">
        <v>339</v>
      </c>
      <c r="G86" s="12" t="s">
        <v>341</v>
      </c>
      <c r="H86" s="12" t="s">
        <v>22</v>
      </c>
      <c r="I86" s="14">
        <v>6001</v>
      </c>
      <c r="J86" s="12" t="s">
        <v>30</v>
      </c>
      <c r="K86" s="12">
        <v>18</v>
      </c>
      <c r="L86" s="12">
        <v>19</v>
      </c>
      <c r="M86" s="12">
        <v>18</v>
      </c>
      <c r="N86" s="12">
        <v>15</v>
      </c>
      <c r="O86" s="12">
        <v>70</v>
      </c>
      <c r="P86" s="12" t="s">
        <v>23</v>
      </c>
    </row>
    <row r="87" spans="1:16" s="12" customFormat="1" x14ac:dyDescent="0.25">
      <c r="A87" s="12">
        <v>328840</v>
      </c>
      <c r="B87" s="12" t="s">
        <v>342</v>
      </c>
      <c r="C87" s="12" t="s">
        <v>343</v>
      </c>
      <c r="D87" s="12" t="s">
        <v>18</v>
      </c>
      <c r="E87" s="13" t="s">
        <v>344</v>
      </c>
      <c r="F87" s="12" t="s">
        <v>345</v>
      </c>
      <c r="G87" s="12" t="s">
        <v>346</v>
      </c>
      <c r="H87" s="12" t="s">
        <v>22</v>
      </c>
      <c r="I87" s="14">
        <v>6001</v>
      </c>
      <c r="J87" s="12" t="s">
        <v>30</v>
      </c>
      <c r="K87" s="12">
        <v>5</v>
      </c>
      <c r="L87" s="12">
        <v>7</v>
      </c>
      <c r="M87" s="12">
        <v>13</v>
      </c>
      <c r="N87" s="12">
        <v>13</v>
      </c>
      <c r="O87" s="12">
        <v>38</v>
      </c>
      <c r="P87" s="12" t="s">
        <v>23</v>
      </c>
    </row>
    <row r="88" spans="1:16" s="12" customFormat="1" x14ac:dyDescent="0.25">
      <c r="A88" s="12">
        <v>328850</v>
      </c>
      <c r="B88" s="12" t="s">
        <v>347</v>
      </c>
      <c r="C88" s="12" t="s">
        <v>348</v>
      </c>
      <c r="D88" s="12" t="s">
        <v>18</v>
      </c>
      <c r="E88" s="13" t="s">
        <v>349</v>
      </c>
      <c r="F88" s="12" t="s">
        <v>350</v>
      </c>
      <c r="G88" s="12" t="s">
        <v>351</v>
      </c>
      <c r="H88" s="12" t="s">
        <v>22</v>
      </c>
      <c r="I88" s="14">
        <v>6001</v>
      </c>
      <c r="J88" s="12" t="s">
        <v>30</v>
      </c>
      <c r="K88" s="12">
        <v>1</v>
      </c>
      <c r="L88" s="12">
        <v>2</v>
      </c>
      <c r="M88" s="12">
        <v>1</v>
      </c>
      <c r="N88" s="12">
        <v>2</v>
      </c>
      <c r="O88" s="12">
        <v>6</v>
      </c>
      <c r="P88" s="12" t="s">
        <v>352</v>
      </c>
    </row>
    <row r="89" spans="1:16" s="12" customFormat="1" x14ac:dyDescent="0.25">
      <c r="A89" s="12">
        <v>380774</v>
      </c>
      <c r="B89" s="12" t="s">
        <v>353</v>
      </c>
      <c r="C89" s="12" t="s">
        <v>350</v>
      </c>
      <c r="D89" s="12" t="s">
        <v>18</v>
      </c>
      <c r="E89" s="13">
        <v>6001</v>
      </c>
      <c r="F89" s="12" t="s">
        <v>350</v>
      </c>
      <c r="G89" s="12" t="s">
        <v>351</v>
      </c>
      <c r="H89" s="12" t="s">
        <v>22</v>
      </c>
      <c r="I89" s="14">
        <v>6001</v>
      </c>
      <c r="J89" s="12" t="s">
        <v>30</v>
      </c>
      <c r="K89" s="12">
        <v>1</v>
      </c>
      <c r="L89" s="12">
        <v>0</v>
      </c>
      <c r="M89" s="12">
        <v>0</v>
      </c>
      <c r="N89" s="12">
        <v>0</v>
      </c>
      <c r="O89" s="12">
        <v>1</v>
      </c>
      <c r="P89" s="12" t="s">
        <v>23</v>
      </c>
    </row>
    <row r="90" spans="1:16" s="12" customFormat="1" x14ac:dyDescent="0.25">
      <c r="A90" s="12">
        <v>328851</v>
      </c>
      <c r="B90" s="12" t="s">
        <v>354</v>
      </c>
      <c r="C90" s="12" t="s">
        <v>355</v>
      </c>
      <c r="D90" s="12" t="s">
        <v>18</v>
      </c>
      <c r="E90" s="13" t="s">
        <v>356</v>
      </c>
      <c r="F90" s="12" t="s">
        <v>357</v>
      </c>
      <c r="G90" s="12" t="s">
        <v>358</v>
      </c>
      <c r="H90" s="12" t="s">
        <v>22</v>
      </c>
      <c r="I90" s="14">
        <v>6001</v>
      </c>
      <c r="J90" s="12" t="s">
        <v>30</v>
      </c>
      <c r="K90" s="12">
        <v>30</v>
      </c>
      <c r="L90" s="12">
        <v>8</v>
      </c>
      <c r="M90" s="12">
        <v>12</v>
      </c>
      <c r="N90" s="12">
        <v>20</v>
      </c>
      <c r="O90" s="12">
        <v>70</v>
      </c>
      <c r="P90" s="12" t="s">
        <v>23</v>
      </c>
    </row>
    <row r="91" spans="1:16" s="12" customFormat="1" x14ac:dyDescent="0.25">
      <c r="A91" s="12">
        <v>333311</v>
      </c>
      <c r="B91" s="12" t="s">
        <v>359</v>
      </c>
      <c r="C91" s="12" t="s">
        <v>360</v>
      </c>
      <c r="D91" s="12" t="s">
        <v>18</v>
      </c>
      <c r="E91" s="13" t="s">
        <v>361</v>
      </c>
      <c r="F91" s="12" t="s">
        <v>360</v>
      </c>
      <c r="G91" s="12" t="s">
        <v>362</v>
      </c>
      <c r="H91" s="12" t="s">
        <v>22</v>
      </c>
      <c r="I91" s="14">
        <v>6001</v>
      </c>
      <c r="J91" s="12" t="s">
        <v>30</v>
      </c>
      <c r="K91" s="12">
        <v>161</v>
      </c>
      <c r="L91" s="12">
        <v>142</v>
      </c>
      <c r="M91" s="12">
        <v>207</v>
      </c>
      <c r="N91" s="12">
        <v>121</v>
      </c>
      <c r="O91" s="12">
        <v>631</v>
      </c>
      <c r="P91" s="12" t="s">
        <v>23</v>
      </c>
    </row>
    <row r="92" spans="1:16" s="15" customFormat="1" x14ac:dyDescent="0.25">
      <c r="A92" s="15">
        <v>333160</v>
      </c>
      <c r="B92" s="15" t="s">
        <v>363</v>
      </c>
      <c r="C92" s="15" t="s">
        <v>364</v>
      </c>
      <c r="D92" s="15" t="s">
        <v>18</v>
      </c>
      <c r="E92" s="16" t="s">
        <v>365</v>
      </c>
      <c r="F92" s="15" t="s">
        <v>366</v>
      </c>
      <c r="G92" s="15" t="s">
        <v>367</v>
      </c>
      <c r="H92" s="15" t="s">
        <v>22</v>
      </c>
      <c r="I92" s="17">
        <v>6001</v>
      </c>
      <c r="J92" s="15" t="s">
        <v>30</v>
      </c>
      <c r="K92" s="15">
        <v>15</v>
      </c>
      <c r="L92" s="15">
        <v>154</v>
      </c>
      <c r="M92" s="15">
        <v>73</v>
      </c>
      <c r="N92" s="15">
        <v>0</v>
      </c>
      <c r="O92" s="15">
        <v>242</v>
      </c>
      <c r="P92" s="15" t="s">
        <v>23</v>
      </c>
    </row>
    <row r="93" spans="1:16" s="15" customFormat="1" x14ac:dyDescent="0.25">
      <c r="A93" s="15">
        <v>333554</v>
      </c>
      <c r="B93" s="15" t="s">
        <v>368</v>
      </c>
      <c r="C93" s="15" t="s">
        <v>369</v>
      </c>
      <c r="D93" s="15" t="s">
        <v>18</v>
      </c>
      <c r="E93" s="16" t="s">
        <v>365</v>
      </c>
      <c r="F93" s="15" t="s">
        <v>370</v>
      </c>
      <c r="G93" s="15" t="s">
        <v>371</v>
      </c>
      <c r="H93" s="15" t="s">
        <v>22</v>
      </c>
      <c r="I93" s="17">
        <v>6001</v>
      </c>
      <c r="J93" s="15" t="s">
        <v>30</v>
      </c>
      <c r="K93" s="15">
        <v>21</v>
      </c>
      <c r="L93" s="15">
        <v>162</v>
      </c>
      <c r="M93" s="15">
        <v>81</v>
      </c>
      <c r="N93" s="15">
        <v>9</v>
      </c>
      <c r="O93" s="15">
        <v>273</v>
      </c>
      <c r="P93" s="15" t="s">
        <v>23</v>
      </c>
    </row>
    <row r="94" spans="1:16" s="15" customFormat="1" x14ac:dyDescent="0.25">
      <c r="A94" s="15">
        <v>329176</v>
      </c>
      <c r="B94" s="15" t="s">
        <v>372</v>
      </c>
      <c r="C94" s="15" t="s">
        <v>373</v>
      </c>
      <c r="D94" s="15" t="s">
        <v>18</v>
      </c>
      <c r="E94" s="16" t="s">
        <v>374</v>
      </c>
      <c r="F94" s="15" t="s">
        <v>373</v>
      </c>
      <c r="G94" s="15" t="s">
        <v>375</v>
      </c>
      <c r="H94" s="15" t="s">
        <v>22</v>
      </c>
      <c r="I94" s="17">
        <v>6001</v>
      </c>
      <c r="J94" s="15" t="s">
        <v>30</v>
      </c>
      <c r="K94" s="15">
        <v>23</v>
      </c>
      <c r="L94" s="15">
        <v>216</v>
      </c>
      <c r="M94" s="15">
        <v>38</v>
      </c>
      <c r="N94" s="15">
        <v>5</v>
      </c>
      <c r="O94" s="15">
        <v>282</v>
      </c>
      <c r="P94" s="15" t="s">
        <v>23</v>
      </c>
    </row>
    <row r="95" spans="1:16" s="15" customFormat="1" x14ac:dyDescent="0.25">
      <c r="A95" s="15">
        <v>329177</v>
      </c>
      <c r="B95" s="15" t="s">
        <v>376</v>
      </c>
      <c r="C95" s="15" t="s">
        <v>377</v>
      </c>
      <c r="D95" s="15" t="s">
        <v>18</v>
      </c>
      <c r="E95" s="16" t="s">
        <v>378</v>
      </c>
      <c r="F95" s="15" t="s">
        <v>377</v>
      </c>
      <c r="G95" s="15" t="s">
        <v>379</v>
      </c>
      <c r="H95" s="15" t="s">
        <v>22</v>
      </c>
      <c r="I95" s="17">
        <v>6001</v>
      </c>
      <c r="J95" s="15" t="s">
        <v>30</v>
      </c>
      <c r="K95" s="15">
        <v>52</v>
      </c>
      <c r="L95" s="15">
        <v>30</v>
      </c>
      <c r="M95" s="15">
        <v>51</v>
      </c>
      <c r="N95" s="15">
        <v>101</v>
      </c>
      <c r="O95" s="15">
        <v>234</v>
      </c>
      <c r="P95" s="15" t="s">
        <v>23</v>
      </c>
    </row>
    <row r="96" spans="1:16" s="15" customFormat="1" x14ac:dyDescent="0.25">
      <c r="A96" s="15">
        <v>329178</v>
      </c>
      <c r="B96" s="15" t="s">
        <v>380</v>
      </c>
      <c r="C96" s="15" t="s">
        <v>381</v>
      </c>
      <c r="D96" s="15" t="s">
        <v>18</v>
      </c>
      <c r="E96" s="16" t="s">
        <v>382</v>
      </c>
      <c r="F96" s="15" t="s">
        <v>383</v>
      </c>
      <c r="G96" s="15" t="s">
        <v>384</v>
      </c>
      <c r="H96" s="15" t="s">
        <v>22</v>
      </c>
      <c r="I96" s="17">
        <v>6001</v>
      </c>
      <c r="J96" s="15" t="s">
        <v>30</v>
      </c>
      <c r="K96" s="15">
        <v>3</v>
      </c>
      <c r="L96" s="15">
        <v>4</v>
      </c>
      <c r="M96" s="15">
        <v>11</v>
      </c>
      <c r="N96" s="15">
        <v>11</v>
      </c>
      <c r="O96" s="15">
        <v>29</v>
      </c>
      <c r="P96" s="15" t="s">
        <v>23</v>
      </c>
    </row>
    <row r="97" spans="1:16" s="15" customFormat="1" x14ac:dyDescent="0.25">
      <c r="A97" s="15">
        <v>333095</v>
      </c>
      <c r="B97" s="15" t="s">
        <v>380</v>
      </c>
      <c r="C97" s="15" t="s">
        <v>381</v>
      </c>
      <c r="D97" s="15" t="s">
        <v>18</v>
      </c>
      <c r="E97" s="16" t="s">
        <v>382</v>
      </c>
      <c r="F97" s="15" t="s">
        <v>383</v>
      </c>
      <c r="G97" s="15" t="s">
        <v>385</v>
      </c>
      <c r="H97" s="15" t="s">
        <v>22</v>
      </c>
      <c r="I97" s="17">
        <v>6001</v>
      </c>
      <c r="J97" s="15" t="s">
        <v>30</v>
      </c>
      <c r="K97" s="15">
        <v>1</v>
      </c>
      <c r="L97" s="15">
        <v>116</v>
      </c>
      <c r="M97" s="15">
        <v>74</v>
      </c>
      <c r="N97" s="15">
        <v>0</v>
      </c>
      <c r="O97" s="15">
        <v>191</v>
      </c>
      <c r="P97" s="15" t="s">
        <v>23</v>
      </c>
    </row>
    <row r="98" spans="1:16" s="15" customFormat="1" x14ac:dyDescent="0.25">
      <c r="A98" s="15">
        <v>329186</v>
      </c>
      <c r="B98" s="15" t="s">
        <v>386</v>
      </c>
      <c r="C98" s="15" t="s">
        <v>387</v>
      </c>
      <c r="D98" s="15" t="s">
        <v>18</v>
      </c>
      <c r="E98" s="16">
        <v>6001</v>
      </c>
      <c r="F98" s="15" t="s">
        <v>388</v>
      </c>
      <c r="G98" s="15" t="s">
        <v>389</v>
      </c>
      <c r="H98" s="15" t="s">
        <v>22</v>
      </c>
      <c r="I98" s="17">
        <v>6001</v>
      </c>
      <c r="J98" s="15" t="s">
        <v>30</v>
      </c>
      <c r="K98" s="15">
        <v>0</v>
      </c>
      <c r="L98" s="15">
        <v>25</v>
      </c>
      <c r="M98" s="15">
        <v>8</v>
      </c>
      <c r="N98" s="15">
        <v>17</v>
      </c>
      <c r="O98" s="15">
        <v>50</v>
      </c>
      <c r="P98" s="15" t="s">
        <v>390</v>
      </c>
    </row>
    <row r="99" spans="1:16" s="15" customFormat="1" x14ac:dyDescent="0.25">
      <c r="A99" s="15">
        <v>329187</v>
      </c>
      <c r="B99" s="15" t="s">
        <v>391</v>
      </c>
      <c r="C99" s="15" t="s">
        <v>392</v>
      </c>
      <c r="D99" s="15" t="s">
        <v>18</v>
      </c>
      <c r="E99" s="16" t="s">
        <v>393</v>
      </c>
      <c r="F99" s="15" t="s">
        <v>388</v>
      </c>
      <c r="G99" s="15" t="s">
        <v>394</v>
      </c>
      <c r="H99" s="15" t="s">
        <v>22</v>
      </c>
      <c r="I99" s="17">
        <v>6001</v>
      </c>
      <c r="J99" s="15" t="s">
        <v>30</v>
      </c>
      <c r="K99" s="15">
        <v>53</v>
      </c>
      <c r="L99" s="15">
        <v>52</v>
      </c>
      <c r="M99" s="15">
        <v>42</v>
      </c>
      <c r="N99" s="15">
        <v>55</v>
      </c>
      <c r="O99" s="15">
        <v>202</v>
      </c>
      <c r="P99" s="15" t="s">
        <v>23</v>
      </c>
    </row>
    <row r="100" spans="1:16" s="15" customFormat="1" x14ac:dyDescent="0.25">
      <c r="A100" s="15">
        <v>378517</v>
      </c>
      <c r="B100" s="15" t="s">
        <v>395</v>
      </c>
      <c r="C100" s="15" t="s">
        <v>388</v>
      </c>
      <c r="D100" s="15" t="s">
        <v>18</v>
      </c>
      <c r="E100" s="16">
        <v>6001</v>
      </c>
      <c r="F100" s="15" t="s">
        <v>388</v>
      </c>
      <c r="G100" s="15" t="s">
        <v>396</v>
      </c>
      <c r="H100" s="15" t="s">
        <v>22</v>
      </c>
      <c r="I100" s="17">
        <v>6001</v>
      </c>
      <c r="J100" s="15" t="s">
        <v>30</v>
      </c>
      <c r="K100" s="15">
        <v>36</v>
      </c>
      <c r="L100" s="15">
        <v>0</v>
      </c>
      <c r="M100" s="15">
        <v>0</v>
      </c>
      <c r="N100" s="15">
        <v>0</v>
      </c>
      <c r="O100" s="15">
        <v>36</v>
      </c>
      <c r="P100" s="15" t="s">
        <v>23</v>
      </c>
    </row>
    <row r="101" spans="1:16" s="15" customFormat="1" x14ac:dyDescent="0.25">
      <c r="A101" s="15">
        <v>376408</v>
      </c>
      <c r="B101" s="15" t="s">
        <v>397</v>
      </c>
      <c r="C101" s="15" t="s">
        <v>388</v>
      </c>
      <c r="D101" s="15" t="s">
        <v>18</v>
      </c>
      <c r="E101" s="16">
        <v>6001</v>
      </c>
      <c r="F101" s="15" t="s">
        <v>388</v>
      </c>
      <c r="G101" s="15" t="s">
        <v>389</v>
      </c>
      <c r="H101" s="15" t="s">
        <v>22</v>
      </c>
      <c r="I101" s="17">
        <v>6001</v>
      </c>
      <c r="J101" s="15" t="s">
        <v>30</v>
      </c>
      <c r="K101" s="15">
        <v>42</v>
      </c>
      <c r="L101" s="15">
        <v>57</v>
      </c>
      <c r="M101" s="15">
        <v>0</v>
      </c>
      <c r="N101" s="15">
        <v>0</v>
      </c>
      <c r="O101" s="15">
        <v>99</v>
      </c>
      <c r="P101" s="15" t="s">
        <v>23</v>
      </c>
    </row>
    <row r="102" spans="1:16" s="15" customFormat="1" x14ac:dyDescent="0.25">
      <c r="A102" s="15">
        <v>329197</v>
      </c>
      <c r="B102" s="15" t="s">
        <v>398</v>
      </c>
      <c r="C102" s="15" t="s">
        <v>399</v>
      </c>
      <c r="D102" s="15" t="s">
        <v>18</v>
      </c>
      <c r="E102" s="16" t="s">
        <v>400</v>
      </c>
      <c r="F102" s="15" t="s">
        <v>401</v>
      </c>
      <c r="G102" s="15" t="s">
        <v>402</v>
      </c>
      <c r="H102" s="15" t="s">
        <v>22</v>
      </c>
      <c r="I102" s="17">
        <v>6001</v>
      </c>
      <c r="J102" s="15" t="s">
        <v>30</v>
      </c>
      <c r="K102" s="15">
        <v>0</v>
      </c>
      <c r="L102" s="15">
        <v>1</v>
      </c>
      <c r="M102" s="15">
        <v>0</v>
      </c>
      <c r="N102" s="15">
        <v>2</v>
      </c>
      <c r="O102" s="15">
        <v>3</v>
      </c>
      <c r="P102" s="15" t="s">
        <v>23</v>
      </c>
    </row>
    <row r="103" spans="1:16" s="15" customFormat="1" x14ac:dyDescent="0.25">
      <c r="A103" s="15">
        <v>329198</v>
      </c>
      <c r="B103" s="15" t="s">
        <v>403</v>
      </c>
      <c r="C103" s="15" t="s">
        <v>388</v>
      </c>
      <c r="D103" s="15" t="s">
        <v>18</v>
      </c>
      <c r="E103" s="16">
        <v>6001</v>
      </c>
      <c r="F103" s="15" t="s">
        <v>401</v>
      </c>
      <c r="G103" s="15" t="s">
        <v>404</v>
      </c>
      <c r="H103" s="15" t="s">
        <v>22</v>
      </c>
      <c r="I103" s="17">
        <v>6001</v>
      </c>
      <c r="J103" s="15" t="s">
        <v>30</v>
      </c>
      <c r="K103" s="15">
        <v>44</v>
      </c>
      <c r="L103" s="15">
        <v>74</v>
      </c>
      <c r="M103" s="15">
        <v>332</v>
      </c>
      <c r="N103" s="15">
        <v>396</v>
      </c>
      <c r="O103" s="15">
        <v>846</v>
      </c>
      <c r="P103" s="15" t="s">
        <v>23</v>
      </c>
    </row>
    <row r="104" spans="1:16" s="15" customFormat="1" x14ac:dyDescent="0.25">
      <c r="A104" s="15">
        <v>329199</v>
      </c>
      <c r="B104" s="15" t="s">
        <v>405</v>
      </c>
      <c r="C104" s="15" t="s">
        <v>406</v>
      </c>
      <c r="D104" s="15" t="s">
        <v>18</v>
      </c>
      <c r="E104" s="16">
        <v>6001</v>
      </c>
      <c r="F104" s="15" t="s">
        <v>406</v>
      </c>
      <c r="G104" s="15" t="s">
        <v>407</v>
      </c>
      <c r="H104" s="15" t="s">
        <v>22</v>
      </c>
      <c r="I104" s="17">
        <v>6001</v>
      </c>
      <c r="J104" s="15" t="s">
        <v>30</v>
      </c>
      <c r="K104" s="15">
        <v>0</v>
      </c>
      <c r="L104" s="15">
        <v>3</v>
      </c>
      <c r="M104" s="15">
        <v>3</v>
      </c>
      <c r="N104" s="15">
        <v>3</v>
      </c>
      <c r="O104" s="15">
        <v>9</v>
      </c>
      <c r="P104" s="15" t="s">
        <v>408</v>
      </c>
    </row>
    <row r="105" spans="1:16" s="15" customFormat="1" x14ac:dyDescent="0.25">
      <c r="A105" s="15">
        <v>377775</v>
      </c>
      <c r="B105" s="15" t="s">
        <v>409</v>
      </c>
      <c r="C105" s="15" t="s">
        <v>410</v>
      </c>
      <c r="D105" s="15" t="s">
        <v>18</v>
      </c>
      <c r="E105" s="16">
        <v>6001</v>
      </c>
      <c r="F105" s="15" t="s">
        <v>406</v>
      </c>
      <c r="G105" s="15" t="s">
        <v>407</v>
      </c>
      <c r="H105" s="15" t="s">
        <v>22</v>
      </c>
      <c r="I105" s="17">
        <v>6001</v>
      </c>
      <c r="J105" s="15" t="s">
        <v>30</v>
      </c>
      <c r="K105" s="15">
        <v>2</v>
      </c>
      <c r="L105" s="15">
        <v>1</v>
      </c>
      <c r="M105" s="15">
        <v>0</v>
      </c>
      <c r="N105" s="15">
        <v>0</v>
      </c>
      <c r="O105" s="15">
        <v>3</v>
      </c>
      <c r="P105" s="15" t="s">
        <v>23</v>
      </c>
    </row>
    <row r="106" spans="1:16" s="15" customFormat="1" x14ac:dyDescent="0.25">
      <c r="A106" s="15">
        <v>329203</v>
      </c>
      <c r="B106" s="15" t="s">
        <v>411</v>
      </c>
      <c r="C106" s="15" t="s">
        <v>412</v>
      </c>
      <c r="D106" s="15" t="s">
        <v>18</v>
      </c>
      <c r="E106" s="16" t="s">
        <v>413</v>
      </c>
      <c r="F106" s="15" t="s">
        <v>414</v>
      </c>
      <c r="G106" s="15" t="s">
        <v>415</v>
      </c>
      <c r="H106" s="15" t="s">
        <v>22</v>
      </c>
      <c r="I106" s="17">
        <v>6001</v>
      </c>
      <c r="J106" s="15" t="s">
        <v>30</v>
      </c>
      <c r="K106" s="15">
        <v>0</v>
      </c>
      <c r="L106" s="15">
        <v>1</v>
      </c>
      <c r="M106" s="15">
        <v>0</v>
      </c>
      <c r="N106" s="15">
        <v>0</v>
      </c>
      <c r="O106" s="15">
        <v>1</v>
      </c>
      <c r="P106" s="15" t="s">
        <v>23</v>
      </c>
    </row>
    <row r="107" spans="1:16" s="15" customFormat="1" x14ac:dyDescent="0.25">
      <c r="A107" s="15">
        <v>329205</v>
      </c>
      <c r="B107" s="15" t="s">
        <v>411</v>
      </c>
      <c r="C107" s="15" t="s">
        <v>412</v>
      </c>
      <c r="D107" s="15" t="s">
        <v>18</v>
      </c>
      <c r="E107" s="16" t="s">
        <v>413</v>
      </c>
      <c r="F107" s="15" t="s">
        <v>416</v>
      </c>
      <c r="G107" s="15" t="s">
        <v>417</v>
      </c>
      <c r="H107" s="15" t="s">
        <v>22</v>
      </c>
      <c r="I107" s="17">
        <v>6001</v>
      </c>
      <c r="J107" s="15" t="s">
        <v>30</v>
      </c>
      <c r="K107" s="15">
        <v>2</v>
      </c>
      <c r="L107" s="15">
        <v>2</v>
      </c>
      <c r="M107" s="15">
        <v>1</v>
      </c>
      <c r="N107" s="15">
        <v>3</v>
      </c>
      <c r="O107" s="15">
        <v>8</v>
      </c>
      <c r="P107" s="15" t="s">
        <v>23</v>
      </c>
    </row>
    <row r="108" spans="1:16" s="15" customFormat="1" x14ac:dyDescent="0.25">
      <c r="A108" s="15">
        <v>329202</v>
      </c>
      <c r="B108" s="15" t="s">
        <v>418</v>
      </c>
      <c r="C108" s="15" t="s">
        <v>414</v>
      </c>
      <c r="D108" s="15" t="s">
        <v>18</v>
      </c>
      <c r="E108" s="16" t="s">
        <v>413</v>
      </c>
      <c r="F108" s="15" t="s">
        <v>416</v>
      </c>
      <c r="G108" s="15" t="s">
        <v>419</v>
      </c>
      <c r="H108" s="15" t="s">
        <v>22</v>
      </c>
      <c r="I108" s="17">
        <v>6001</v>
      </c>
      <c r="J108" s="15" t="s">
        <v>30</v>
      </c>
      <c r="K108" s="15">
        <v>1</v>
      </c>
      <c r="L108" s="15">
        <v>1</v>
      </c>
      <c r="M108" s="15">
        <v>2</v>
      </c>
      <c r="N108" s="15">
        <v>4</v>
      </c>
      <c r="O108" s="15">
        <v>8</v>
      </c>
      <c r="P108" s="15" t="s">
        <v>23</v>
      </c>
    </row>
    <row r="109" spans="1:16" s="15" customFormat="1" x14ac:dyDescent="0.25">
      <c r="A109" s="15">
        <v>329206</v>
      </c>
      <c r="B109" s="15" t="s">
        <v>420</v>
      </c>
      <c r="C109" s="15" t="s">
        <v>399</v>
      </c>
      <c r="D109" s="15" t="s">
        <v>18</v>
      </c>
      <c r="E109" s="16" t="s">
        <v>400</v>
      </c>
      <c r="F109" s="15" t="s">
        <v>421</v>
      </c>
      <c r="G109" s="15" t="s">
        <v>422</v>
      </c>
      <c r="H109" s="15" t="s">
        <v>22</v>
      </c>
      <c r="I109" s="17">
        <v>6001</v>
      </c>
      <c r="J109" s="15" t="s">
        <v>30</v>
      </c>
      <c r="K109" s="15">
        <v>0</v>
      </c>
      <c r="L109" s="15">
        <v>0</v>
      </c>
      <c r="M109" s="15">
        <v>1</v>
      </c>
      <c r="N109" s="15">
        <v>2</v>
      </c>
      <c r="O109" s="15">
        <v>3</v>
      </c>
      <c r="P109" s="15" t="s">
        <v>23</v>
      </c>
    </row>
    <row r="110" spans="1:16" s="15" customFormat="1" x14ac:dyDescent="0.25">
      <c r="A110" s="15">
        <v>329207</v>
      </c>
      <c r="B110" s="15" t="s">
        <v>423</v>
      </c>
      <c r="C110" s="15" t="s">
        <v>424</v>
      </c>
      <c r="D110" s="15" t="s">
        <v>18</v>
      </c>
      <c r="E110" s="16" t="s">
        <v>400</v>
      </c>
      <c r="F110" s="15" t="s">
        <v>421</v>
      </c>
      <c r="G110" s="15" t="s">
        <v>425</v>
      </c>
      <c r="H110" s="15" t="s">
        <v>22</v>
      </c>
      <c r="I110" s="17">
        <v>6001</v>
      </c>
      <c r="J110" s="15" t="s">
        <v>30</v>
      </c>
      <c r="K110" s="15">
        <v>2</v>
      </c>
      <c r="L110" s="15">
        <v>1</v>
      </c>
      <c r="M110" s="15">
        <v>2</v>
      </c>
      <c r="N110" s="15">
        <v>2</v>
      </c>
      <c r="O110" s="15">
        <v>7</v>
      </c>
      <c r="P110" s="15" t="s">
        <v>23</v>
      </c>
    </row>
    <row r="111" spans="1:16" s="15" customFormat="1" x14ac:dyDescent="0.25">
      <c r="A111" s="15">
        <v>329216</v>
      </c>
      <c r="B111" s="15" t="s">
        <v>426</v>
      </c>
      <c r="C111" s="15" t="s">
        <v>427</v>
      </c>
      <c r="D111" s="15" t="s">
        <v>18</v>
      </c>
      <c r="E111" s="16" t="s">
        <v>400</v>
      </c>
      <c r="F111" s="15" t="s">
        <v>421</v>
      </c>
      <c r="G111" s="15" t="s">
        <v>428</v>
      </c>
      <c r="H111" s="15" t="s">
        <v>22</v>
      </c>
      <c r="I111" s="17">
        <v>6001</v>
      </c>
      <c r="J111" s="15" t="s">
        <v>30</v>
      </c>
      <c r="K111" s="15">
        <v>1</v>
      </c>
      <c r="L111" s="15">
        <v>2</v>
      </c>
      <c r="M111" s="15">
        <v>2</v>
      </c>
      <c r="N111" s="15">
        <v>2</v>
      </c>
      <c r="O111" s="15">
        <v>7</v>
      </c>
      <c r="P111" s="15" t="s">
        <v>23</v>
      </c>
    </row>
    <row r="112" spans="1:16" s="15" customFormat="1" x14ac:dyDescent="0.25">
      <c r="A112" s="15">
        <v>371481</v>
      </c>
      <c r="B112" s="15" t="s">
        <v>429</v>
      </c>
      <c r="C112" s="15" t="s">
        <v>430</v>
      </c>
      <c r="D112" s="15" t="s">
        <v>18</v>
      </c>
      <c r="E112" s="16">
        <v>6001</v>
      </c>
      <c r="F112" s="15" t="s">
        <v>421</v>
      </c>
      <c r="G112" s="15" t="s">
        <v>431</v>
      </c>
      <c r="H112" s="15" t="s">
        <v>22</v>
      </c>
      <c r="I112" s="17">
        <v>6001</v>
      </c>
      <c r="J112" s="15" t="s">
        <v>30</v>
      </c>
      <c r="K112" s="15">
        <v>1</v>
      </c>
      <c r="L112" s="15">
        <v>0</v>
      </c>
      <c r="M112" s="15">
        <v>0</v>
      </c>
      <c r="N112" s="15">
        <v>1</v>
      </c>
      <c r="O112" s="15">
        <v>2</v>
      </c>
      <c r="P112" s="15" t="s">
        <v>23</v>
      </c>
    </row>
    <row r="113" spans="1:16" s="15" customFormat="1" x14ac:dyDescent="0.25">
      <c r="A113" s="15">
        <v>363801</v>
      </c>
      <c r="B113" s="15" t="s">
        <v>432</v>
      </c>
      <c r="C113" s="15" t="s">
        <v>433</v>
      </c>
      <c r="D113" s="15" t="s">
        <v>18</v>
      </c>
      <c r="E113" s="16">
        <v>6001</v>
      </c>
      <c r="F113" s="15" t="s">
        <v>421</v>
      </c>
      <c r="G113" s="15" t="s">
        <v>434</v>
      </c>
      <c r="H113" s="15" t="s">
        <v>22</v>
      </c>
      <c r="I113" s="17">
        <v>6001</v>
      </c>
      <c r="J113" s="15" t="s">
        <v>30</v>
      </c>
      <c r="K113" s="15">
        <v>0</v>
      </c>
      <c r="L113" s="15">
        <v>32</v>
      </c>
      <c r="M113" s="15">
        <v>37</v>
      </c>
      <c r="N113" s="15">
        <v>33</v>
      </c>
      <c r="O113" s="15">
        <v>102</v>
      </c>
      <c r="P113" s="15" t="s">
        <v>435</v>
      </c>
    </row>
    <row r="114" spans="1:16" s="15" customFormat="1" x14ac:dyDescent="0.25">
      <c r="A114" s="15">
        <v>329215</v>
      </c>
      <c r="B114" s="15" t="s">
        <v>436</v>
      </c>
      <c r="C114" s="15" t="s">
        <v>424</v>
      </c>
      <c r="D114" s="15" t="s">
        <v>18</v>
      </c>
      <c r="E114" s="16" t="s">
        <v>400</v>
      </c>
      <c r="F114" s="15" t="s">
        <v>437</v>
      </c>
      <c r="G114" s="15" t="s">
        <v>438</v>
      </c>
      <c r="H114" s="15" t="s">
        <v>22</v>
      </c>
      <c r="I114" s="17">
        <v>6001</v>
      </c>
      <c r="J114" s="15" t="s">
        <v>30</v>
      </c>
      <c r="K114" s="15">
        <v>24</v>
      </c>
      <c r="L114" s="15">
        <v>35</v>
      </c>
      <c r="M114" s="15">
        <v>29</v>
      </c>
      <c r="N114" s="15">
        <v>0</v>
      </c>
      <c r="O114" s="15">
        <v>88</v>
      </c>
      <c r="P114" s="15" t="s">
        <v>23</v>
      </c>
    </row>
    <row r="115" spans="1:16" s="15" customFormat="1" x14ac:dyDescent="0.25">
      <c r="A115" s="15">
        <v>333098</v>
      </c>
      <c r="B115" s="15" t="s">
        <v>439</v>
      </c>
      <c r="C115" s="15" t="s">
        <v>440</v>
      </c>
      <c r="D115" s="15" t="s">
        <v>18</v>
      </c>
      <c r="E115" s="16" t="s">
        <v>400</v>
      </c>
      <c r="F115" s="15" t="s">
        <v>441</v>
      </c>
      <c r="G115" s="15" t="s">
        <v>442</v>
      </c>
      <c r="H115" s="15" t="s">
        <v>22</v>
      </c>
      <c r="I115" s="17">
        <v>6001</v>
      </c>
      <c r="J115" s="15" t="s">
        <v>30</v>
      </c>
      <c r="K115" s="15">
        <v>45</v>
      </c>
      <c r="L115" s="15">
        <v>54</v>
      </c>
      <c r="M115" s="15">
        <v>60</v>
      </c>
      <c r="N115" s="15">
        <v>0</v>
      </c>
      <c r="O115" s="15">
        <v>159</v>
      </c>
      <c r="P115" s="15" t="s">
        <v>23</v>
      </c>
    </row>
    <row r="116" spans="1:16" s="15" customFormat="1" x14ac:dyDescent="0.25">
      <c r="A116" s="15">
        <v>333099</v>
      </c>
      <c r="B116" s="15" t="s">
        <v>398</v>
      </c>
      <c r="C116" s="15" t="s">
        <v>424</v>
      </c>
      <c r="D116" s="15" t="s">
        <v>18</v>
      </c>
      <c r="E116" s="16" t="s">
        <v>400</v>
      </c>
      <c r="F116" s="15" t="s">
        <v>443</v>
      </c>
      <c r="G116" s="15" t="s">
        <v>444</v>
      </c>
      <c r="H116" s="15" t="s">
        <v>22</v>
      </c>
      <c r="I116" s="17">
        <v>6001</v>
      </c>
      <c r="J116" s="15" t="s">
        <v>30</v>
      </c>
      <c r="K116" s="15">
        <v>36</v>
      </c>
      <c r="L116" s="15">
        <v>53</v>
      </c>
      <c r="M116" s="15">
        <v>41</v>
      </c>
      <c r="N116" s="15">
        <v>0</v>
      </c>
      <c r="O116" s="15">
        <v>130</v>
      </c>
      <c r="P116" s="15" t="s">
        <v>23</v>
      </c>
    </row>
    <row r="117" spans="1:16" s="15" customFormat="1" x14ac:dyDescent="0.25">
      <c r="A117" s="15">
        <v>329213</v>
      </c>
      <c r="B117" s="15" t="s">
        <v>445</v>
      </c>
      <c r="C117" s="15" t="s">
        <v>424</v>
      </c>
      <c r="D117" s="15" t="s">
        <v>18</v>
      </c>
      <c r="E117" s="16" t="s">
        <v>400</v>
      </c>
      <c r="F117" s="15" t="s">
        <v>446</v>
      </c>
      <c r="G117" s="15" t="s">
        <v>447</v>
      </c>
      <c r="H117" s="15" t="s">
        <v>22</v>
      </c>
      <c r="I117" s="17">
        <v>6001</v>
      </c>
      <c r="J117" s="15" t="s">
        <v>30</v>
      </c>
      <c r="K117" s="15">
        <v>30</v>
      </c>
      <c r="L117" s="15">
        <v>43</v>
      </c>
      <c r="M117" s="15">
        <v>34</v>
      </c>
      <c r="N117" s="15">
        <v>0</v>
      </c>
      <c r="O117" s="15">
        <v>107</v>
      </c>
      <c r="P117" s="15" t="s">
        <v>23</v>
      </c>
    </row>
    <row r="118" spans="1:16" s="15" customFormat="1" x14ac:dyDescent="0.25">
      <c r="A118" s="15">
        <v>329194</v>
      </c>
      <c r="B118" s="15" t="s">
        <v>448</v>
      </c>
      <c r="C118" s="15" t="s">
        <v>424</v>
      </c>
      <c r="D118" s="15" t="s">
        <v>18</v>
      </c>
      <c r="E118" s="16" t="s">
        <v>400</v>
      </c>
      <c r="F118" s="15" t="s">
        <v>449</v>
      </c>
      <c r="G118" s="15" t="s">
        <v>450</v>
      </c>
      <c r="H118" s="15" t="s">
        <v>22</v>
      </c>
      <c r="I118" s="17">
        <v>6001</v>
      </c>
      <c r="J118" s="15" t="s">
        <v>30</v>
      </c>
      <c r="K118" s="15">
        <v>8</v>
      </c>
      <c r="L118" s="15">
        <v>9</v>
      </c>
      <c r="M118" s="15">
        <v>9</v>
      </c>
      <c r="N118" s="15">
        <v>0</v>
      </c>
      <c r="O118" s="15">
        <v>26</v>
      </c>
      <c r="P118" s="15" t="s">
        <v>23</v>
      </c>
    </row>
    <row r="119" spans="1:16" s="15" customFormat="1" x14ac:dyDescent="0.25">
      <c r="A119" s="15">
        <v>333090</v>
      </c>
      <c r="B119" s="15" t="s">
        <v>380</v>
      </c>
      <c r="C119" s="15" t="s">
        <v>381</v>
      </c>
      <c r="D119" s="15" t="s">
        <v>18</v>
      </c>
      <c r="E119" s="16" t="s">
        <v>451</v>
      </c>
      <c r="F119" s="15" t="s">
        <v>452</v>
      </c>
      <c r="G119" s="15" t="s">
        <v>453</v>
      </c>
      <c r="H119" s="15" t="s">
        <v>22</v>
      </c>
      <c r="I119" s="17">
        <v>6001</v>
      </c>
      <c r="J119" s="15" t="s">
        <v>30</v>
      </c>
      <c r="K119" s="15">
        <v>10</v>
      </c>
      <c r="L119" s="15">
        <v>787</v>
      </c>
      <c r="M119" s="15">
        <v>425</v>
      </c>
      <c r="N119" s="15">
        <v>0</v>
      </c>
      <c r="O119" s="15">
        <v>1222</v>
      </c>
      <c r="P119" s="15" t="s">
        <v>23</v>
      </c>
    </row>
    <row r="120" spans="1:16" s="15" customFormat="1" x14ac:dyDescent="0.25">
      <c r="A120" s="15">
        <v>333093</v>
      </c>
      <c r="B120" s="15" t="s">
        <v>454</v>
      </c>
      <c r="C120" s="15" t="s">
        <v>455</v>
      </c>
      <c r="D120" s="15" t="s">
        <v>18</v>
      </c>
      <c r="E120" s="16" t="s">
        <v>374</v>
      </c>
      <c r="F120" s="15" t="s">
        <v>456</v>
      </c>
      <c r="G120" s="15" t="s">
        <v>457</v>
      </c>
      <c r="H120" s="15" t="s">
        <v>22</v>
      </c>
      <c r="I120" s="17">
        <v>6001</v>
      </c>
      <c r="J120" s="15" t="s">
        <v>30</v>
      </c>
      <c r="K120" s="15">
        <v>58</v>
      </c>
      <c r="L120" s="15">
        <v>740</v>
      </c>
      <c r="M120" s="15">
        <v>357</v>
      </c>
      <c r="N120" s="15">
        <v>0</v>
      </c>
      <c r="O120" s="15">
        <v>1155</v>
      </c>
      <c r="P120" s="15" t="s">
        <v>23</v>
      </c>
    </row>
    <row r="121" spans="1:16" s="15" customFormat="1" x14ac:dyDescent="0.25">
      <c r="A121" s="15">
        <v>333097</v>
      </c>
      <c r="B121" s="15" t="s">
        <v>458</v>
      </c>
      <c r="C121" s="15" t="s">
        <v>440</v>
      </c>
      <c r="D121" s="15" t="s">
        <v>18</v>
      </c>
      <c r="E121" s="16" t="s">
        <v>400</v>
      </c>
      <c r="F121" s="15" t="s">
        <v>459</v>
      </c>
      <c r="G121" s="15" t="s">
        <v>460</v>
      </c>
      <c r="H121" s="15" t="s">
        <v>22</v>
      </c>
      <c r="I121" s="17">
        <v>6001</v>
      </c>
      <c r="J121" s="15" t="s">
        <v>30</v>
      </c>
      <c r="K121" s="15">
        <v>36</v>
      </c>
      <c r="L121" s="15">
        <v>31</v>
      </c>
      <c r="M121" s="15">
        <v>45</v>
      </c>
      <c r="N121" s="15">
        <v>0</v>
      </c>
      <c r="O121" s="15">
        <v>112</v>
      </c>
      <c r="P121" s="15" t="s">
        <v>23</v>
      </c>
    </row>
    <row r="122" spans="1:16" s="15" customFormat="1" x14ac:dyDescent="0.25">
      <c r="A122" s="15">
        <v>333754</v>
      </c>
      <c r="B122" s="15" t="s">
        <v>461</v>
      </c>
      <c r="C122" s="15" t="s">
        <v>421</v>
      </c>
      <c r="D122" s="15" t="s">
        <v>18</v>
      </c>
      <c r="E122" s="16" t="s">
        <v>451</v>
      </c>
      <c r="F122" s="15" t="s">
        <v>462</v>
      </c>
      <c r="G122" s="15" t="s">
        <v>463</v>
      </c>
      <c r="H122" s="15" t="s">
        <v>22</v>
      </c>
      <c r="I122" s="17">
        <v>6001</v>
      </c>
      <c r="J122" s="15" t="s">
        <v>30</v>
      </c>
      <c r="K122" s="15">
        <v>126</v>
      </c>
      <c r="L122" s="15">
        <v>904</v>
      </c>
      <c r="M122" s="15">
        <v>538</v>
      </c>
      <c r="N122" s="15">
        <v>118</v>
      </c>
      <c r="O122" s="15">
        <v>1686</v>
      </c>
      <c r="P122" s="15" t="s">
        <v>23</v>
      </c>
    </row>
    <row r="123" spans="1:16" s="15" customFormat="1" x14ac:dyDescent="0.25">
      <c r="A123" s="15">
        <v>333556</v>
      </c>
      <c r="B123" s="15" t="s">
        <v>454</v>
      </c>
      <c r="C123" s="15" t="s">
        <v>455</v>
      </c>
      <c r="D123" s="15" t="s">
        <v>18</v>
      </c>
      <c r="E123" s="16" t="s">
        <v>374</v>
      </c>
      <c r="F123" s="15" t="s">
        <v>464</v>
      </c>
      <c r="G123" s="15" t="s">
        <v>465</v>
      </c>
      <c r="H123" s="15" t="s">
        <v>22</v>
      </c>
      <c r="I123" s="17">
        <v>6001</v>
      </c>
      <c r="J123" s="15" t="s">
        <v>30</v>
      </c>
      <c r="K123" s="15">
        <v>543</v>
      </c>
      <c r="L123" s="15">
        <v>1164</v>
      </c>
      <c r="M123" s="15">
        <v>839</v>
      </c>
      <c r="N123" s="15">
        <v>362</v>
      </c>
      <c r="O123" s="15">
        <v>2908</v>
      </c>
      <c r="P123" s="15" t="s">
        <v>23</v>
      </c>
    </row>
    <row r="124" spans="1:16" s="15" customFormat="1" x14ac:dyDescent="0.25">
      <c r="A124" s="15">
        <v>380758</v>
      </c>
      <c r="B124" s="15" t="s">
        <v>466</v>
      </c>
      <c r="C124" s="15" t="s">
        <v>467</v>
      </c>
      <c r="D124" s="15" t="s">
        <v>18</v>
      </c>
      <c r="E124" s="16">
        <v>6001</v>
      </c>
      <c r="F124" s="15" t="s">
        <v>468</v>
      </c>
      <c r="G124" s="15" t="s">
        <v>469</v>
      </c>
      <c r="H124" s="15" t="s">
        <v>22</v>
      </c>
      <c r="I124" s="17">
        <v>6001</v>
      </c>
      <c r="J124" s="15" t="s">
        <v>30</v>
      </c>
      <c r="K124" s="15">
        <v>0</v>
      </c>
      <c r="L124" s="15">
        <v>0</v>
      </c>
      <c r="M124" s="15">
        <v>0</v>
      </c>
      <c r="N124" s="15">
        <v>0</v>
      </c>
      <c r="O124" s="15">
        <v>0</v>
      </c>
      <c r="P124" s="15" t="s">
        <v>23</v>
      </c>
    </row>
    <row r="125" spans="1:16" s="15" customFormat="1" x14ac:dyDescent="0.25">
      <c r="A125" s="15">
        <v>338435</v>
      </c>
      <c r="B125" s="15" t="s">
        <v>398</v>
      </c>
      <c r="C125" s="15" t="s">
        <v>399</v>
      </c>
      <c r="D125" s="15" t="s">
        <v>18</v>
      </c>
      <c r="E125" s="16" t="s">
        <v>400</v>
      </c>
      <c r="F125" s="15" t="s">
        <v>468</v>
      </c>
      <c r="G125" s="15" t="s">
        <v>469</v>
      </c>
      <c r="H125" s="15" t="s">
        <v>22</v>
      </c>
      <c r="I125" s="17">
        <v>6001</v>
      </c>
      <c r="J125" s="15" t="s">
        <v>30</v>
      </c>
      <c r="K125" s="15">
        <v>0</v>
      </c>
      <c r="L125" s="15">
        <v>0</v>
      </c>
      <c r="M125" s="15">
        <v>0</v>
      </c>
      <c r="N125" s="15">
        <v>0</v>
      </c>
      <c r="O125" s="15">
        <v>0</v>
      </c>
      <c r="P125" s="15" t="s">
        <v>470</v>
      </c>
    </row>
    <row r="126" spans="1:16" s="15" customFormat="1" x14ac:dyDescent="0.25">
      <c r="A126" s="15">
        <v>337356</v>
      </c>
      <c r="B126" s="15" t="s">
        <v>471</v>
      </c>
      <c r="C126" s="15" t="s">
        <v>399</v>
      </c>
      <c r="D126" s="15" t="s">
        <v>18</v>
      </c>
      <c r="E126" s="16" t="s">
        <v>400</v>
      </c>
      <c r="F126" s="15" t="s">
        <v>472</v>
      </c>
      <c r="G126" s="15" t="s">
        <v>473</v>
      </c>
      <c r="H126" s="15" t="s">
        <v>22</v>
      </c>
      <c r="I126" s="17">
        <v>6001</v>
      </c>
      <c r="J126" s="15" t="s">
        <v>30</v>
      </c>
      <c r="K126" s="15">
        <v>0</v>
      </c>
      <c r="L126" s="15">
        <v>1</v>
      </c>
      <c r="M126" s="15">
        <v>0</v>
      </c>
      <c r="N126" s="15">
        <v>1</v>
      </c>
      <c r="O126" s="15">
        <v>2</v>
      </c>
      <c r="P126" s="15" t="s">
        <v>474</v>
      </c>
    </row>
    <row r="127" spans="1:16" s="15" customFormat="1" x14ac:dyDescent="0.25">
      <c r="A127" s="15">
        <v>378983</v>
      </c>
      <c r="B127" s="15" t="s">
        <v>475</v>
      </c>
      <c r="C127" s="15" t="s">
        <v>476</v>
      </c>
      <c r="D127" s="15" t="s">
        <v>18</v>
      </c>
      <c r="E127" s="16">
        <v>6001</v>
      </c>
      <c r="F127" s="15" t="s">
        <v>472</v>
      </c>
      <c r="G127" s="15" t="s">
        <v>473</v>
      </c>
      <c r="H127" s="15" t="s">
        <v>22</v>
      </c>
      <c r="I127" s="17">
        <v>6001</v>
      </c>
      <c r="J127" s="15" t="s">
        <v>30</v>
      </c>
      <c r="K127" s="15">
        <v>2</v>
      </c>
      <c r="L127" s="15">
        <v>0</v>
      </c>
      <c r="M127" s="15">
        <v>0</v>
      </c>
      <c r="N127" s="15">
        <v>0</v>
      </c>
      <c r="O127" s="15">
        <v>2</v>
      </c>
      <c r="P127" s="15" t="s">
        <v>23</v>
      </c>
    </row>
    <row r="128" spans="1:16" s="15" customFormat="1" x14ac:dyDescent="0.25">
      <c r="A128" s="15">
        <v>373188</v>
      </c>
      <c r="B128" s="15" t="s">
        <v>477</v>
      </c>
      <c r="C128" s="15" t="s">
        <v>66</v>
      </c>
      <c r="D128" s="15" t="s">
        <v>18</v>
      </c>
      <c r="E128" s="16">
        <v>6001</v>
      </c>
      <c r="F128" s="15" t="s">
        <v>478</v>
      </c>
      <c r="G128" s="15" t="s">
        <v>479</v>
      </c>
      <c r="H128" s="15" t="s">
        <v>22</v>
      </c>
      <c r="I128" s="17">
        <v>6001</v>
      </c>
      <c r="J128" s="15" t="s">
        <v>30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 t="s">
        <v>23</v>
      </c>
    </row>
    <row r="129" spans="1:16" s="15" customFormat="1" x14ac:dyDescent="0.25">
      <c r="A129" s="15">
        <v>363211</v>
      </c>
      <c r="B129" s="15" t="s">
        <v>398</v>
      </c>
      <c r="C129" s="15" t="s">
        <v>480</v>
      </c>
      <c r="D129" s="15" t="s">
        <v>18</v>
      </c>
      <c r="E129" s="16" t="s">
        <v>400</v>
      </c>
      <c r="F129" s="15" t="s">
        <v>478</v>
      </c>
      <c r="G129" s="15" t="s">
        <v>479</v>
      </c>
      <c r="H129" s="15" t="s">
        <v>22</v>
      </c>
      <c r="I129" s="17">
        <v>6001</v>
      </c>
      <c r="J129" s="15" t="s">
        <v>30</v>
      </c>
      <c r="K129" s="15">
        <v>0</v>
      </c>
      <c r="L129" s="15">
        <v>0</v>
      </c>
      <c r="M129" s="15">
        <v>0</v>
      </c>
      <c r="N129" s="15">
        <v>0</v>
      </c>
      <c r="O129" s="15">
        <v>0</v>
      </c>
      <c r="P129" s="15" t="s">
        <v>481</v>
      </c>
    </row>
    <row r="130" spans="1:16" s="15" customFormat="1" x14ac:dyDescent="0.25">
      <c r="A130" s="15">
        <v>329208</v>
      </c>
      <c r="B130" s="15" t="s">
        <v>398</v>
      </c>
      <c r="C130" s="15" t="s">
        <v>399</v>
      </c>
      <c r="D130" s="15" t="s">
        <v>18</v>
      </c>
      <c r="E130" s="16" t="s">
        <v>400</v>
      </c>
      <c r="F130" s="15" t="s">
        <v>482</v>
      </c>
      <c r="G130" s="15" t="s">
        <v>483</v>
      </c>
      <c r="H130" s="15" t="s">
        <v>22</v>
      </c>
      <c r="I130" s="17">
        <v>6001</v>
      </c>
      <c r="J130" s="15" t="s">
        <v>30</v>
      </c>
      <c r="K130" s="15">
        <v>12</v>
      </c>
      <c r="L130" s="15">
        <v>13</v>
      </c>
      <c r="M130" s="15">
        <v>11</v>
      </c>
      <c r="N130" s="15">
        <v>11</v>
      </c>
      <c r="O130" s="15">
        <v>47</v>
      </c>
      <c r="P130" s="15" t="s">
        <v>23</v>
      </c>
    </row>
    <row r="131" spans="1:16" s="15" customFormat="1" x14ac:dyDescent="0.25">
      <c r="A131" s="15">
        <v>363212</v>
      </c>
      <c r="B131" s="15" t="s">
        <v>484</v>
      </c>
      <c r="C131" s="15" t="s">
        <v>485</v>
      </c>
      <c r="D131" s="15" t="s">
        <v>18</v>
      </c>
      <c r="E131" s="16">
        <v>6001</v>
      </c>
      <c r="F131" s="15" t="s">
        <v>486</v>
      </c>
      <c r="G131" s="15" t="s">
        <v>487</v>
      </c>
      <c r="H131" s="15" t="s">
        <v>22</v>
      </c>
      <c r="I131" s="17">
        <v>6001</v>
      </c>
      <c r="J131" s="15" t="s">
        <v>30</v>
      </c>
      <c r="K131" s="15">
        <v>0</v>
      </c>
      <c r="L131" s="15">
        <v>2</v>
      </c>
      <c r="M131" s="15">
        <v>2</v>
      </c>
      <c r="N131" s="15">
        <v>0</v>
      </c>
      <c r="O131" s="15">
        <v>4</v>
      </c>
      <c r="P131" s="15" t="s">
        <v>23</v>
      </c>
    </row>
    <row r="132" spans="1:16" s="15" customFormat="1" x14ac:dyDescent="0.25">
      <c r="A132" s="15">
        <v>329189</v>
      </c>
      <c r="B132" s="15" t="s">
        <v>488</v>
      </c>
      <c r="C132" s="15" t="s">
        <v>399</v>
      </c>
      <c r="D132" s="15" t="s">
        <v>18</v>
      </c>
      <c r="E132" s="16" t="s">
        <v>400</v>
      </c>
      <c r="F132" s="15" t="s">
        <v>489</v>
      </c>
      <c r="G132" s="15" t="s">
        <v>490</v>
      </c>
      <c r="H132" s="15" t="s">
        <v>22</v>
      </c>
      <c r="I132" s="17">
        <v>6001</v>
      </c>
      <c r="J132" s="15" t="s">
        <v>30</v>
      </c>
      <c r="K132" s="15">
        <v>1</v>
      </c>
      <c r="L132" s="15">
        <v>1</v>
      </c>
      <c r="M132" s="15">
        <v>3</v>
      </c>
      <c r="N132" s="15">
        <v>8</v>
      </c>
      <c r="O132" s="15">
        <v>13</v>
      </c>
      <c r="P132" s="15" t="s">
        <v>23</v>
      </c>
    </row>
    <row r="133" spans="1:16" s="15" customFormat="1" x14ac:dyDescent="0.25">
      <c r="A133" s="15">
        <v>329190</v>
      </c>
      <c r="B133" s="15" t="s">
        <v>398</v>
      </c>
      <c r="C133" s="15" t="s">
        <v>399</v>
      </c>
      <c r="D133" s="15" t="s">
        <v>18</v>
      </c>
      <c r="E133" s="16" t="s">
        <v>400</v>
      </c>
      <c r="F133" s="15" t="s">
        <v>489</v>
      </c>
      <c r="G133" s="15" t="s">
        <v>491</v>
      </c>
      <c r="H133" s="15" t="s">
        <v>22</v>
      </c>
      <c r="I133" s="17">
        <v>6001</v>
      </c>
      <c r="J133" s="15" t="s">
        <v>30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 t="s">
        <v>23</v>
      </c>
    </row>
    <row r="134" spans="1:16" s="15" customFormat="1" x14ac:dyDescent="0.25">
      <c r="A134" s="15">
        <v>329191</v>
      </c>
      <c r="B134" s="15" t="s">
        <v>398</v>
      </c>
      <c r="C134" s="15" t="s">
        <v>440</v>
      </c>
      <c r="D134" s="15" t="s">
        <v>18</v>
      </c>
      <c r="E134" s="16" t="s">
        <v>400</v>
      </c>
      <c r="F134" s="15" t="s">
        <v>489</v>
      </c>
      <c r="G134" s="15" t="s">
        <v>492</v>
      </c>
      <c r="H134" s="15" t="s">
        <v>22</v>
      </c>
      <c r="I134" s="17">
        <v>6001</v>
      </c>
      <c r="J134" s="15" t="s">
        <v>30</v>
      </c>
      <c r="K134" s="15">
        <v>11</v>
      </c>
      <c r="L134" s="15">
        <v>18</v>
      </c>
      <c r="M134" s="15">
        <v>14</v>
      </c>
      <c r="N134" s="15">
        <v>14</v>
      </c>
      <c r="O134" s="15">
        <v>57</v>
      </c>
      <c r="P134" s="15" t="s">
        <v>23</v>
      </c>
    </row>
    <row r="135" spans="1:16" s="15" customFormat="1" x14ac:dyDescent="0.25">
      <c r="A135" s="15">
        <v>329193</v>
      </c>
      <c r="B135" s="15" t="s">
        <v>493</v>
      </c>
      <c r="C135" s="15" t="s">
        <v>494</v>
      </c>
      <c r="D135" s="15" t="s">
        <v>18</v>
      </c>
      <c r="E135" s="16" t="s">
        <v>400</v>
      </c>
      <c r="F135" s="15" t="s">
        <v>489</v>
      </c>
      <c r="G135" s="15" t="s">
        <v>495</v>
      </c>
      <c r="H135" s="15" t="s">
        <v>22</v>
      </c>
      <c r="I135" s="17">
        <v>6001</v>
      </c>
      <c r="J135" s="15" t="s">
        <v>30</v>
      </c>
      <c r="K135" s="15">
        <v>19</v>
      </c>
      <c r="L135" s="15">
        <v>18</v>
      </c>
      <c r="M135" s="15">
        <v>15</v>
      </c>
      <c r="N135" s="15">
        <v>12</v>
      </c>
      <c r="O135" s="15">
        <v>64</v>
      </c>
      <c r="P135" s="15" t="s">
        <v>23</v>
      </c>
    </row>
    <row r="136" spans="1:16" s="15" customFormat="1" x14ac:dyDescent="0.25">
      <c r="A136" s="15">
        <v>350075</v>
      </c>
      <c r="B136" s="15" t="s">
        <v>398</v>
      </c>
      <c r="C136" s="15" t="s">
        <v>496</v>
      </c>
      <c r="D136" s="15" t="s">
        <v>18</v>
      </c>
      <c r="E136" s="16">
        <v>6001</v>
      </c>
      <c r="F136" s="15" t="s">
        <v>497</v>
      </c>
      <c r="G136" s="15" t="s">
        <v>498</v>
      </c>
      <c r="H136" s="15" t="s">
        <v>22</v>
      </c>
      <c r="I136" s="17">
        <v>6001</v>
      </c>
      <c r="J136" s="15" t="s">
        <v>30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 t="s">
        <v>23</v>
      </c>
    </row>
    <row r="137" spans="1:16" s="15" customFormat="1" x14ac:dyDescent="0.25">
      <c r="A137" s="15">
        <v>352925</v>
      </c>
      <c r="B137" s="15" t="s">
        <v>499</v>
      </c>
      <c r="C137" s="15" t="s">
        <v>500</v>
      </c>
      <c r="D137" s="15" t="s">
        <v>18</v>
      </c>
      <c r="E137" s="16">
        <v>6001</v>
      </c>
      <c r="F137" s="15" t="s">
        <v>501</v>
      </c>
      <c r="G137" s="15" t="s">
        <v>502</v>
      </c>
      <c r="H137" s="15" t="s">
        <v>22</v>
      </c>
      <c r="I137" s="17">
        <v>6001</v>
      </c>
      <c r="J137" s="15" t="s">
        <v>30</v>
      </c>
      <c r="K137" s="15">
        <v>55</v>
      </c>
      <c r="L137" s="15">
        <v>74</v>
      </c>
      <c r="M137" s="15">
        <v>45</v>
      </c>
      <c r="N137" s="15">
        <v>33</v>
      </c>
      <c r="O137" s="15">
        <v>207</v>
      </c>
      <c r="P137" s="15" t="s">
        <v>23</v>
      </c>
    </row>
    <row r="138" spans="1:16" s="15" customFormat="1" x14ac:dyDescent="0.25">
      <c r="A138" s="15">
        <v>367898</v>
      </c>
      <c r="B138" s="15" t="s">
        <v>471</v>
      </c>
      <c r="C138" s="15" t="s">
        <v>399</v>
      </c>
      <c r="D138" s="15" t="s">
        <v>18</v>
      </c>
      <c r="E138" s="16" t="s">
        <v>400</v>
      </c>
      <c r="F138" s="15" t="s">
        <v>503</v>
      </c>
      <c r="G138" s="15" t="s">
        <v>504</v>
      </c>
      <c r="H138" s="15" t="s">
        <v>22</v>
      </c>
      <c r="I138" s="17">
        <v>6001</v>
      </c>
      <c r="J138" s="15" t="s">
        <v>30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 t="s">
        <v>23</v>
      </c>
    </row>
    <row r="139" spans="1:16" s="15" customFormat="1" x14ac:dyDescent="0.25">
      <c r="A139" s="15">
        <v>333145</v>
      </c>
      <c r="B139" s="15" t="s">
        <v>505</v>
      </c>
      <c r="C139" s="15" t="s">
        <v>506</v>
      </c>
      <c r="D139" s="15" t="s">
        <v>18</v>
      </c>
      <c r="E139" s="16" t="s">
        <v>507</v>
      </c>
      <c r="F139" s="15" t="s">
        <v>508</v>
      </c>
      <c r="G139" s="15" t="s">
        <v>509</v>
      </c>
      <c r="H139" s="15" t="s">
        <v>22</v>
      </c>
      <c r="I139" s="17">
        <v>6001</v>
      </c>
      <c r="J139" s="15" t="s">
        <v>30</v>
      </c>
      <c r="K139" s="15">
        <v>31</v>
      </c>
      <c r="L139" s="15">
        <v>89</v>
      </c>
      <c r="M139" s="15">
        <v>53</v>
      </c>
      <c r="N139" s="15">
        <v>21</v>
      </c>
      <c r="O139" s="15">
        <v>194</v>
      </c>
      <c r="P139" s="15" t="s">
        <v>23</v>
      </c>
    </row>
    <row r="140" spans="1:16" s="15" customFormat="1" x14ac:dyDescent="0.25">
      <c r="A140" s="15">
        <v>339263</v>
      </c>
      <c r="B140" s="15" t="s">
        <v>510</v>
      </c>
      <c r="C140" s="15" t="s">
        <v>511</v>
      </c>
      <c r="D140" s="15" t="s">
        <v>18</v>
      </c>
      <c r="E140" s="16">
        <v>6001</v>
      </c>
      <c r="F140" s="15" t="s">
        <v>512</v>
      </c>
      <c r="G140" s="15" t="s">
        <v>513</v>
      </c>
      <c r="H140" s="15" t="s">
        <v>22</v>
      </c>
      <c r="I140" s="17">
        <v>6001</v>
      </c>
      <c r="J140" s="15" t="s">
        <v>30</v>
      </c>
      <c r="K140" s="15">
        <v>29</v>
      </c>
      <c r="L140" s="15">
        <v>104</v>
      </c>
      <c r="M140" s="15">
        <v>51</v>
      </c>
      <c r="N140" s="15">
        <v>12</v>
      </c>
      <c r="O140" s="15">
        <v>196</v>
      </c>
      <c r="P140" s="15" t="s">
        <v>23</v>
      </c>
    </row>
    <row r="141" spans="1:16" s="15" customFormat="1" x14ac:dyDescent="0.25">
      <c r="A141" s="15">
        <v>333144</v>
      </c>
      <c r="B141" s="15" t="s">
        <v>514</v>
      </c>
      <c r="C141" s="15" t="s">
        <v>506</v>
      </c>
      <c r="D141" s="15" t="s">
        <v>18</v>
      </c>
      <c r="E141" s="16" t="s">
        <v>507</v>
      </c>
      <c r="F141" s="15" t="s">
        <v>515</v>
      </c>
      <c r="G141" s="15" t="s">
        <v>516</v>
      </c>
      <c r="H141" s="15" t="s">
        <v>22</v>
      </c>
      <c r="I141" s="17">
        <v>6001</v>
      </c>
      <c r="J141" s="15" t="s">
        <v>30</v>
      </c>
      <c r="K141" s="15">
        <v>44</v>
      </c>
      <c r="L141" s="15">
        <v>69</v>
      </c>
      <c r="M141" s="15">
        <v>35</v>
      </c>
      <c r="N141" s="15">
        <v>19</v>
      </c>
      <c r="O141" s="15">
        <v>167</v>
      </c>
      <c r="P141" s="15" t="s">
        <v>23</v>
      </c>
    </row>
    <row r="142" spans="1:16" s="15" customFormat="1" x14ac:dyDescent="0.25">
      <c r="A142" s="15">
        <v>333146</v>
      </c>
      <c r="B142" s="15" t="s">
        <v>517</v>
      </c>
      <c r="C142" s="15" t="s">
        <v>506</v>
      </c>
      <c r="D142" s="15" t="s">
        <v>18</v>
      </c>
      <c r="E142" s="16" t="s">
        <v>507</v>
      </c>
      <c r="F142" s="15" t="s">
        <v>518</v>
      </c>
      <c r="G142" s="15" t="s">
        <v>519</v>
      </c>
      <c r="H142" s="15" t="s">
        <v>22</v>
      </c>
      <c r="I142" s="17">
        <v>6001</v>
      </c>
      <c r="J142" s="15" t="s">
        <v>30</v>
      </c>
      <c r="K142" s="15">
        <v>9</v>
      </c>
      <c r="L142" s="15">
        <v>23</v>
      </c>
      <c r="M142" s="15">
        <v>49</v>
      </c>
      <c r="N142" s="15">
        <v>19</v>
      </c>
      <c r="O142" s="15">
        <v>100</v>
      </c>
      <c r="P142" s="15" t="s">
        <v>23</v>
      </c>
    </row>
    <row r="143" spans="1:16" s="15" customFormat="1" x14ac:dyDescent="0.25">
      <c r="A143" s="15">
        <v>328559</v>
      </c>
      <c r="B143" s="15" t="s">
        <v>520</v>
      </c>
      <c r="C143" s="15" t="s">
        <v>521</v>
      </c>
      <c r="D143" s="15" t="s">
        <v>18</v>
      </c>
      <c r="E143" s="16" t="s">
        <v>522</v>
      </c>
      <c r="F143" s="15" t="s">
        <v>523</v>
      </c>
      <c r="G143" s="15" t="s">
        <v>524</v>
      </c>
      <c r="H143" s="15" t="s">
        <v>22</v>
      </c>
      <c r="I143" s="17">
        <v>6001</v>
      </c>
      <c r="J143" s="15" t="s">
        <v>30</v>
      </c>
      <c r="K143" s="15">
        <v>4</v>
      </c>
      <c r="L143" s="15">
        <v>6</v>
      </c>
      <c r="M143" s="15">
        <v>6</v>
      </c>
      <c r="N143" s="15">
        <v>5</v>
      </c>
      <c r="O143" s="15">
        <v>21</v>
      </c>
      <c r="P143" s="15" t="s">
        <v>23</v>
      </c>
    </row>
    <row r="144" spans="1:16" s="15" customFormat="1" x14ac:dyDescent="0.25">
      <c r="A144" s="15">
        <v>333557</v>
      </c>
      <c r="B144" s="15" t="s">
        <v>525</v>
      </c>
      <c r="C144" s="15" t="s">
        <v>526</v>
      </c>
      <c r="D144" s="15" t="s">
        <v>18</v>
      </c>
      <c r="E144" s="16">
        <v>6001</v>
      </c>
      <c r="F144" s="15" t="s">
        <v>527</v>
      </c>
      <c r="G144" s="15" t="s">
        <v>528</v>
      </c>
      <c r="H144" s="15" t="s">
        <v>22</v>
      </c>
      <c r="I144" s="17">
        <v>6001</v>
      </c>
      <c r="J144" s="15" t="s">
        <v>30</v>
      </c>
      <c r="K144" s="15">
        <v>15</v>
      </c>
      <c r="L144" s="15">
        <v>71</v>
      </c>
      <c r="M144" s="15">
        <v>34</v>
      </c>
      <c r="N144" s="15">
        <v>13</v>
      </c>
      <c r="O144" s="15">
        <v>133</v>
      </c>
      <c r="P144" s="15" t="s">
        <v>23</v>
      </c>
    </row>
    <row r="145" spans="1:16" s="15" customFormat="1" x14ac:dyDescent="0.25">
      <c r="A145" s="15">
        <v>329167</v>
      </c>
      <c r="B145" s="15" t="s">
        <v>529</v>
      </c>
      <c r="C145" s="15" t="s">
        <v>530</v>
      </c>
      <c r="D145" s="15" t="s">
        <v>18</v>
      </c>
      <c r="E145" s="16">
        <v>6001</v>
      </c>
      <c r="F145" s="15" t="s">
        <v>531</v>
      </c>
      <c r="G145" s="15" t="s">
        <v>532</v>
      </c>
      <c r="H145" s="15" t="s">
        <v>22</v>
      </c>
      <c r="I145" s="17">
        <v>6001</v>
      </c>
      <c r="J145" s="15" t="s">
        <v>30</v>
      </c>
      <c r="K145" s="15">
        <v>0</v>
      </c>
      <c r="L145" s="15">
        <v>1</v>
      </c>
      <c r="M145" s="15">
        <v>0</v>
      </c>
      <c r="N145" s="15">
        <v>1</v>
      </c>
      <c r="O145" s="15">
        <v>2</v>
      </c>
      <c r="P145" s="15" t="s">
        <v>23</v>
      </c>
    </row>
    <row r="146" spans="1:16" s="15" customFormat="1" x14ac:dyDescent="0.25">
      <c r="A146" s="15">
        <v>328739</v>
      </c>
      <c r="B146" s="15" t="s">
        <v>533</v>
      </c>
      <c r="C146" s="15" t="s">
        <v>534</v>
      </c>
      <c r="D146" s="15" t="s">
        <v>18</v>
      </c>
      <c r="E146" s="16">
        <v>6001</v>
      </c>
      <c r="F146" s="15" t="s">
        <v>534</v>
      </c>
      <c r="G146" s="15" t="s">
        <v>535</v>
      </c>
      <c r="H146" s="15" t="s">
        <v>22</v>
      </c>
      <c r="I146" s="17">
        <v>6001</v>
      </c>
      <c r="J146" s="15" t="s">
        <v>30</v>
      </c>
      <c r="K146" s="15">
        <v>14</v>
      </c>
      <c r="L146" s="15">
        <v>61</v>
      </c>
      <c r="M146" s="15">
        <v>23</v>
      </c>
      <c r="N146" s="15">
        <v>9</v>
      </c>
      <c r="O146" s="15">
        <v>107</v>
      </c>
      <c r="P146" s="15" t="s">
        <v>23</v>
      </c>
    </row>
    <row r="147" spans="1:16" s="15" customFormat="1" x14ac:dyDescent="0.25">
      <c r="A147" s="15">
        <v>328736</v>
      </c>
      <c r="B147" s="15" t="s">
        <v>536</v>
      </c>
      <c r="C147" s="15" t="s">
        <v>537</v>
      </c>
      <c r="D147" s="15" t="s">
        <v>18</v>
      </c>
      <c r="E147" s="16" t="s">
        <v>413</v>
      </c>
      <c r="F147" s="15" t="s">
        <v>537</v>
      </c>
      <c r="G147" s="15" t="s">
        <v>538</v>
      </c>
      <c r="H147" s="15" t="s">
        <v>22</v>
      </c>
      <c r="I147" s="17">
        <v>6001</v>
      </c>
      <c r="J147" s="15" t="s">
        <v>30</v>
      </c>
      <c r="K147" s="15">
        <v>1</v>
      </c>
      <c r="L147" s="15">
        <v>1</v>
      </c>
      <c r="M147" s="15">
        <v>1</v>
      </c>
      <c r="N147" s="15">
        <v>1</v>
      </c>
      <c r="O147" s="15">
        <v>4</v>
      </c>
      <c r="P147" s="15" t="s">
        <v>23</v>
      </c>
    </row>
    <row r="148" spans="1:16" s="15" customFormat="1" x14ac:dyDescent="0.25">
      <c r="A148" s="15">
        <v>328742</v>
      </c>
      <c r="B148" s="15" t="s">
        <v>539</v>
      </c>
      <c r="C148" s="15" t="s">
        <v>540</v>
      </c>
      <c r="D148" s="15" t="s">
        <v>18</v>
      </c>
      <c r="E148" s="16" t="s">
        <v>541</v>
      </c>
      <c r="F148" s="15" t="s">
        <v>540</v>
      </c>
      <c r="G148" s="15" t="s">
        <v>542</v>
      </c>
      <c r="H148" s="15" t="s">
        <v>22</v>
      </c>
      <c r="I148" s="17">
        <v>6001</v>
      </c>
      <c r="J148" s="15" t="s">
        <v>30</v>
      </c>
      <c r="K148" s="15">
        <v>15</v>
      </c>
      <c r="L148" s="15">
        <v>90</v>
      </c>
      <c r="M148" s="15">
        <v>45</v>
      </c>
      <c r="N148" s="15">
        <v>3</v>
      </c>
      <c r="O148" s="15">
        <v>153</v>
      </c>
      <c r="P148" s="15" t="s">
        <v>23</v>
      </c>
    </row>
    <row r="149" spans="1:16" s="15" customFormat="1" x14ac:dyDescent="0.25">
      <c r="A149" s="15">
        <v>328737</v>
      </c>
      <c r="B149" s="15" t="s">
        <v>543</v>
      </c>
      <c r="C149" s="15" t="s">
        <v>544</v>
      </c>
      <c r="D149" s="15" t="s">
        <v>18</v>
      </c>
      <c r="E149" s="16" t="s">
        <v>545</v>
      </c>
      <c r="F149" s="15" t="s">
        <v>546</v>
      </c>
      <c r="G149" s="15" t="s">
        <v>547</v>
      </c>
      <c r="H149" s="15" t="s">
        <v>22</v>
      </c>
      <c r="I149" s="17">
        <v>6001</v>
      </c>
      <c r="J149" s="15" t="s">
        <v>30</v>
      </c>
      <c r="K149" s="15">
        <v>6</v>
      </c>
      <c r="L149" s="15">
        <v>7</v>
      </c>
      <c r="M149" s="15">
        <v>12</v>
      </c>
      <c r="N149" s="15">
        <v>62</v>
      </c>
      <c r="O149" s="15">
        <v>87</v>
      </c>
      <c r="P149" s="15" t="s">
        <v>23</v>
      </c>
    </row>
    <row r="150" spans="1:16" s="15" customFormat="1" x14ac:dyDescent="0.25">
      <c r="A150" s="15">
        <v>358270</v>
      </c>
      <c r="B150" s="15" t="s">
        <v>548</v>
      </c>
      <c r="C150" s="15" t="s">
        <v>506</v>
      </c>
      <c r="D150" s="15" t="s">
        <v>18</v>
      </c>
      <c r="E150" s="16" t="s">
        <v>549</v>
      </c>
      <c r="F150" s="15" t="s">
        <v>550</v>
      </c>
      <c r="G150" s="15" t="s">
        <v>551</v>
      </c>
      <c r="H150" s="15" t="s">
        <v>22</v>
      </c>
      <c r="I150" s="17">
        <v>6001</v>
      </c>
      <c r="J150" s="15" t="s">
        <v>30</v>
      </c>
      <c r="K150" s="15">
        <v>9</v>
      </c>
      <c r="L150" s="15">
        <v>191</v>
      </c>
      <c r="M150" s="15">
        <v>90</v>
      </c>
      <c r="N150" s="15">
        <v>0</v>
      </c>
      <c r="O150" s="15">
        <v>290</v>
      </c>
      <c r="P150" s="15" t="s">
        <v>23</v>
      </c>
    </row>
    <row r="151" spans="1:16" s="15" customFormat="1" x14ac:dyDescent="0.25">
      <c r="A151" s="15">
        <v>358269</v>
      </c>
      <c r="B151" s="15" t="s">
        <v>548</v>
      </c>
      <c r="C151" s="15" t="s">
        <v>506</v>
      </c>
      <c r="D151" s="15" t="s">
        <v>18</v>
      </c>
      <c r="E151" s="16" t="s">
        <v>549</v>
      </c>
      <c r="F151" s="15" t="s">
        <v>552</v>
      </c>
      <c r="G151" s="15" t="s">
        <v>553</v>
      </c>
      <c r="H151" s="15" t="s">
        <v>22</v>
      </c>
      <c r="I151" s="17">
        <v>6001</v>
      </c>
      <c r="J151" s="15" t="s">
        <v>30</v>
      </c>
      <c r="K151" s="15">
        <v>39</v>
      </c>
      <c r="L151" s="15">
        <v>238</v>
      </c>
      <c r="M151" s="15">
        <v>117</v>
      </c>
      <c r="N151" s="15">
        <v>32</v>
      </c>
      <c r="O151" s="15">
        <v>426</v>
      </c>
      <c r="P151" s="15" t="s">
        <v>23</v>
      </c>
    </row>
    <row r="152" spans="1:16" s="15" customFormat="1" x14ac:dyDescent="0.25">
      <c r="A152" s="15">
        <v>328606</v>
      </c>
      <c r="B152" s="15" t="s">
        <v>554</v>
      </c>
      <c r="C152" s="15" t="s">
        <v>555</v>
      </c>
      <c r="D152" s="15" t="s">
        <v>18</v>
      </c>
      <c r="E152" s="16" t="s">
        <v>556</v>
      </c>
      <c r="F152" s="15" t="s">
        <v>557</v>
      </c>
      <c r="G152" s="15" t="s">
        <v>558</v>
      </c>
      <c r="H152" s="15" t="s">
        <v>22</v>
      </c>
      <c r="I152" s="17">
        <v>6001</v>
      </c>
      <c r="J152" s="15" t="s">
        <v>30</v>
      </c>
      <c r="K152" s="15">
        <v>3</v>
      </c>
      <c r="L152" s="15">
        <v>3</v>
      </c>
      <c r="M152" s="15">
        <v>2</v>
      </c>
      <c r="N152" s="15">
        <v>3</v>
      </c>
      <c r="O152" s="15">
        <v>11</v>
      </c>
      <c r="P152" s="15" t="s">
        <v>23</v>
      </c>
    </row>
    <row r="153" spans="1:16" s="15" customFormat="1" x14ac:dyDescent="0.25">
      <c r="A153" s="15">
        <v>328608</v>
      </c>
      <c r="B153" s="15" t="s">
        <v>559</v>
      </c>
      <c r="C153" s="15" t="s">
        <v>560</v>
      </c>
      <c r="D153" s="15" t="s">
        <v>18</v>
      </c>
      <c r="E153" s="16">
        <v>6001</v>
      </c>
      <c r="F153" s="15" t="s">
        <v>561</v>
      </c>
      <c r="G153" s="15" t="s">
        <v>562</v>
      </c>
      <c r="H153" s="15" t="s">
        <v>22</v>
      </c>
      <c r="I153" s="17">
        <v>6001</v>
      </c>
      <c r="J153" s="15" t="s">
        <v>30</v>
      </c>
      <c r="K153" s="15">
        <v>52</v>
      </c>
      <c r="L153" s="15">
        <v>49</v>
      </c>
      <c r="M153" s="15">
        <v>118</v>
      </c>
      <c r="N153" s="15">
        <v>44</v>
      </c>
      <c r="O153" s="15">
        <v>263</v>
      </c>
      <c r="P153" s="15" t="s">
        <v>23</v>
      </c>
    </row>
    <row r="154" spans="1:16" s="15" customFormat="1" x14ac:dyDescent="0.25">
      <c r="A154" s="15">
        <v>329952</v>
      </c>
      <c r="B154" s="15" t="s">
        <v>563</v>
      </c>
      <c r="C154" s="15" t="s">
        <v>564</v>
      </c>
      <c r="D154" s="15" t="s">
        <v>18</v>
      </c>
      <c r="E154" s="16" t="s">
        <v>565</v>
      </c>
      <c r="F154" s="15" t="s">
        <v>566</v>
      </c>
      <c r="G154" s="15" t="s">
        <v>567</v>
      </c>
      <c r="H154" s="15" t="s">
        <v>22</v>
      </c>
      <c r="I154" s="17">
        <v>6001</v>
      </c>
      <c r="J154" s="15" t="s">
        <v>30</v>
      </c>
      <c r="K154" s="15">
        <v>2</v>
      </c>
      <c r="L154" s="15">
        <v>3</v>
      </c>
      <c r="M154" s="15">
        <v>2</v>
      </c>
      <c r="N154" s="15">
        <v>9</v>
      </c>
      <c r="O154" s="15">
        <v>16</v>
      </c>
      <c r="P154" s="15" t="s">
        <v>130</v>
      </c>
    </row>
    <row r="155" spans="1:16" s="15" customFormat="1" x14ac:dyDescent="0.25">
      <c r="A155" s="15">
        <v>329953</v>
      </c>
      <c r="B155" s="15" t="s">
        <v>125</v>
      </c>
      <c r="C155" s="15" t="s">
        <v>568</v>
      </c>
      <c r="D155" s="15" t="s">
        <v>18</v>
      </c>
      <c r="E155" s="16" t="s">
        <v>127</v>
      </c>
      <c r="F155" s="15" t="s">
        <v>566</v>
      </c>
      <c r="G155" s="15" t="s">
        <v>569</v>
      </c>
      <c r="H155" s="15" t="s">
        <v>22</v>
      </c>
      <c r="I155" s="17">
        <v>6001</v>
      </c>
      <c r="J155" s="15" t="s">
        <v>30</v>
      </c>
      <c r="K155" s="15">
        <v>2</v>
      </c>
      <c r="L155" s="15">
        <v>2</v>
      </c>
      <c r="M155" s="15">
        <v>1</v>
      </c>
      <c r="N155" s="15">
        <v>1</v>
      </c>
      <c r="O155" s="15">
        <v>6</v>
      </c>
      <c r="P155" s="15" t="s">
        <v>130</v>
      </c>
    </row>
    <row r="156" spans="1:16" s="15" customFormat="1" x14ac:dyDescent="0.25">
      <c r="A156" s="15">
        <v>329954</v>
      </c>
      <c r="B156" s="15" t="s">
        <v>570</v>
      </c>
      <c r="C156" s="15" t="s">
        <v>564</v>
      </c>
      <c r="D156" s="15" t="s">
        <v>18</v>
      </c>
      <c r="E156" s="16" t="s">
        <v>565</v>
      </c>
      <c r="F156" s="15" t="s">
        <v>566</v>
      </c>
      <c r="G156" s="15" t="s">
        <v>571</v>
      </c>
      <c r="H156" s="15" t="s">
        <v>22</v>
      </c>
      <c r="I156" s="17">
        <v>6001</v>
      </c>
      <c r="J156" s="15" t="s">
        <v>30</v>
      </c>
      <c r="K156" s="15">
        <v>7</v>
      </c>
      <c r="L156" s="15">
        <v>9</v>
      </c>
      <c r="M156" s="15">
        <v>8</v>
      </c>
      <c r="N156" s="15">
        <v>8</v>
      </c>
      <c r="O156" s="15">
        <v>32</v>
      </c>
      <c r="P156" s="15" t="s">
        <v>130</v>
      </c>
    </row>
    <row r="157" spans="1:16" s="15" customFormat="1" x14ac:dyDescent="0.25">
      <c r="A157" s="15">
        <v>329955</v>
      </c>
      <c r="B157" s="15" t="s">
        <v>125</v>
      </c>
      <c r="C157" s="15" t="s">
        <v>126</v>
      </c>
      <c r="D157" s="15" t="s">
        <v>18</v>
      </c>
      <c r="E157" s="16" t="s">
        <v>127</v>
      </c>
      <c r="F157" s="15" t="s">
        <v>566</v>
      </c>
      <c r="G157" s="15" t="s">
        <v>572</v>
      </c>
      <c r="H157" s="15" t="s">
        <v>22</v>
      </c>
      <c r="I157" s="17">
        <v>6001</v>
      </c>
      <c r="J157" s="15" t="s">
        <v>30</v>
      </c>
      <c r="K157" s="15">
        <v>0</v>
      </c>
      <c r="L157" s="15">
        <v>1</v>
      </c>
      <c r="M157" s="15">
        <v>0</v>
      </c>
      <c r="N157" s="15">
        <v>0</v>
      </c>
      <c r="O157" s="15">
        <v>1</v>
      </c>
      <c r="P157" s="15" t="s">
        <v>130</v>
      </c>
    </row>
    <row r="158" spans="1:16" s="15" customFormat="1" x14ac:dyDescent="0.25">
      <c r="A158" s="15">
        <v>329957</v>
      </c>
      <c r="B158" s="15" t="s">
        <v>125</v>
      </c>
      <c r="C158" s="15" t="s">
        <v>568</v>
      </c>
      <c r="D158" s="15" t="s">
        <v>18</v>
      </c>
      <c r="E158" s="16" t="s">
        <v>127</v>
      </c>
      <c r="F158" s="15" t="s">
        <v>566</v>
      </c>
      <c r="G158" s="15" t="s">
        <v>573</v>
      </c>
      <c r="H158" s="15" t="s">
        <v>22</v>
      </c>
      <c r="I158" s="17">
        <v>6001</v>
      </c>
      <c r="J158" s="15" t="s">
        <v>30</v>
      </c>
      <c r="K158" s="15">
        <v>10</v>
      </c>
      <c r="L158" s="15">
        <v>8</v>
      </c>
      <c r="M158" s="15">
        <v>27</v>
      </c>
      <c r="N158" s="15">
        <v>16</v>
      </c>
      <c r="O158" s="15">
        <v>61</v>
      </c>
      <c r="P158" s="15" t="s">
        <v>130</v>
      </c>
    </row>
    <row r="159" spans="1:16" s="15" customFormat="1" x14ac:dyDescent="0.25">
      <c r="A159" s="15">
        <v>350531</v>
      </c>
      <c r="B159" s="15" t="s">
        <v>125</v>
      </c>
      <c r="C159" s="15" t="s">
        <v>568</v>
      </c>
      <c r="D159" s="15" t="s">
        <v>18</v>
      </c>
      <c r="E159" s="16" t="s">
        <v>127</v>
      </c>
      <c r="F159" s="15" t="s">
        <v>566</v>
      </c>
      <c r="G159" s="15" t="s">
        <v>574</v>
      </c>
      <c r="H159" s="15" t="s">
        <v>22</v>
      </c>
      <c r="I159" s="17">
        <v>6001</v>
      </c>
      <c r="J159" s="15" t="s">
        <v>30</v>
      </c>
      <c r="K159" s="15">
        <v>0</v>
      </c>
      <c r="L159" s="15">
        <v>1</v>
      </c>
      <c r="M159" s="15">
        <v>0</v>
      </c>
      <c r="N159" s="15">
        <v>0</v>
      </c>
      <c r="O159" s="15">
        <v>1</v>
      </c>
      <c r="P159" s="15" t="s">
        <v>130</v>
      </c>
    </row>
    <row r="160" spans="1:16" s="15" customFormat="1" x14ac:dyDescent="0.25">
      <c r="A160" s="15">
        <v>328609</v>
      </c>
      <c r="B160" s="15" t="s">
        <v>575</v>
      </c>
      <c r="C160" s="15" t="s">
        <v>576</v>
      </c>
      <c r="D160" s="15" t="s">
        <v>18</v>
      </c>
      <c r="E160" s="16" t="s">
        <v>577</v>
      </c>
      <c r="F160" s="15" t="s">
        <v>578</v>
      </c>
      <c r="G160" s="15" t="s">
        <v>579</v>
      </c>
      <c r="H160" s="15" t="s">
        <v>22</v>
      </c>
      <c r="I160" s="17">
        <v>6001</v>
      </c>
      <c r="J160" s="15" t="s">
        <v>30</v>
      </c>
      <c r="K160" s="15">
        <v>0</v>
      </c>
      <c r="L160" s="15">
        <v>0</v>
      </c>
      <c r="M160" s="15">
        <v>0</v>
      </c>
      <c r="N160" s="15">
        <v>0</v>
      </c>
      <c r="O160" s="15">
        <v>0</v>
      </c>
      <c r="P160" s="15" t="s">
        <v>580</v>
      </c>
    </row>
    <row r="161" spans="1:16" s="15" customFormat="1" x14ac:dyDescent="0.25">
      <c r="A161" s="15">
        <v>330219</v>
      </c>
      <c r="B161" s="15" t="s">
        <v>581</v>
      </c>
      <c r="C161" s="15" t="s">
        <v>582</v>
      </c>
      <c r="D161" s="15" t="s">
        <v>18</v>
      </c>
      <c r="E161" s="16" t="s">
        <v>583</v>
      </c>
      <c r="F161" s="15" t="s">
        <v>584</v>
      </c>
      <c r="G161" s="15" t="s">
        <v>585</v>
      </c>
      <c r="H161" s="15" t="s">
        <v>22</v>
      </c>
      <c r="I161" s="17">
        <v>6001</v>
      </c>
      <c r="J161" s="15" t="s">
        <v>30</v>
      </c>
      <c r="K161" s="15">
        <v>14</v>
      </c>
      <c r="L161" s="15">
        <v>44</v>
      </c>
      <c r="M161" s="15">
        <v>5</v>
      </c>
      <c r="N161" s="15">
        <v>4</v>
      </c>
      <c r="O161" s="15">
        <v>67</v>
      </c>
      <c r="P161" s="15" t="s">
        <v>130</v>
      </c>
    </row>
    <row r="162" spans="1:16" s="15" customFormat="1" x14ac:dyDescent="0.25">
      <c r="A162" s="15">
        <v>330238</v>
      </c>
      <c r="B162" s="15" t="s">
        <v>586</v>
      </c>
      <c r="C162" s="15" t="s">
        <v>587</v>
      </c>
      <c r="D162" s="15" t="s">
        <v>18</v>
      </c>
      <c r="E162" s="16" t="s">
        <v>588</v>
      </c>
      <c r="F162" s="15" t="s">
        <v>589</v>
      </c>
      <c r="G162" s="15" t="s">
        <v>590</v>
      </c>
      <c r="H162" s="15" t="s">
        <v>22</v>
      </c>
      <c r="I162" s="17">
        <v>6001</v>
      </c>
      <c r="J162" s="15" t="s">
        <v>30</v>
      </c>
      <c r="K162" s="15">
        <v>57</v>
      </c>
      <c r="L162" s="15">
        <v>46</v>
      </c>
      <c r="M162" s="15">
        <v>34</v>
      </c>
      <c r="N162" s="15">
        <v>20</v>
      </c>
      <c r="O162" s="15">
        <v>157</v>
      </c>
      <c r="P162" s="15" t="s">
        <v>130</v>
      </c>
    </row>
    <row r="163" spans="1:16" s="15" customFormat="1" x14ac:dyDescent="0.25">
      <c r="A163" s="15">
        <v>330239</v>
      </c>
      <c r="B163" s="15" t="s">
        <v>591</v>
      </c>
      <c r="C163" s="15" t="s">
        <v>587</v>
      </c>
      <c r="D163" s="15" t="s">
        <v>18</v>
      </c>
      <c r="E163" s="16" t="s">
        <v>588</v>
      </c>
      <c r="F163" s="15" t="s">
        <v>589</v>
      </c>
      <c r="G163" s="15" t="s">
        <v>592</v>
      </c>
      <c r="H163" s="15" t="s">
        <v>22</v>
      </c>
      <c r="I163" s="17">
        <v>6001</v>
      </c>
      <c r="J163" s="15" t="s">
        <v>30</v>
      </c>
      <c r="K163" s="15">
        <v>72</v>
      </c>
      <c r="L163" s="15">
        <v>148</v>
      </c>
      <c r="M163" s="15">
        <v>33</v>
      </c>
      <c r="N163" s="15">
        <v>0</v>
      </c>
      <c r="O163" s="15">
        <v>253</v>
      </c>
      <c r="P163" s="15" t="s">
        <v>130</v>
      </c>
    </row>
    <row r="164" spans="1:16" s="15" customFormat="1" x14ac:dyDescent="0.25">
      <c r="A164" s="15">
        <v>333292</v>
      </c>
      <c r="B164" s="15" t="s">
        <v>593</v>
      </c>
      <c r="C164" s="15" t="s">
        <v>594</v>
      </c>
      <c r="D164" s="15" t="s">
        <v>18</v>
      </c>
      <c r="E164" s="16" t="s">
        <v>595</v>
      </c>
      <c r="F164" s="15" t="s">
        <v>596</v>
      </c>
      <c r="G164" s="15" t="s">
        <v>597</v>
      </c>
      <c r="H164" s="15" t="s">
        <v>22</v>
      </c>
      <c r="I164" s="17">
        <v>6001</v>
      </c>
      <c r="J164" s="15" t="s">
        <v>30</v>
      </c>
      <c r="K164" s="15">
        <v>0</v>
      </c>
      <c r="L164" s="15">
        <v>315</v>
      </c>
      <c r="M164" s="15">
        <v>70</v>
      </c>
      <c r="N164" s="15">
        <v>0</v>
      </c>
      <c r="O164" s="15">
        <v>385</v>
      </c>
      <c r="P164" s="15" t="s">
        <v>598</v>
      </c>
    </row>
    <row r="165" spans="1:16" s="15" customFormat="1" x14ac:dyDescent="0.25">
      <c r="A165" s="15">
        <v>333560</v>
      </c>
      <c r="B165" s="15" t="s">
        <v>599</v>
      </c>
      <c r="C165" s="15" t="s">
        <v>600</v>
      </c>
      <c r="D165" s="15" t="s">
        <v>18</v>
      </c>
      <c r="E165" s="16" t="s">
        <v>601</v>
      </c>
      <c r="F165" s="15" t="s">
        <v>602</v>
      </c>
      <c r="G165" s="15" t="s">
        <v>603</v>
      </c>
      <c r="H165" s="15" t="s">
        <v>22</v>
      </c>
      <c r="I165" s="17">
        <v>6001</v>
      </c>
      <c r="J165" s="15" t="s">
        <v>30</v>
      </c>
      <c r="K165" s="15">
        <v>197</v>
      </c>
      <c r="L165" s="15">
        <v>413</v>
      </c>
      <c r="M165" s="15">
        <v>314</v>
      </c>
      <c r="N165" s="15">
        <v>104</v>
      </c>
      <c r="O165" s="15">
        <v>1028</v>
      </c>
      <c r="P165" s="15" t="s">
        <v>23</v>
      </c>
    </row>
    <row r="166" spans="1:16" s="15" customFormat="1" x14ac:dyDescent="0.25">
      <c r="A166" s="15">
        <v>333563</v>
      </c>
      <c r="B166" s="15" t="s">
        <v>604</v>
      </c>
      <c r="C166" s="15" t="s">
        <v>594</v>
      </c>
      <c r="D166" s="15" t="s">
        <v>18</v>
      </c>
      <c r="E166" s="16" t="s">
        <v>595</v>
      </c>
      <c r="F166" s="15" t="s">
        <v>605</v>
      </c>
      <c r="G166" s="15" t="s">
        <v>606</v>
      </c>
      <c r="H166" s="15" t="s">
        <v>22</v>
      </c>
      <c r="I166" s="17">
        <v>6001</v>
      </c>
      <c r="J166" s="15" t="s">
        <v>30</v>
      </c>
      <c r="K166" s="15">
        <v>764</v>
      </c>
      <c r="L166" s="15">
        <v>1342</v>
      </c>
      <c r="M166" s="15">
        <v>946</v>
      </c>
      <c r="N166" s="15">
        <v>679</v>
      </c>
      <c r="O166" s="15">
        <v>3731</v>
      </c>
      <c r="P166" s="15" t="s">
        <v>23</v>
      </c>
    </row>
    <row r="167" spans="1:16" s="15" customFormat="1" x14ac:dyDescent="0.25">
      <c r="A167" s="15">
        <v>330215</v>
      </c>
      <c r="B167" s="15" t="s">
        <v>607</v>
      </c>
      <c r="C167" s="15" t="s">
        <v>608</v>
      </c>
      <c r="D167" s="15" t="s">
        <v>18</v>
      </c>
      <c r="E167" s="16" t="s">
        <v>583</v>
      </c>
      <c r="F167" s="15" t="s">
        <v>609</v>
      </c>
      <c r="G167" s="15" t="s">
        <v>610</v>
      </c>
      <c r="H167" s="15" t="s">
        <v>22</v>
      </c>
      <c r="I167" s="17">
        <v>6001</v>
      </c>
      <c r="J167" s="15" t="s">
        <v>30</v>
      </c>
      <c r="K167" s="15">
        <v>24</v>
      </c>
      <c r="L167" s="15">
        <v>24</v>
      </c>
      <c r="M167" s="15">
        <v>26</v>
      </c>
      <c r="N167" s="15">
        <v>21</v>
      </c>
      <c r="O167" s="15">
        <v>95</v>
      </c>
      <c r="P167" s="15" t="s">
        <v>130</v>
      </c>
    </row>
    <row r="168" spans="1:16" s="15" customFormat="1" x14ac:dyDescent="0.25">
      <c r="A168" s="15">
        <v>359211</v>
      </c>
      <c r="B168" s="15" t="s">
        <v>611</v>
      </c>
      <c r="C168" s="15" t="s">
        <v>612</v>
      </c>
      <c r="D168" s="15" t="s">
        <v>18</v>
      </c>
      <c r="E168" s="16">
        <v>6001</v>
      </c>
      <c r="F168" s="15" t="s">
        <v>609</v>
      </c>
      <c r="G168" s="15" t="s">
        <v>613</v>
      </c>
      <c r="H168" s="15" t="s">
        <v>22</v>
      </c>
      <c r="I168" s="17">
        <v>6001</v>
      </c>
      <c r="J168" s="15" t="s">
        <v>30</v>
      </c>
      <c r="K168" s="15">
        <v>12</v>
      </c>
      <c r="L168" s="15">
        <v>18</v>
      </c>
      <c r="M168" s="15">
        <v>15</v>
      </c>
      <c r="N168" s="15">
        <v>10</v>
      </c>
      <c r="O168" s="15">
        <v>55</v>
      </c>
      <c r="P168" s="15" t="s">
        <v>130</v>
      </c>
    </row>
    <row r="169" spans="1:16" s="15" customFormat="1" x14ac:dyDescent="0.25">
      <c r="A169" s="15">
        <v>330217</v>
      </c>
      <c r="B169" s="15" t="s">
        <v>614</v>
      </c>
      <c r="C169" s="15" t="s">
        <v>615</v>
      </c>
      <c r="D169" s="15" t="s">
        <v>18</v>
      </c>
      <c r="E169" s="16" t="s">
        <v>583</v>
      </c>
      <c r="F169" s="15" t="s">
        <v>609</v>
      </c>
      <c r="G169" s="15" t="s">
        <v>616</v>
      </c>
      <c r="H169" s="15" t="s">
        <v>22</v>
      </c>
      <c r="I169" s="17">
        <v>6001</v>
      </c>
      <c r="J169" s="15" t="s">
        <v>30</v>
      </c>
      <c r="K169" s="15">
        <v>1</v>
      </c>
      <c r="L169" s="15">
        <v>1</v>
      </c>
      <c r="M169" s="15">
        <v>0</v>
      </c>
      <c r="N169" s="15">
        <v>1</v>
      </c>
      <c r="O169" s="15">
        <v>3</v>
      </c>
      <c r="P169" s="15" t="s">
        <v>130</v>
      </c>
    </row>
    <row r="170" spans="1:16" s="15" customFormat="1" x14ac:dyDescent="0.25">
      <c r="A170" s="15">
        <v>328474</v>
      </c>
      <c r="B170" s="15" t="s">
        <v>617</v>
      </c>
      <c r="C170" s="15" t="s">
        <v>618</v>
      </c>
      <c r="D170" s="15" t="s">
        <v>18</v>
      </c>
      <c r="E170" s="16" t="s">
        <v>619</v>
      </c>
      <c r="F170" s="15" t="s">
        <v>620</v>
      </c>
      <c r="G170" s="15" t="s">
        <v>621</v>
      </c>
      <c r="H170" s="15" t="s">
        <v>22</v>
      </c>
      <c r="I170" s="17">
        <v>6001</v>
      </c>
      <c r="J170" s="15" t="s">
        <v>30</v>
      </c>
      <c r="K170" s="15">
        <v>2</v>
      </c>
      <c r="L170" s="15">
        <v>2</v>
      </c>
      <c r="M170" s="15">
        <v>2</v>
      </c>
      <c r="N170" s="15">
        <v>3</v>
      </c>
      <c r="O170" s="15">
        <v>9</v>
      </c>
      <c r="P170" s="15" t="s">
        <v>23</v>
      </c>
    </row>
    <row r="171" spans="1:16" s="15" customFormat="1" x14ac:dyDescent="0.25">
      <c r="A171" s="15">
        <v>328503</v>
      </c>
      <c r="B171" s="15" t="s">
        <v>622</v>
      </c>
      <c r="C171" s="15" t="s">
        <v>623</v>
      </c>
      <c r="D171" s="15" t="s">
        <v>18</v>
      </c>
      <c r="E171" s="16" t="s">
        <v>624</v>
      </c>
      <c r="F171" s="15" t="s">
        <v>625</v>
      </c>
      <c r="G171" s="15" t="s">
        <v>626</v>
      </c>
      <c r="H171" s="15" t="s">
        <v>22</v>
      </c>
      <c r="I171" s="17">
        <v>6001</v>
      </c>
      <c r="J171" s="15" t="s">
        <v>30</v>
      </c>
      <c r="K171" s="15">
        <v>7</v>
      </c>
      <c r="L171" s="15">
        <v>5</v>
      </c>
      <c r="M171" s="15">
        <v>9</v>
      </c>
      <c r="N171" s="15">
        <v>7</v>
      </c>
      <c r="O171" s="15">
        <v>28</v>
      </c>
      <c r="P171" s="15" t="s">
        <v>23</v>
      </c>
    </row>
    <row r="172" spans="1:16" s="15" customFormat="1" x14ac:dyDescent="0.25">
      <c r="A172" s="15">
        <v>328475</v>
      </c>
      <c r="B172" s="15" t="s">
        <v>627</v>
      </c>
      <c r="C172" s="15" t="s">
        <v>628</v>
      </c>
      <c r="D172" s="15" t="s">
        <v>18</v>
      </c>
      <c r="E172" s="16" t="s">
        <v>629</v>
      </c>
      <c r="F172" s="15" t="s">
        <v>630</v>
      </c>
      <c r="G172" s="15" t="s">
        <v>631</v>
      </c>
      <c r="H172" s="15" t="s">
        <v>22</v>
      </c>
      <c r="I172" s="17">
        <v>6001</v>
      </c>
      <c r="J172" s="15" t="s">
        <v>30</v>
      </c>
      <c r="K172" s="15">
        <v>25</v>
      </c>
      <c r="L172" s="15">
        <v>26</v>
      </c>
      <c r="M172" s="15">
        <v>25</v>
      </c>
      <c r="N172" s="15">
        <v>27</v>
      </c>
      <c r="O172" s="15">
        <v>103</v>
      </c>
      <c r="P172" s="15" t="s">
        <v>23</v>
      </c>
    </row>
    <row r="173" spans="1:16" s="15" customFormat="1" x14ac:dyDescent="0.25">
      <c r="A173" s="15">
        <v>328478</v>
      </c>
      <c r="B173" s="15" t="s">
        <v>632</v>
      </c>
      <c r="C173" s="15" t="s">
        <v>633</v>
      </c>
      <c r="D173" s="15" t="s">
        <v>18</v>
      </c>
      <c r="E173" s="16" t="s">
        <v>634</v>
      </c>
      <c r="F173" s="15" t="s">
        <v>635</v>
      </c>
      <c r="G173" s="15" t="s">
        <v>636</v>
      </c>
      <c r="H173" s="15" t="s">
        <v>22</v>
      </c>
      <c r="I173" s="17">
        <v>6001</v>
      </c>
      <c r="J173" s="15" t="s">
        <v>30</v>
      </c>
      <c r="K173" s="15">
        <v>0</v>
      </c>
      <c r="L173" s="15">
        <v>0</v>
      </c>
      <c r="M173" s="15">
        <v>0</v>
      </c>
      <c r="N173" s="15">
        <v>0</v>
      </c>
      <c r="O173" s="15">
        <v>0</v>
      </c>
      <c r="P173" s="15" t="s">
        <v>637</v>
      </c>
    </row>
    <row r="174" spans="1:16" s="15" customFormat="1" x14ac:dyDescent="0.25">
      <c r="A174" s="15">
        <v>328504</v>
      </c>
      <c r="B174" s="15" t="s">
        <v>638</v>
      </c>
      <c r="C174" s="15" t="s">
        <v>639</v>
      </c>
      <c r="D174" s="15" t="s">
        <v>18</v>
      </c>
      <c r="E174" s="16" t="s">
        <v>640</v>
      </c>
      <c r="F174" s="15" t="s">
        <v>641</v>
      </c>
      <c r="G174" s="15" t="s">
        <v>642</v>
      </c>
      <c r="H174" s="15" t="s">
        <v>22</v>
      </c>
      <c r="I174" s="17">
        <v>6001</v>
      </c>
      <c r="J174" s="15" t="s">
        <v>30</v>
      </c>
      <c r="K174" s="15">
        <v>3</v>
      </c>
      <c r="L174" s="15">
        <v>3</v>
      </c>
      <c r="M174" s="15">
        <v>3</v>
      </c>
      <c r="N174" s="15">
        <v>5</v>
      </c>
      <c r="O174" s="15">
        <v>14</v>
      </c>
      <c r="P174" s="15" t="s">
        <v>23</v>
      </c>
    </row>
    <row r="175" spans="1:16" s="15" customFormat="1" x14ac:dyDescent="0.25">
      <c r="A175" s="15">
        <v>328479</v>
      </c>
      <c r="B175" s="15" t="s">
        <v>643</v>
      </c>
      <c r="C175" s="15" t="s">
        <v>644</v>
      </c>
      <c r="D175" s="15" t="s">
        <v>18</v>
      </c>
      <c r="E175" s="16" t="s">
        <v>344</v>
      </c>
      <c r="F175" s="15" t="s">
        <v>645</v>
      </c>
      <c r="G175" s="15" t="s">
        <v>646</v>
      </c>
      <c r="H175" s="15" t="s">
        <v>22</v>
      </c>
      <c r="I175" s="17">
        <v>6001</v>
      </c>
      <c r="J175" s="15" t="s">
        <v>30</v>
      </c>
      <c r="K175" s="15">
        <v>1</v>
      </c>
      <c r="L175" s="15">
        <v>1</v>
      </c>
      <c r="M175" s="15">
        <v>1</v>
      </c>
      <c r="N175" s="15">
        <v>1</v>
      </c>
      <c r="O175" s="15">
        <v>4</v>
      </c>
      <c r="P175" s="15" t="s">
        <v>23</v>
      </c>
    </row>
    <row r="176" spans="1:16" s="15" customFormat="1" x14ac:dyDescent="0.25">
      <c r="A176" s="15">
        <v>333215</v>
      </c>
      <c r="B176" s="15" t="s">
        <v>647</v>
      </c>
      <c r="C176" s="15" t="s">
        <v>648</v>
      </c>
      <c r="D176" s="15" t="s">
        <v>18</v>
      </c>
      <c r="E176" s="16" t="s">
        <v>649</v>
      </c>
      <c r="F176" s="15" t="s">
        <v>650</v>
      </c>
      <c r="G176" s="15" t="s">
        <v>651</v>
      </c>
      <c r="H176" s="15" t="s">
        <v>22</v>
      </c>
      <c r="I176" s="17">
        <v>6001</v>
      </c>
      <c r="J176" s="15" t="s">
        <v>30</v>
      </c>
      <c r="K176" s="15">
        <v>3</v>
      </c>
      <c r="L176" s="15">
        <v>3</v>
      </c>
      <c r="M176" s="15">
        <v>5</v>
      </c>
      <c r="N176" s="15">
        <v>3</v>
      </c>
      <c r="O176" s="15">
        <v>14</v>
      </c>
      <c r="P176" s="15" t="s">
        <v>23</v>
      </c>
    </row>
    <row r="177" spans="1:16" s="15" customFormat="1" x14ac:dyDescent="0.25">
      <c r="A177" s="15">
        <v>333216</v>
      </c>
      <c r="B177" s="15" t="s">
        <v>652</v>
      </c>
      <c r="C177" s="15" t="s">
        <v>653</v>
      </c>
      <c r="D177" s="15" t="s">
        <v>18</v>
      </c>
      <c r="E177" s="16">
        <v>6001</v>
      </c>
      <c r="F177" s="15" t="s">
        <v>653</v>
      </c>
      <c r="G177" s="15" t="s">
        <v>654</v>
      </c>
      <c r="H177" s="15" t="s">
        <v>22</v>
      </c>
      <c r="I177" s="17">
        <v>6001</v>
      </c>
      <c r="J177" s="15" t="s">
        <v>30</v>
      </c>
      <c r="K177" s="15">
        <v>343</v>
      </c>
      <c r="L177" s="15">
        <v>347</v>
      </c>
      <c r="M177" s="15">
        <v>331</v>
      </c>
      <c r="N177" s="15">
        <v>276</v>
      </c>
      <c r="O177" s="15">
        <v>1297</v>
      </c>
      <c r="P177" s="15" t="s">
        <v>23</v>
      </c>
    </row>
    <row r="178" spans="1:16" s="15" customFormat="1" x14ac:dyDescent="0.25">
      <c r="A178" s="15">
        <v>333217</v>
      </c>
      <c r="B178" s="15" t="s">
        <v>655</v>
      </c>
      <c r="C178" s="15" t="s">
        <v>656</v>
      </c>
      <c r="D178" s="15" t="s">
        <v>18</v>
      </c>
      <c r="E178" s="16" t="s">
        <v>657</v>
      </c>
      <c r="F178" s="15" t="s">
        <v>658</v>
      </c>
      <c r="G178" s="15" t="s">
        <v>659</v>
      </c>
      <c r="H178" s="15" t="s">
        <v>22</v>
      </c>
      <c r="I178" s="17">
        <v>6001</v>
      </c>
      <c r="J178" s="15" t="s">
        <v>30</v>
      </c>
      <c r="K178" s="15">
        <v>107</v>
      </c>
      <c r="L178" s="15">
        <v>75</v>
      </c>
      <c r="M178" s="15">
        <v>79</v>
      </c>
      <c r="N178" s="15">
        <v>46</v>
      </c>
      <c r="O178" s="15">
        <v>307</v>
      </c>
      <c r="P178" s="15" t="s">
        <v>23</v>
      </c>
    </row>
    <row r="179" spans="1:16" s="15" customFormat="1" x14ac:dyDescent="0.25">
      <c r="A179" s="15">
        <v>353158</v>
      </c>
      <c r="B179" s="15" t="s">
        <v>660</v>
      </c>
      <c r="C179" s="15" t="s">
        <v>633</v>
      </c>
      <c r="D179" s="15" t="s">
        <v>18</v>
      </c>
      <c r="E179" s="16">
        <v>6001</v>
      </c>
      <c r="F179" s="15" t="s">
        <v>661</v>
      </c>
      <c r="G179" s="15" t="s">
        <v>662</v>
      </c>
      <c r="H179" s="15" t="s">
        <v>22</v>
      </c>
      <c r="I179" s="17">
        <v>6001</v>
      </c>
      <c r="J179" s="15" t="s">
        <v>30</v>
      </c>
      <c r="K179" s="15">
        <v>29</v>
      </c>
      <c r="L179" s="15">
        <v>42</v>
      </c>
      <c r="M179" s="15">
        <v>22</v>
      </c>
      <c r="N179" s="15">
        <v>170</v>
      </c>
      <c r="O179" s="15">
        <v>263</v>
      </c>
      <c r="P179" s="15" t="s">
        <v>23</v>
      </c>
    </row>
    <row r="180" spans="1:16" s="15" customFormat="1" x14ac:dyDescent="0.25">
      <c r="A180" s="15">
        <v>328481</v>
      </c>
      <c r="B180" s="15" t="s">
        <v>663</v>
      </c>
      <c r="C180" s="15" t="s">
        <v>664</v>
      </c>
      <c r="D180" s="15" t="s">
        <v>18</v>
      </c>
      <c r="E180" s="16" t="s">
        <v>344</v>
      </c>
      <c r="F180" s="15" t="s">
        <v>665</v>
      </c>
      <c r="G180" s="15" t="s">
        <v>666</v>
      </c>
      <c r="H180" s="15" t="s">
        <v>22</v>
      </c>
      <c r="I180" s="17">
        <v>6001</v>
      </c>
      <c r="J180" s="15" t="s">
        <v>30</v>
      </c>
      <c r="K180" s="15">
        <v>16</v>
      </c>
      <c r="L180" s="15">
        <v>17</v>
      </c>
      <c r="M180" s="15">
        <v>13</v>
      </c>
      <c r="N180" s="15">
        <v>12</v>
      </c>
      <c r="O180" s="15">
        <v>58</v>
      </c>
      <c r="P180" s="15" t="s">
        <v>23</v>
      </c>
    </row>
    <row r="181" spans="1:16" s="15" customFormat="1" x14ac:dyDescent="0.25">
      <c r="A181" s="15">
        <v>328510</v>
      </c>
      <c r="B181" s="15" t="s">
        <v>667</v>
      </c>
      <c r="C181" s="15" t="s">
        <v>668</v>
      </c>
      <c r="D181" s="15" t="s">
        <v>18</v>
      </c>
      <c r="E181" s="16" t="s">
        <v>669</v>
      </c>
      <c r="F181" s="15" t="s">
        <v>670</v>
      </c>
      <c r="G181" s="15" t="s">
        <v>671</v>
      </c>
      <c r="H181" s="15" t="s">
        <v>22</v>
      </c>
      <c r="I181" s="17">
        <v>6001</v>
      </c>
      <c r="J181" s="15" t="s">
        <v>30</v>
      </c>
      <c r="K181" s="15">
        <v>91</v>
      </c>
      <c r="L181" s="15">
        <v>105</v>
      </c>
      <c r="M181" s="15">
        <v>81</v>
      </c>
      <c r="N181" s="15">
        <v>77</v>
      </c>
      <c r="O181" s="15">
        <v>354</v>
      </c>
      <c r="P181" s="15" t="s">
        <v>23</v>
      </c>
    </row>
    <row r="182" spans="1:16" s="15" customFormat="1" x14ac:dyDescent="0.25">
      <c r="A182" s="15">
        <v>328512</v>
      </c>
      <c r="B182" s="15" t="s">
        <v>672</v>
      </c>
      <c r="C182" s="15" t="s">
        <v>673</v>
      </c>
      <c r="D182" s="15" t="s">
        <v>18</v>
      </c>
      <c r="E182" s="16" t="s">
        <v>669</v>
      </c>
      <c r="F182" s="15" t="s">
        <v>674</v>
      </c>
      <c r="G182" s="15" t="s">
        <v>675</v>
      </c>
      <c r="H182" s="15" t="s">
        <v>22</v>
      </c>
      <c r="I182" s="17">
        <v>6001</v>
      </c>
      <c r="J182" s="15" t="s">
        <v>30</v>
      </c>
      <c r="K182" s="15">
        <v>6</v>
      </c>
      <c r="L182" s="15">
        <v>9</v>
      </c>
      <c r="M182" s="15">
        <v>5</v>
      </c>
      <c r="N182" s="15">
        <v>6</v>
      </c>
      <c r="O182" s="15">
        <v>26</v>
      </c>
      <c r="P182" s="15" t="s">
        <v>23</v>
      </c>
    </row>
    <row r="183" spans="1:16" s="15" customFormat="1" x14ac:dyDescent="0.25">
      <c r="A183" s="15">
        <v>332996</v>
      </c>
      <c r="B183" s="15" t="s">
        <v>676</v>
      </c>
      <c r="C183" s="15" t="s">
        <v>677</v>
      </c>
      <c r="D183" s="15" t="s">
        <v>18</v>
      </c>
      <c r="E183" s="16" t="s">
        <v>678</v>
      </c>
      <c r="F183" s="15" t="s">
        <v>679</v>
      </c>
      <c r="G183" s="15" t="s">
        <v>680</v>
      </c>
      <c r="H183" s="15" t="s">
        <v>22</v>
      </c>
      <c r="I183" s="17">
        <v>6001</v>
      </c>
      <c r="J183" s="15" t="s">
        <v>30</v>
      </c>
      <c r="K183" s="15">
        <v>296</v>
      </c>
      <c r="L183" s="15">
        <v>349</v>
      </c>
      <c r="M183" s="15">
        <v>339</v>
      </c>
      <c r="N183" s="15">
        <v>271</v>
      </c>
      <c r="O183" s="15">
        <v>1255</v>
      </c>
      <c r="P183" s="15" t="s">
        <v>23</v>
      </c>
    </row>
    <row r="184" spans="1:16" s="15" customFormat="1" x14ac:dyDescent="0.25">
      <c r="A184" s="15">
        <v>333231</v>
      </c>
      <c r="B184" s="15" t="s">
        <v>681</v>
      </c>
      <c r="C184" s="15" t="s">
        <v>682</v>
      </c>
      <c r="D184" s="15" t="s">
        <v>18</v>
      </c>
      <c r="E184" s="16" t="s">
        <v>683</v>
      </c>
      <c r="F184" s="15" t="s">
        <v>684</v>
      </c>
      <c r="G184" s="15" t="s">
        <v>685</v>
      </c>
      <c r="H184" s="15" t="s">
        <v>22</v>
      </c>
      <c r="I184" s="17">
        <v>6001</v>
      </c>
      <c r="J184" s="15" t="s">
        <v>30</v>
      </c>
      <c r="K184" s="15">
        <v>50</v>
      </c>
      <c r="L184" s="15">
        <v>110</v>
      </c>
      <c r="M184" s="15">
        <v>103</v>
      </c>
      <c r="N184" s="15">
        <v>36</v>
      </c>
      <c r="O184" s="15">
        <v>299</v>
      </c>
      <c r="P184" s="15" t="s">
        <v>23</v>
      </c>
    </row>
    <row r="185" spans="1:16" s="15" customFormat="1" x14ac:dyDescent="0.25">
      <c r="A185" s="15">
        <v>328471</v>
      </c>
      <c r="B185" s="15" t="s">
        <v>686</v>
      </c>
      <c r="C185" s="15" t="s">
        <v>687</v>
      </c>
      <c r="D185" s="15" t="s">
        <v>18</v>
      </c>
      <c r="E185" s="16" t="s">
        <v>688</v>
      </c>
      <c r="F185" s="15" t="s">
        <v>689</v>
      </c>
      <c r="G185" s="15" t="s">
        <v>690</v>
      </c>
      <c r="H185" s="15" t="s">
        <v>22</v>
      </c>
      <c r="I185" s="17">
        <v>6001</v>
      </c>
      <c r="J185" s="15" t="s">
        <v>30</v>
      </c>
      <c r="K185" s="15">
        <v>2</v>
      </c>
      <c r="L185" s="15">
        <v>1</v>
      </c>
      <c r="M185" s="15">
        <v>2</v>
      </c>
      <c r="N185" s="15">
        <v>2</v>
      </c>
      <c r="O185" s="15">
        <v>7</v>
      </c>
      <c r="P185" s="15" t="s">
        <v>23</v>
      </c>
    </row>
    <row r="186" spans="1:16" s="15" customFormat="1" x14ac:dyDescent="0.25">
      <c r="A186" s="15">
        <v>333235</v>
      </c>
      <c r="B186" s="15" t="s">
        <v>691</v>
      </c>
      <c r="C186" s="15" t="s">
        <v>692</v>
      </c>
      <c r="D186" s="15" t="s">
        <v>18</v>
      </c>
      <c r="E186" s="16" t="s">
        <v>693</v>
      </c>
      <c r="F186" s="15" t="s">
        <v>694</v>
      </c>
      <c r="G186" s="15" t="s">
        <v>695</v>
      </c>
      <c r="H186" s="15" t="s">
        <v>22</v>
      </c>
      <c r="I186" s="17">
        <v>6001</v>
      </c>
      <c r="J186" s="15" t="s">
        <v>30</v>
      </c>
      <c r="K186" s="15">
        <v>39</v>
      </c>
      <c r="L186" s="15">
        <v>98</v>
      </c>
      <c r="M186" s="15">
        <v>43</v>
      </c>
      <c r="N186" s="15">
        <v>31</v>
      </c>
      <c r="O186" s="15">
        <v>211</v>
      </c>
      <c r="P186" s="15" t="s">
        <v>23</v>
      </c>
    </row>
    <row r="187" spans="1:16" s="15" customFormat="1" x14ac:dyDescent="0.25">
      <c r="A187" s="15">
        <v>335393</v>
      </c>
      <c r="B187" s="15" t="s">
        <v>696</v>
      </c>
      <c r="C187" s="15" t="s">
        <v>697</v>
      </c>
      <c r="D187" s="15" t="s">
        <v>18</v>
      </c>
      <c r="E187" s="16">
        <v>6001</v>
      </c>
      <c r="F187" s="15" t="s">
        <v>697</v>
      </c>
      <c r="G187" s="15" t="s">
        <v>698</v>
      </c>
      <c r="H187" s="15" t="s">
        <v>22</v>
      </c>
      <c r="I187" s="17">
        <v>6001</v>
      </c>
      <c r="J187" s="15" t="s">
        <v>30</v>
      </c>
      <c r="K187" s="15">
        <v>4</v>
      </c>
      <c r="L187" s="15">
        <v>6</v>
      </c>
      <c r="M187" s="15">
        <v>3</v>
      </c>
      <c r="N187" s="15">
        <v>4</v>
      </c>
      <c r="O187" s="15">
        <v>17</v>
      </c>
      <c r="P187" s="15" t="s">
        <v>23</v>
      </c>
    </row>
    <row r="188" spans="1:16" s="15" customFormat="1" x14ac:dyDescent="0.25">
      <c r="A188" s="15">
        <v>328524</v>
      </c>
      <c r="B188" s="15" t="s">
        <v>699</v>
      </c>
      <c r="C188" s="15" t="s">
        <v>700</v>
      </c>
      <c r="D188" s="15" t="s">
        <v>18</v>
      </c>
      <c r="E188" s="16" t="s">
        <v>701</v>
      </c>
      <c r="F188" s="15" t="s">
        <v>700</v>
      </c>
      <c r="G188" s="15" t="s">
        <v>702</v>
      </c>
      <c r="H188" s="15" t="s">
        <v>22</v>
      </c>
      <c r="I188" s="17">
        <v>6001</v>
      </c>
      <c r="J188" s="15" t="s">
        <v>30</v>
      </c>
      <c r="K188" s="15">
        <v>341</v>
      </c>
      <c r="L188" s="15">
        <v>453</v>
      </c>
      <c r="M188" s="15">
        <v>359</v>
      </c>
      <c r="N188" s="15">
        <v>206</v>
      </c>
      <c r="O188" s="15">
        <v>1359</v>
      </c>
      <c r="P188" s="15" t="s">
        <v>23</v>
      </c>
    </row>
    <row r="189" spans="1:16" s="15" customFormat="1" x14ac:dyDescent="0.25">
      <c r="A189" s="15">
        <v>328527</v>
      </c>
      <c r="B189" s="15" t="s">
        <v>703</v>
      </c>
      <c r="C189" s="15" t="s">
        <v>704</v>
      </c>
      <c r="D189" s="15" t="s">
        <v>18</v>
      </c>
      <c r="E189" s="16" t="s">
        <v>705</v>
      </c>
      <c r="F189" s="15" t="s">
        <v>704</v>
      </c>
      <c r="G189" s="15" t="s">
        <v>706</v>
      </c>
      <c r="H189" s="15" t="s">
        <v>22</v>
      </c>
      <c r="I189" s="17">
        <v>6001</v>
      </c>
      <c r="J189" s="15" t="s">
        <v>30</v>
      </c>
      <c r="K189" s="15">
        <v>12</v>
      </c>
      <c r="L189" s="15">
        <v>12</v>
      </c>
      <c r="M189" s="15">
        <v>10</v>
      </c>
      <c r="N189" s="15">
        <v>8</v>
      </c>
      <c r="O189" s="15">
        <v>42</v>
      </c>
      <c r="P189" s="15" t="s">
        <v>23</v>
      </c>
    </row>
    <row r="190" spans="1:16" s="15" customFormat="1" x14ac:dyDescent="0.25">
      <c r="A190" s="15">
        <v>328528</v>
      </c>
      <c r="B190" s="15" t="s">
        <v>707</v>
      </c>
      <c r="C190" s="15" t="s">
        <v>708</v>
      </c>
      <c r="D190" s="15" t="s">
        <v>18</v>
      </c>
      <c r="E190" s="16">
        <v>6001</v>
      </c>
      <c r="F190" s="15" t="s">
        <v>704</v>
      </c>
      <c r="G190" s="15" t="s">
        <v>709</v>
      </c>
      <c r="H190" s="15" t="s">
        <v>22</v>
      </c>
      <c r="I190" s="17">
        <v>6001</v>
      </c>
      <c r="J190" s="15" t="s">
        <v>30</v>
      </c>
      <c r="K190" s="15">
        <v>111</v>
      </c>
      <c r="L190" s="15">
        <v>108</v>
      </c>
      <c r="M190" s="15">
        <v>65</v>
      </c>
      <c r="N190" s="15">
        <v>62</v>
      </c>
      <c r="O190" s="15">
        <v>346</v>
      </c>
      <c r="P190" s="15" t="s">
        <v>23</v>
      </c>
    </row>
    <row r="191" spans="1:16" s="15" customFormat="1" x14ac:dyDescent="0.25">
      <c r="A191" s="15">
        <v>333266</v>
      </c>
      <c r="B191" s="15" t="s">
        <v>710</v>
      </c>
      <c r="C191" s="15" t="s">
        <v>711</v>
      </c>
      <c r="D191" s="15" t="s">
        <v>18</v>
      </c>
      <c r="E191" s="16" t="s">
        <v>657</v>
      </c>
      <c r="F191" s="15" t="s">
        <v>712</v>
      </c>
      <c r="G191" s="15" t="s">
        <v>713</v>
      </c>
      <c r="H191" s="15" t="s">
        <v>22</v>
      </c>
      <c r="I191" s="17">
        <v>6001</v>
      </c>
      <c r="J191" s="15" t="s">
        <v>30</v>
      </c>
      <c r="K191" s="15">
        <v>62</v>
      </c>
      <c r="L191" s="15">
        <v>62</v>
      </c>
      <c r="M191" s="15">
        <v>63</v>
      </c>
      <c r="N191" s="15">
        <v>60</v>
      </c>
      <c r="O191" s="15">
        <v>247</v>
      </c>
      <c r="P191" s="15" t="s">
        <v>23</v>
      </c>
    </row>
    <row r="192" spans="1:16" s="15" customFormat="1" x14ac:dyDescent="0.25">
      <c r="A192" s="15">
        <v>333268</v>
      </c>
      <c r="B192" s="15" t="s">
        <v>714</v>
      </c>
      <c r="C192" s="15" t="s">
        <v>715</v>
      </c>
      <c r="D192" s="15" t="s">
        <v>18</v>
      </c>
      <c r="E192" s="16" t="s">
        <v>716</v>
      </c>
      <c r="F192" s="15" t="s">
        <v>717</v>
      </c>
      <c r="G192" s="15" t="s">
        <v>718</v>
      </c>
      <c r="H192" s="15" t="s">
        <v>22</v>
      </c>
      <c r="I192" s="17">
        <v>6001</v>
      </c>
      <c r="J192" s="15" t="s">
        <v>30</v>
      </c>
      <c r="K192" s="15">
        <v>405</v>
      </c>
      <c r="L192" s="15">
        <v>429</v>
      </c>
      <c r="M192" s="15">
        <v>318</v>
      </c>
      <c r="N192" s="15">
        <v>244</v>
      </c>
      <c r="O192" s="15">
        <v>1396</v>
      </c>
      <c r="P192" s="15" t="s">
        <v>23</v>
      </c>
    </row>
    <row r="193" spans="1:17" s="15" customFormat="1" x14ac:dyDescent="0.25">
      <c r="A193" s="15">
        <v>340246</v>
      </c>
      <c r="B193" s="15" t="s">
        <v>719</v>
      </c>
      <c r="C193" s="15" t="s">
        <v>720</v>
      </c>
      <c r="D193" s="15" t="s">
        <v>18</v>
      </c>
      <c r="E193" s="16">
        <v>6001</v>
      </c>
      <c r="F193" s="15" t="s">
        <v>720</v>
      </c>
      <c r="G193" s="15" t="s">
        <v>721</v>
      </c>
      <c r="H193" s="15" t="s">
        <v>22</v>
      </c>
      <c r="I193" s="17">
        <v>6001</v>
      </c>
      <c r="J193" s="15" t="s">
        <v>30</v>
      </c>
      <c r="K193" s="15">
        <v>7</v>
      </c>
      <c r="L193" s="15">
        <v>21</v>
      </c>
      <c r="M193" s="15">
        <v>36</v>
      </c>
      <c r="N193" s="15">
        <v>28</v>
      </c>
      <c r="O193" s="15">
        <v>92</v>
      </c>
      <c r="P193" s="15" t="s">
        <v>23</v>
      </c>
    </row>
    <row r="194" spans="1:17" s="15" customFormat="1" x14ac:dyDescent="0.25">
      <c r="A194" s="15">
        <v>328495</v>
      </c>
      <c r="B194" s="15" t="s">
        <v>722</v>
      </c>
      <c r="C194" s="15" t="s">
        <v>723</v>
      </c>
      <c r="D194" s="15" t="s">
        <v>18</v>
      </c>
      <c r="E194" s="16" t="s">
        <v>724</v>
      </c>
      <c r="F194" s="15" t="s">
        <v>725</v>
      </c>
      <c r="G194" s="15" t="s">
        <v>726</v>
      </c>
      <c r="H194" s="15" t="s">
        <v>22</v>
      </c>
      <c r="I194" s="17">
        <v>6001</v>
      </c>
      <c r="J194" s="15" t="s">
        <v>30</v>
      </c>
      <c r="K194" s="15">
        <v>21</v>
      </c>
      <c r="L194" s="15">
        <v>8</v>
      </c>
      <c r="M194" s="15">
        <v>5</v>
      </c>
      <c r="N194" s="15">
        <v>5</v>
      </c>
      <c r="O194" s="15">
        <v>39</v>
      </c>
      <c r="P194" s="15" t="s">
        <v>23</v>
      </c>
    </row>
    <row r="195" spans="1:17" s="15" customFormat="1" x14ac:dyDescent="0.25">
      <c r="A195" s="15">
        <v>360313</v>
      </c>
      <c r="B195" s="15" t="s">
        <v>727</v>
      </c>
      <c r="C195" s="15" t="s">
        <v>728</v>
      </c>
      <c r="D195" s="15" t="s">
        <v>18</v>
      </c>
      <c r="E195" s="16">
        <v>6001</v>
      </c>
      <c r="F195" s="15" t="s">
        <v>728</v>
      </c>
      <c r="G195" s="15" t="s">
        <v>729</v>
      </c>
      <c r="H195" s="15" t="s">
        <v>22</v>
      </c>
      <c r="I195" s="17">
        <v>6001</v>
      </c>
      <c r="J195" s="15" t="s">
        <v>30</v>
      </c>
      <c r="K195" s="15">
        <v>18</v>
      </c>
      <c r="L195" s="15">
        <v>13</v>
      </c>
      <c r="M195" s="15">
        <v>12</v>
      </c>
      <c r="N195" s="15">
        <v>18</v>
      </c>
      <c r="O195" s="15">
        <v>61</v>
      </c>
      <c r="P195" s="15" t="s">
        <v>23</v>
      </c>
    </row>
    <row r="196" spans="1:17" s="15" customFormat="1" x14ac:dyDescent="0.25">
      <c r="A196" s="15">
        <v>332994</v>
      </c>
      <c r="B196" s="15" t="s">
        <v>730</v>
      </c>
      <c r="C196" s="15" t="s">
        <v>731</v>
      </c>
      <c r="D196" s="15" t="s">
        <v>18</v>
      </c>
      <c r="E196" s="16" t="s">
        <v>688</v>
      </c>
      <c r="F196" s="15" t="s">
        <v>732</v>
      </c>
      <c r="G196" s="15" t="s">
        <v>733</v>
      </c>
      <c r="H196" s="15" t="s">
        <v>22</v>
      </c>
      <c r="I196" s="17">
        <v>6001</v>
      </c>
      <c r="J196" s="15" t="s">
        <v>30</v>
      </c>
      <c r="K196" s="15">
        <v>48</v>
      </c>
      <c r="L196" s="15">
        <v>27</v>
      </c>
      <c r="M196" s="15">
        <v>42</v>
      </c>
      <c r="N196" s="15">
        <v>34</v>
      </c>
      <c r="O196" s="15">
        <v>151</v>
      </c>
      <c r="P196" s="15" t="s">
        <v>23</v>
      </c>
    </row>
    <row r="197" spans="1:17" s="15" customFormat="1" x14ac:dyDescent="0.25">
      <c r="A197" s="15">
        <v>332998</v>
      </c>
      <c r="B197" s="15" t="s">
        <v>676</v>
      </c>
      <c r="C197" s="15" t="s">
        <v>677</v>
      </c>
      <c r="D197" s="15" t="s">
        <v>18</v>
      </c>
      <c r="E197" s="16" t="s">
        <v>678</v>
      </c>
      <c r="F197" s="15" t="s">
        <v>734</v>
      </c>
      <c r="G197" s="15" t="s">
        <v>735</v>
      </c>
      <c r="H197" s="15" t="s">
        <v>22</v>
      </c>
      <c r="I197" s="17">
        <v>6001</v>
      </c>
      <c r="J197" s="15" t="s">
        <v>30</v>
      </c>
      <c r="K197" s="15">
        <v>2</v>
      </c>
      <c r="L197" s="15">
        <v>169</v>
      </c>
      <c r="M197" s="15">
        <v>30</v>
      </c>
      <c r="N197" s="15">
        <v>0</v>
      </c>
      <c r="O197" s="15">
        <v>201</v>
      </c>
      <c r="P197" s="15" t="s">
        <v>23</v>
      </c>
    </row>
    <row r="198" spans="1:17" s="15" customFormat="1" x14ac:dyDescent="0.25">
      <c r="A198" s="15">
        <v>333214</v>
      </c>
      <c r="B198" s="15" t="s">
        <v>525</v>
      </c>
      <c r="C198" s="15" t="s">
        <v>526</v>
      </c>
      <c r="D198" s="15" t="s">
        <v>18</v>
      </c>
      <c r="E198" s="16" t="s">
        <v>736</v>
      </c>
      <c r="F198" s="15" t="s">
        <v>737</v>
      </c>
      <c r="G198" s="15" t="s">
        <v>738</v>
      </c>
      <c r="H198" s="15" t="s">
        <v>22</v>
      </c>
      <c r="I198" s="17">
        <v>6001</v>
      </c>
      <c r="J198" s="15" t="s">
        <v>30</v>
      </c>
      <c r="K198" s="15">
        <v>5</v>
      </c>
      <c r="L198" s="15">
        <v>60</v>
      </c>
      <c r="M198" s="15">
        <v>21</v>
      </c>
      <c r="N198" s="15">
        <v>0</v>
      </c>
      <c r="O198" s="15">
        <v>86</v>
      </c>
      <c r="P198" s="15" t="s">
        <v>23</v>
      </c>
    </row>
    <row r="199" spans="1:17" s="15" customFormat="1" x14ac:dyDescent="0.25">
      <c r="A199" s="15">
        <v>365827</v>
      </c>
      <c r="B199" s="15" t="s">
        <v>739</v>
      </c>
      <c r="C199" s="15" t="s">
        <v>740</v>
      </c>
      <c r="D199" s="15" t="s">
        <v>18</v>
      </c>
      <c r="E199" s="16">
        <v>6001</v>
      </c>
      <c r="F199" s="15" t="s">
        <v>741</v>
      </c>
      <c r="G199" s="15" t="s">
        <v>742</v>
      </c>
      <c r="H199" s="15" t="s">
        <v>22</v>
      </c>
      <c r="I199" s="17">
        <v>6001</v>
      </c>
      <c r="J199" s="15" t="s">
        <v>30</v>
      </c>
      <c r="K199" s="15">
        <v>0</v>
      </c>
      <c r="L199" s="15">
        <v>0</v>
      </c>
      <c r="M199" s="15">
        <v>34</v>
      </c>
      <c r="N199" s="15">
        <v>46</v>
      </c>
      <c r="O199" s="15">
        <v>80</v>
      </c>
      <c r="P199" s="15" t="s">
        <v>743</v>
      </c>
    </row>
    <row r="200" spans="1:17" s="15" customFormat="1" x14ac:dyDescent="0.25">
      <c r="A200" s="15">
        <v>375294</v>
      </c>
      <c r="B200" s="15" t="s">
        <v>744</v>
      </c>
      <c r="C200" s="15" t="s">
        <v>740</v>
      </c>
      <c r="D200" s="15" t="s">
        <v>18</v>
      </c>
      <c r="E200" s="16">
        <v>6001</v>
      </c>
      <c r="F200" s="15" t="s">
        <v>741</v>
      </c>
      <c r="G200" s="15" t="s">
        <v>742</v>
      </c>
      <c r="H200" s="15" t="s">
        <v>22</v>
      </c>
      <c r="I200" s="17">
        <v>6001</v>
      </c>
      <c r="J200" s="15" t="s">
        <v>30</v>
      </c>
      <c r="K200" s="15">
        <v>59</v>
      </c>
      <c r="L200" s="15">
        <v>4</v>
      </c>
      <c r="M200" s="15">
        <v>0</v>
      </c>
      <c r="N200" s="15">
        <v>0</v>
      </c>
      <c r="O200" s="15">
        <v>63</v>
      </c>
      <c r="P200" s="15" t="s">
        <v>23</v>
      </c>
    </row>
    <row r="201" spans="1:17" s="15" customFormat="1" x14ac:dyDescent="0.25">
      <c r="A201" s="15">
        <v>360312</v>
      </c>
      <c r="B201" s="15" t="s">
        <v>727</v>
      </c>
      <c r="C201" s="15" t="s">
        <v>745</v>
      </c>
      <c r="D201" s="15" t="s">
        <v>18</v>
      </c>
      <c r="E201" s="16">
        <v>6001</v>
      </c>
      <c r="F201" s="15" t="s">
        <v>746</v>
      </c>
      <c r="G201" s="15" t="s">
        <v>747</v>
      </c>
      <c r="H201" s="15" t="s">
        <v>22</v>
      </c>
      <c r="I201" s="17">
        <v>6001</v>
      </c>
      <c r="J201" s="15" t="s">
        <v>30</v>
      </c>
      <c r="K201" s="15">
        <v>9</v>
      </c>
      <c r="L201" s="15">
        <v>90</v>
      </c>
      <c r="M201" s="15">
        <v>14</v>
      </c>
      <c r="N201" s="15">
        <v>0</v>
      </c>
      <c r="O201" s="15">
        <v>113</v>
      </c>
      <c r="P201" s="15" t="s">
        <v>23</v>
      </c>
    </row>
    <row r="202" spans="1:17" s="15" customFormat="1" x14ac:dyDescent="0.25">
      <c r="A202" s="15">
        <v>360310</v>
      </c>
      <c r="B202" s="15" t="s">
        <v>727</v>
      </c>
      <c r="C202" s="15" t="s">
        <v>745</v>
      </c>
      <c r="D202" s="15" t="s">
        <v>18</v>
      </c>
      <c r="E202" s="16">
        <v>6001</v>
      </c>
      <c r="F202" s="15" t="s">
        <v>748</v>
      </c>
      <c r="G202" s="15" t="s">
        <v>749</v>
      </c>
      <c r="H202" s="15" t="s">
        <v>22</v>
      </c>
      <c r="I202" s="17">
        <v>6001</v>
      </c>
      <c r="J202" s="15" t="s">
        <v>30</v>
      </c>
      <c r="K202" s="15">
        <v>30</v>
      </c>
      <c r="L202" s="15">
        <v>142</v>
      </c>
      <c r="M202" s="15">
        <v>66</v>
      </c>
      <c r="N202" s="15">
        <v>58</v>
      </c>
      <c r="O202" s="15">
        <v>296</v>
      </c>
      <c r="P202" s="15" t="s">
        <v>23</v>
      </c>
    </row>
    <row r="203" spans="1:17" s="15" customFormat="1" x14ac:dyDescent="0.25">
      <c r="A203" s="15">
        <v>333688</v>
      </c>
      <c r="B203" s="15" t="s">
        <v>676</v>
      </c>
      <c r="C203" s="15" t="s">
        <v>677</v>
      </c>
      <c r="D203" s="15" t="s">
        <v>18</v>
      </c>
      <c r="E203" s="16" t="s">
        <v>678</v>
      </c>
      <c r="F203" s="15" t="s">
        <v>750</v>
      </c>
      <c r="G203" s="15" t="s">
        <v>751</v>
      </c>
      <c r="H203" s="15" t="s">
        <v>22</v>
      </c>
      <c r="I203" s="17">
        <v>6001</v>
      </c>
      <c r="J203" s="15" t="s">
        <v>30</v>
      </c>
      <c r="K203" s="15">
        <v>24</v>
      </c>
      <c r="L203" s="15">
        <v>278</v>
      </c>
      <c r="M203" s="15">
        <v>58</v>
      </c>
      <c r="N203" s="15">
        <v>18</v>
      </c>
      <c r="O203" s="15">
        <v>378</v>
      </c>
      <c r="P203" s="15" t="s">
        <v>23</v>
      </c>
    </row>
    <row r="204" spans="1:17" s="15" customFormat="1" x14ac:dyDescent="0.25">
      <c r="A204" s="15">
        <v>333564</v>
      </c>
      <c r="B204" s="15" t="s">
        <v>752</v>
      </c>
      <c r="C204" s="15" t="s">
        <v>753</v>
      </c>
      <c r="D204" s="15" t="s">
        <v>18</v>
      </c>
      <c r="E204" s="16" t="s">
        <v>754</v>
      </c>
      <c r="F204" s="15" t="s">
        <v>755</v>
      </c>
      <c r="G204" s="15" t="s">
        <v>756</v>
      </c>
      <c r="H204" s="15" t="s">
        <v>22</v>
      </c>
      <c r="I204" s="17">
        <v>6001</v>
      </c>
      <c r="J204" s="15" t="s">
        <v>30</v>
      </c>
      <c r="K204" s="15">
        <v>394</v>
      </c>
      <c r="L204" s="15">
        <v>397</v>
      </c>
      <c r="M204" s="15">
        <v>359</v>
      </c>
      <c r="N204" s="15">
        <v>276</v>
      </c>
      <c r="O204" s="15">
        <v>1426</v>
      </c>
      <c r="P204" s="15" t="s">
        <v>23</v>
      </c>
    </row>
    <row r="205" spans="1:17" s="15" customFormat="1" x14ac:dyDescent="0.25">
      <c r="A205" s="15">
        <v>334557</v>
      </c>
      <c r="B205" s="15" t="s">
        <v>757</v>
      </c>
      <c r="C205" s="15" t="s">
        <v>758</v>
      </c>
      <c r="D205" s="15" t="s">
        <v>18</v>
      </c>
      <c r="E205" s="16">
        <v>6001</v>
      </c>
      <c r="F205" s="15" t="s">
        <v>759</v>
      </c>
      <c r="G205" s="15" t="s">
        <v>760</v>
      </c>
      <c r="H205" s="15" t="s">
        <v>22</v>
      </c>
      <c r="I205" s="17">
        <v>6001</v>
      </c>
      <c r="J205" s="15" t="s">
        <v>30</v>
      </c>
      <c r="K205" s="15">
        <v>28</v>
      </c>
      <c r="L205" s="15">
        <v>31</v>
      </c>
      <c r="M205" s="15">
        <v>30</v>
      </c>
      <c r="N205" s="15">
        <v>28</v>
      </c>
      <c r="O205" s="15">
        <v>117</v>
      </c>
      <c r="P205" s="15" t="s">
        <v>23</v>
      </c>
    </row>
    <row r="206" spans="1:17" x14ac:dyDescent="0.25">
      <c r="A206" s="6">
        <v>345104</v>
      </c>
      <c r="B206" s="6" t="s">
        <v>761</v>
      </c>
      <c r="C206" s="6" t="s">
        <v>762</v>
      </c>
      <c r="D206" s="6" t="s">
        <v>763</v>
      </c>
      <c r="E206" s="7" t="s">
        <v>764</v>
      </c>
      <c r="F206" s="6" t="s">
        <v>765</v>
      </c>
      <c r="G206" s="6" t="s">
        <v>766</v>
      </c>
      <c r="H206" s="6" t="s">
        <v>22</v>
      </c>
      <c r="I206" s="8">
        <v>6001</v>
      </c>
      <c r="J206" s="6" t="s">
        <v>30</v>
      </c>
      <c r="K206" s="6">
        <v>9</v>
      </c>
      <c r="L206" s="6">
        <v>7</v>
      </c>
      <c r="M206" s="6">
        <v>6</v>
      </c>
      <c r="N206" s="6">
        <v>6</v>
      </c>
      <c r="O206" s="6">
        <v>28</v>
      </c>
      <c r="P206" s="6" t="s">
        <v>23</v>
      </c>
      <c r="Q206" s="6"/>
    </row>
    <row r="207" spans="1:17" s="15" customFormat="1" x14ac:dyDescent="0.25">
      <c r="A207" s="15">
        <v>329188</v>
      </c>
      <c r="B207" s="15" t="s">
        <v>767</v>
      </c>
      <c r="C207" s="15" t="s">
        <v>768</v>
      </c>
      <c r="D207" s="15" t="s">
        <v>763</v>
      </c>
      <c r="E207" s="16">
        <v>6002</v>
      </c>
      <c r="F207" s="15" t="s">
        <v>388</v>
      </c>
      <c r="G207" s="15" t="s">
        <v>396</v>
      </c>
      <c r="H207" s="15" t="s">
        <v>22</v>
      </c>
      <c r="I207" s="17">
        <v>6001</v>
      </c>
      <c r="J207" s="15" t="s">
        <v>30</v>
      </c>
      <c r="K207" s="15">
        <v>0</v>
      </c>
      <c r="L207" s="15">
        <v>46</v>
      </c>
      <c r="M207" s="15">
        <v>36</v>
      </c>
      <c r="N207" s="15">
        <v>20</v>
      </c>
      <c r="O207" s="15">
        <v>102</v>
      </c>
      <c r="P207" s="15" t="s">
        <v>769</v>
      </c>
    </row>
    <row r="208" spans="1:17" s="6" customFormat="1" x14ac:dyDescent="0.25">
      <c r="A208" s="6">
        <v>333069</v>
      </c>
      <c r="B208" s="6" t="s">
        <v>770</v>
      </c>
      <c r="C208" s="6" t="s">
        <v>771</v>
      </c>
      <c r="D208" s="6" t="s">
        <v>772</v>
      </c>
      <c r="E208" s="7">
        <v>2110</v>
      </c>
      <c r="F208" s="6" t="s">
        <v>773</v>
      </c>
      <c r="G208" s="6" t="s">
        <v>774</v>
      </c>
      <c r="H208" s="6" t="s">
        <v>22</v>
      </c>
      <c r="I208" s="8">
        <v>6001</v>
      </c>
      <c r="J208" s="6" t="s">
        <v>30</v>
      </c>
      <c r="K208" s="6">
        <v>4</v>
      </c>
      <c r="L208" s="6">
        <v>6</v>
      </c>
      <c r="M208" s="6">
        <v>5</v>
      </c>
      <c r="N208" s="6">
        <v>4</v>
      </c>
      <c r="O208" s="6">
        <v>19</v>
      </c>
      <c r="P208" s="6" t="s">
        <v>23</v>
      </c>
    </row>
    <row r="209" spans="1:16" s="15" customFormat="1" x14ac:dyDescent="0.25">
      <c r="A209" s="15">
        <v>328717</v>
      </c>
      <c r="B209" s="15" t="s">
        <v>775</v>
      </c>
      <c r="C209" s="15" t="s">
        <v>776</v>
      </c>
      <c r="D209" s="15" t="s">
        <v>772</v>
      </c>
      <c r="E209" s="16">
        <v>2199</v>
      </c>
      <c r="F209" s="15" t="s">
        <v>777</v>
      </c>
      <c r="G209" s="15" t="s">
        <v>778</v>
      </c>
      <c r="H209" s="15" t="s">
        <v>22</v>
      </c>
      <c r="I209" s="17">
        <v>6001</v>
      </c>
      <c r="J209" s="15" t="s">
        <v>30</v>
      </c>
      <c r="K209" s="15">
        <v>0</v>
      </c>
      <c r="L209" s="15">
        <v>1</v>
      </c>
      <c r="M209" s="15">
        <v>1</v>
      </c>
      <c r="N209" s="15">
        <v>1</v>
      </c>
      <c r="O209" s="15">
        <v>3</v>
      </c>
      <c r="P209" s="15" t="s">
        <v>23</v>
      </c>
    </row>
    <row r="210" spans="1:16" s="15" customFormat="1" x14ac:dyDescent="0.25">
      <c r="A210" s="15">
        <v>328719</v>
      </c>
      <c r="B210" s="15" t="s">
        <v>779</v>
      </c>
      <c r="C210" s="15" t="s">
        <v>776</v>
      </c>
      <c r="D210" s="15" t="s">
        <v>772</v>
      </c>
      <c r="E210" s="16">
        <v>2199</v>
      </c>
      <c r="F210" s="15" t="s">
        <v>777</v>
      </c>
      <c r="G210" s="15" t="s">
        <v>780</v>
      </c>
      <c r="H210" s="15" t="s">
        <v>22</v>
      </c>
      <c r="I210" s="17">
        <v>6001</v>
      </c>
      <c r="J210" s="15" t="s">
        <v>30</v>
      </c>
      <c r="K210" s="15">
        <v>11</v>
      </c>
      <c r="L210" s="15">
        <v>18</v>
      </c>
      <c r="M210" s="15">
        <v>14</v>
      </c>
      <c r="N210" s="15">
        <v>8</v>
      </c>
      <c r="O210" s="15">
        <v>51</v>
      </c>
      <c r="P210" s="15" t="s">
        <v>23</v>
      </c>
    </row>
    <row r="211" spans="1:16" s="15" customFormat="1" x14ac:dyDescent="0.25">
      <c r="A211" s="15">
        <v>333236</v>
      </c>
      <c r="B211" s="15" t="s">
        <v>781</v>
      </c>
      <c r="C211" s="15" t="s">
        <v>782</v>
      </c>
      <c r="D211" s="15" t="s">
        <v>772</v>
      </c>
      <c r="E211" s="16" t="s">
        <v>783</v>
      </c>
      <c r="F211" s="15" t="s">
        <v>777</v>
      </c>
      <c r="G211" s="15" t="s">
        <v>784</v>
      </c>
      <c r="H211" s="15" t="s">
        <v>22</v>
      </c>
      <c r="I211" s="17">
        <v>6001</v>
      </c>
      <c r="J211" s="15" t="s">
        <v>30</v>
      </c>
      <c r="K211" s="15">
        <v>7</v>
      </c>
      <c r="L211" s="15">
        <v>14</v>
      </c>
      <c r="M211" s="15">
        <v>10</v>
      </c>
      <c r="N211" s="15">
        <v>15</v>
      </c>
      <c r="O211" s="15">
        <v>46</v>
      </c>
      <c r="P211" s="15" t="s">
        <v>23</v>
      </c>
    </row>
    <row r="212" spans="1:16" s="15" customFormat="1" x14ac:dyDescent="0.25">
      <c r="A212" s="15">
        <v>333237</v>
      </c>
      <c r="B212" s="15" t="s">
        <v>785</v>
      </c>
      <c r="C212" s="15" t="s">
        <v>782</v>
      </c>
      <c r="D212" s="15" t="s">
        <v>772</v>
      </c>
      <c r="E212" s="16" t="s">
        <v>783</v>
      </c>
      <c r="F212" s="15" t="s">
        <v>777</v>
      </c>
      <c r="G212" s="15" t="s">
        <v>786</v>
      </c>
      <c r="H212" s="15" t="s">
        <v>22</v>
      </c>
      <c r="I212" s="17">
        <v>6001</v>
      </c>
      <c r="J212" s="15" t="s">
        <v>30</v>
      </c>
      <c r="K212" s="15">
        <v>2</v>
      </c>
      <c r="L212" s="15">
        <v>2</v>
      </c>
      <c r="M212" s="15">
        <v>2</v>
      </c>
      <c r="N212" s="15">
        <v>1</v>
      </c>
      <c r="O212" s="15">
        <v>7</v>
      </c>
      <c r="P212" s="15" t="s">
        <v>23</v>
      </c>
    </row>
    <row r="213" spans="1:16" s="15" customFormat="1" x14ac:dyDescent="0.25">
      <c r="A213" s="15">
        <v>352022</v>
      </c>
      <c r="B213" s="15" t="s">
        <v>785</v>
      </c>
      <c r="C213" s="15" t="s">
        <v>782</v>
      </c>
      <c r="D213" s="15" t="s">
        <v>772</v>
      </c>
      <c r="E213" s="16" t="s">
        <v>783</v>
      </c>
      <c r="F213" s="15" t="s">
        <v>777</v>
      </c>
      <c r="G213" s="15" t="s">
        <v>787</v>
      </c>
      <c r="H213" s="15" t="s">
        <v>22</v>
      </c>
      <c r="I213" s="17">
        <v>6001</v>
      </c>
      <c r="J213" s="15" t="s">
        <v>30</v>
      </c>
      <c r="K213" s="15">
        <v>6</v>
      </c>
      <c r="L213" s="15">
        <v>7</v>
      </c>
      <c r="M213" s="15">
        <v>8</v>
      </c>
      <c r="N213" s="15">
        <v>8</v>
      </c>
      <c r="O213" s="15">
        <v>29</v>
      </c>
      <c r="P213" s="15" t="s">
        <v>23</v>
      </c>
    </row>
    <row r="214" spans="1:16" s="15" customFormat="1" x14ac:dyDescent="0.25">
      <c r="A214" s="15">
        <v>328724</v>
      </c>
      <c r="B214" s="15" t="s">
        <v>788</v>
      </c>
      <c r="C214" s="15" t="s">
        <v>789</v>
      </c>
      <c r="D214" s="15" t="s">
        <v>790</v>
      </c>
      <c r="E214" s="16" t="s">
        <v>791</v>
      </c>
      <c r="F214" s="15" t="s">
        <v>792</v>
      </c>
      <c r="G214" s="15" t="s">
        <v>793</v>
      </c>
      <c r="H214" s="15" t="s">
        <v>22</v>
      </c>
      <c r="I214" s="17">
        <v>6001</v>
      </c>
      <c r="J214" s="15" t="s">
        <v>30</v>
      </c>
      <c r="K214" s="15">
        <v>35</v>
      </c>
      <c r="L214" s="15">
        <v>52</v>
      </c>
      <c r="M214" s="15">
        <v>35</v>
      </c>
      <c r="N214" s="15">
        <v>30</v>
      </c>
      <c r="O214" s="15">
        <v>152</v>
      </c>
      <c r="P214" s="15" t="s">
        <v>23</v>
      </c>
    </row>
    <row r="215" spans="1:16" s="12" customFormat="1" x14ac:dyDescent="0.25">
      <c r="A215" s="12">
        <v>329739</v>
      </c>
      <c r="B215" s="12" t="s">
        <v>794</v>
      </c>
      <c r="C215" s="12" t="s">
        <v>795</v>
      </c>
      <c r="D215" s="12" t="s">
        <v>796</v>
      </c>
      <c r="E215" s="13" t="s">
        <v>797</v>
      </c>
      <c r="F215" s="12" t="s">
        <v>102</v>
      </c>
      <c r="G215" s="12" t="s">
        <v>798</v>
      </c>
      <c r="H215" s="12" t="s">
        <v>22</v>
      </c>
      <c r="I215" s="14">
        <v>6001</v>
      </c>
      <c r="J215" s="12" t="s">
        <v>30</v>
      </c>
      <c r="K215" s="12">
        <v>25</v>
      </c>
      <c r="L215" s="12">
        <v>32</v>
      </c>
      <c r="M215" s="12">
        <v>25</v>
      </c>
      <c r="N215" s="12">
        <v>21</v>
      </c>
      <c r="O215" s="12">
        <v>103</v>
      </c>
      <c r="P215" s="12" t="s">
        <v>23</v>
      </c>
    </row>
    <row r="216" spans="1:16" s="15" customFormat="1" x14ac:dyDescent="0.25">
      <c r="A216" s="15">
        <v>344160</v>
      </c>
      <c r="B216" s="15" t="s">
        <v>799</v>
      </c>
      <c r="C216" s="15" t="s">
        <v>800</v>
      </c>
      <c r="D216" s="15" t="s">
        <v>796</v>
      </c>
      <c r="E216" s="16" t="s">
        <v>801</v>
      </c>
      <c r="F216" s="15" t="s">
        <v>388</v>
      </c>
      <c r="G216" s="15" t="s">
        <v>802</v>
      </c>
      <c r="H216" s="15" t="s">
        <v>22</v>
      </c>
      <c r="I216" s="17">
        <v>6001</v>
      </c>
      <c r="J216" s="15" t="s">
        <v>30</v>
      </c>
      <c r="K216" s="15">
        <v>0</v>
      </c>
      <c r="L216" s="15">
        <v>0</v>
      </c>
      <c r="M216" s="15">
        <v>1</v>
      </c>
      <c r="N216" s="15">
        <v>0</v>
      </c>
      <c r="O216" s="15">
        <v>1</v>
      </c>
      <c r="P216" s="15" t="s">
        <v>23</v>
      </c>
    </row>
    <row r="217" spans="1:16" s="15" customFormat="1" x14ac:dyDescent="0.25">
      <c r="A217" s="15">
        <v>363519</v>
      </c>
      <c r="B217" s="15" t="s">
        <v>803</v>
      </c>
      <c r="C217" s="15" t="s">
        <v>804</v>
      </c>
      <c r="D217" s="15" t="s">
        <v>796</v>
      </c>
      <c r="E217" s="16">
        <v>6019</v>
      </c>
      <c r="F217" s="15" t="s">
        <v>497</v>
      </c>
      <c r="G217" s="15" t="s">
        <v>498</v>
      </c>
      <c r="H217" s="15" t="s">
        <v>22</v>
      </c>
      <c r="I217" s="17">
        <v>6001</v>
      </c>
      <c r="J217" s="15" t="s">
        <v>30</v>
      </c>
      <c r="K217" s="15">
        <v>0</v>
      </c>
      <c r="L217" s="15">
        <v>0</v>
      </c>
      <c r="M217" s="15">
        <v>1</v>
      </c>
      <c r="N217" s="15">
        <v>0</v>
      </c>
      <c r="O217" s="15">
        <v>1</v>
      </c>
      <c r="P217" s="15" t="s">
        <v>805</v>
      </c>
    </row>
    <row r="218" spans="1:16" s="15" customFormat="1" x14ac:dyDescent="0.25">
      <c r="A218" s="15">
        <v>351599</v>
      </c>
      <c r="B218" s="15" t="s">
        <v>806</v>
      </c>
      <c r="C218" s="15" t="s">
        <v>807</v>
      </c>
      <c r="D218" s="15" t="s">
        <v>796</v>
      </c>
      <c r="E218" s="16" t="s">
        <v>808</v>
      </c>
      <c r="F218" s="15" t="s">
        <v>670</v>
      </c>
      <c r="G218" s="15" t="s">
        <v>809</v>
      </c>
      <c r="H218" s="15" t="s">
        <v>22</v>
      </c>
      <c r="I218" s="17">
        <v>6001</v>
      </c>
      <c r="J218" s="15" t="s">
        <v>30</v>
      </c>
      <c r="K218" s="15">
        <v>67</v>
      </c>
      <c r="L218" s="15">
        <v>62</v>
      </c>
      <c r="M218" s="15">
        <v>52</v>
      </c>
      <c r="N218" s="15">
        <v>47</v>
      </c>
      <c r="O218" s="15">
        <v>228</v>
      </c>
      <c r="P218" s="15" t="s">
        <v>23</v>
      </c>
    </row>
    <row r="219" spans="1:16" s="15" customFormat="1" x14ac:dyDescent="0.25">
      <c r="A219" s="15">
        <v>328520</v>
      </c>
      <c r="B219" s="15" t="s">
        <v>810</v>
      </c>
      <c r="C219" s="15" t="s">
        <v>811</v>
      </c>
      <c r="D219" s="15" t="s">
        <v>812</v>
      </c>
      <c r="E219" s="16" t="s">
        <v>813</v>
      </c>
      <c r="F219" s="15" t="s">
        <v>741</v>
      </c>
      <c r="G219" s="15" t="s">
        <v>814</v>
      </c>
      <c r="H219" s="15" t="s">
        <v>22</v>
      </c>
      <c r="I219" s="17">
        <v>6001</v>
      </c>
      <c r="J219" s="15" t="s">
        <v>30</v>
      </c>
      <c r="K219" s="15">
        <v>40</v>
      </c>
      <c r="L219" s="15">
        <v>70</v>
      </c>
      <c r="M219" s="15">
        <v>53</v>
      </c>
      <c r="N219" s="15">
        <v>47</v>
      </c>
      <c r="O219" s="15">
        <v>210</v>
      </c>
      <c r="P219" s="15" t="s">
        <v>23</v>
      </c>
    </row>
    <row r="220" spans="1:16" s="15" customFormat="1" x14ac:dyDescent="0.25">
      <c r="A220" s="15">
        <v>361408</v>
      </c>
      <c r="B220" s="15" t="s">
        <v>815</v>
      </c>
      <c r="C220" s="15" t="s">
        <v>816</v>
      </c>
      <c r="D220" s="15" t="s">
        <v>817</v>
      </c>
      <c r="E220" s="16" t="s">
        <v>818</v>
      </c>
      <c r="F220" s="15" t="s">
        <v>819</v>
      </c>
      <c r="G220" s="15" t="s">
        <v>820</v>
      </c>
      <c r="H220" s="15" t="s">
        <v>22</v>
      </c>
      <c r="I220" s="17">
        <v>6001</v>
      </c>
      <c r="J220" s="15" t="s">
        <v>30</v>
      </c>
      <c r="K220" s="15">
        <v>157</v>
      </c>
      <c r="L220" s="15">
        <v>238</v>
      </c>
      <c r="M220" s="15">
        <v>3</v>
      </c>
      <c r="N220" s="15">
        <v>4</v>
      </c>
      <c r="O220" s="15">
        <v>402</v>
      </c>
      <c r="P220" s="15" t="s">
        <v>93</v>
      </c>
    </row>
    <row r="221" spans="1:16" s="15" customFormat="1" x14ac:dyDescent="0.25">
      <c r="A221" s="15">
        <v>333221</v>
      </c>
      <c r="B221" s="15" t="s">
        <v>821</v>
      </c>
      <c r="C221" s="15" t="s">
        <v>822</v>
      </c>
      <c r="D221" s="15" t="s">
        <v>817</v>
      </c>
      <c r="E221" s="16" t="s">
        <v>823</v>
      </c>
      <c r="F221" s="15" t="s">
        <v>824</v>
      </c>
      <c r="G221" s="15" t="s">
        <v>825</v>
      </c>
      <c r="H221" s="15" t="s">
        <v>22</v>
      </c>
      <c r="I221" s="17">
        <v>6001</v>
      </c>
      <c r="J221" s="15" t="s">
        <v>30</v>
      </c>
      <c r="K221" s="15">
        <v>2</v>
      </c>
      <c r="L221" s="15">
        <v>2</v>
      </c>
      <c r="M221" s="15">
        <v>2</v>
      </c>
      <c r="N221" s="15">
        <v>1</v>
      </c>
      <c r="O221" s="15">
        <v>7</v>
      </c>
      <c r="P221" s="15" t="s">
        <v>23</v>
      </c>
    </row>
    <row r="222" spans="1:16" s="15" customFormat="1" x14ac:dyDescent="0.25">
      <c r="A222" s="15">
        <v>328721</v>
      </c>
      <c r="B222" s="15" t="s">
        <v>826</v>
      </c>
      <c r="C222" s="15" t="s">
        <v>827</v>
      </c>
      <c r="D222" s="15" t="s">
        <v>817</v>
      </c>
      <c r="E222" s="16" t="s">
        <v>828</v>
      </c>
      <c r="F222" s="15" t="s">
        <v>777</v>
      </c>
      <c r="G222" s="15" t="s">
        <v>829</v>
      </c>
      <c r="H222" s="15" t="s">
        <v>22</v>
      </c>
      <c r="I222" s="17">
        <v>6001</v>
      </c>
      <c r="J222" s="15" t="s">
        <v>30</v>
      </c>
      <c r="K222" s="15">
        <v>34</v>
      </c>
      <c r="L222" s="15">
        <v>171</v>
      </c>
      <c r="M222" s="15">
        <v>31</v>
      </c>
      <c r="N222" s="15">
        <v>45</v>
      </c>
      <c r="O222" s="15">
        <v>281</v>
      </c>
      <c r="P222" s="15" t="s">
        <v>23</v>
      </c>
    </row>
    <row r="223" spans="1:16" s="15" customFormat="1" x14ac:dyDescent="0.25">
      <c r="A223" s="15">
        <v>328722</v>
      </c>
      <c r="B223" s="15" t="s">
        <v>830</v>
      </c>
      <c r="C223" s="15" t="s">
        <v>827</v>
      </c>
      <c r="D223" s="15" t="s">
        <v>817</v>
      </c>
      <c r="E223" s="16" t="s">
        <v>828</v>
      </c>
      <c r="F223" s="15" t="s">
        <v>777</v>
      </c>
      <c r="G223" s="15" t="s">
        <v>831</v>
      </c>
      <c r="H223" s="15" t="s">
        <v>22</v>
      </c>
      <c r="I223" s="17">
        <v>6001</v>
      </c>
      <c r="J223" s="15" t="s">
        <v>30</v>
      </c>
      <c r="K223" s="15">
        <v>67</v>
      </c>
      <c r="L223" s="15">
        <v>29</v>
      </c>
      <c r="M223" s="15">
        <v>17</v>
      </c>
      <c r="N223" s="15">
        <v>14</v>
      </c>
      <c r="O223" s="15">
        <v>127</v>
      </c>
      <c r="P223" s="15" t="s">
        <v>23</v>
      </c>
    </row>
    <row r="224" spans="1:16" s="15" customFormat="1" x14ac:dyDescent="0.25">
      <c r="A224" s="15">
        <v>333238</v>
      </c>
      <c r="B224" s="15" t="s">
        <v>832</v>
      </c>
      <c r="C224" s="15" t="s">
        <v>833</v>
      </c>
      <c r="D224" s="15" t="s">
        <v>817</v>
      </c>
      <c r="E224" s="16" t="s">
        <v>834</v>
      </c>
      <c r="F224" s="15" t="s">
        <v>777</v>
      </c>
      <c r="G224" s="15" t="s">
        <v>835</v>
      </c>
      <c r="H224" s="15" t="s">
        <v>22</v>
      </c>
      <c r="I224" s="17">
        <v>6001</v>
      </c>
      <c r="J224" s="15" t="s">
        <v>30</v>
      </c>
      <c r="K224" s="15">
        <v>11</v>
      </c>
      <c r="L224" s="15">
        <v>9</v>
      </c>
      <c r="M224" s="15">
        <v>8</v>
      </c>
      <c r="N224" s="15">
        <v>7</v>
      </c>
      <c r="O224" s="15">
        <v>35</v>
      </c>
      <c r="P224" s="15" t="s">
        <v>23</v>
      </c>
    </row>
    <row r="225" spans="1:17" s="15" customFormat="1" x14ac:dyDescent="0.25">
      <c r="A225" s="15">
        <v>333259</v>
      </c>
      <c r="B225" s="15" t="s">
        <v>836</v>
      </c>
      <c r="C225" s="15" t="s">
        <v>837</v>
      </c>
      <c r="D225" s="15" t="s">
        <v>817</v>
      </c>
      <c r="E225" s="16" t="s">
        <v>838</v>
      </c>
      <c r="F225" s="15" t="s">
        <v>839</v>
      </c>
      <c r="G225" s="15" t="s">
        <v>840</v>
      </c>
      <c r="H225" s="15" t="s">
        <v>22</v>
      </c>
      <c r="I225" s="17">
        <v>6001</v>
      </c>
      <c r="J225" s="15" t="s">
        <v>30</v>
      </c>
      <c r="K225" s="15">
        <v>19</v>
      </c>
      <c r="L225" s="15">
        <v>18</v>
      </c>
      <c r="M225" s="15">
        <v>18</v>
      </c>
      <c r="N225" s="15">
        <v>16</v>
      </c>
      <c r="O225" s="15">
        <v>71</v>
      </c>
      <c r="P225" s="15" t="s">
        <v>23</v>
      </c>
    </row>
    <row r="226" spans="1:17" s="15" customFormat="1" x14ac:dyDescent="0.25">
      <c r="A226" s="15">
        <v>369581</v>
      </c>
      <c r="B226" s="15" t="s">
        <v>841</v>
      </c>
      <c r="C226" s="15" t="s">
        <v>842</v>
      </c>
      <c r="D226" s="15" t="s">
        <v>843</v>
      </c>
      <c r="E226" s="16">
        <v>75254</v>
      </c>
      <c r="F226" s="15" t="s">
        <v>844</v>
      </c>
      <c r="G226" s="15" t="s">
        <v>845</v>
      </c>
      <c r="H226" s="15" t="s">
        <v>22</v>
      </c>
      <c r="I226" s="17">
        <v>6001</v>
      </c>
      <c r="J226" s="15" t="s">
        <v>30</v>
      </c>
      <c r="K226" s="15">
        <v>128</v>
      </c>
      <c r="L226" s="15">
        <v>126</v>
      </c>
      <c r="M226" s="15">
        <v>117</v>
      </c>
      <c r="N226" s="15">
        <v>87</v>
      </c>
      <c r="O226" s="15">
        <v>458</v>
      </c>
      <c r="P226" s="15" t="s">
        <v>23</v>
      </c>
    </row>
    <row r="227" spans="1:17" s="12" customFormat="1" x14ac:dyDescent="0.25">
      <c r="A227" s="12">
        <v>329738</v>
      </c>
      <c r="B227" s="12" t="s">
        <v>846</v>
      </c>
      <c r="C227" s="12" t="s">
        <v>847</v>
      </c>
      <c r="D227" s="12" t="s">
        <v>848</v>
      </c>
      <c r="E227" s="13">
        <v>6811</v>
      </c>
      <c r="F227" s="12" t="s">
        <v>102</v>
      </c>
      <c r="G227" s="12" t="s">
        <v>849</v>
      </c>
      <c r="H227" s="12" t="s">
        <v>22</v>
      </c>
      <c r="I227" s="14">
        <v>6001</v>
      </c>
      <c r="J227" s="12" t="s">
        <v>30</v>
      </c>
      <c r="K227" s="12">
        <v>3</v>
      </c>
      <c r="L227" s="12">
        <v>3</v>
      </c>
      <c r="M227" s="12">
        <v>4</v>
      </c>
      <c r="N227" s="12">
        <v>3</v>
      </c>
      <c r="O227" s="12">
        <v>13</v>
      </c>
      <c r="P227" s="12" t="s">
        <v>23</v>
      </c>
    </row>
    <row r="228" spans="1:17" x14ac:dyDescent="0.25">
      <c r="A228" s="6">
        <v>179779</v>
      </c>
      <c r="B228" s="6" t="s">
        <v>850</v>
      </c>
      <c r="C228" s="6" t="s">
        <v>851</v>
      </c>
      <c r="D228" s="6" t="s">
        <v>852</v>
      </c>
      <c r="E228" s="7" t="s">
        <v>853</v>
      </c>
      <c r="F228" s="6" t="s">
        <v>854</v>
      </c>
      <c r="G228" s="6" t="s">
        <v>855</v>
      </c>
      <c r="H228" s="6" t="s">
        <v>22</v>
      </c>
      <c r="I228" s="8">
        <v>6001</v>
      </c>
      <c r="J228" s="6" t="s">
        <v>30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 t="s">
        <v>856</v>
      </c>
      <c r="Q228" s="6"/>
    </row>
    <row r="229" spans="1:17" x14ac:dyDescent="0.25">
      <c r="A229">
        <v>359491</v>
      </c>
      <c r="B229" t="s">
        <v>857</v>
      </c>
      <c r="C229" t="s">
        <v>858</v>
      </c>
      <c r="D229" t="s">
        <v>859</v>
      </c>
      <c r="E229" s="1" t="s">
        <v>860</v>
      </c>
      <c r="F229" t="s">
        <v>861</v>
      </c>
      <c r="G229" t="s">
        <v>862</v>
      </c>
      <c r="H229" t="s">
        <v>22</v>
      </c>
      <c r="I229" s="2">
        <v>6001</v>
      </c>
      <c r="J229" t="s">
        <v>30</v>
      </c>
      <c r="K229">
        <v>0</v>
      </c>
      <c r="L229">
        <v>3</v>
      </c>
      <c r="M229">
        <v>55</v>
      </c>
      <c r="N229">
        <v>0</v>
      </c>
      <c r="O229">
        <v>58</v>
      </c>
      <c r="P229" t="s">
        <v>863</v>
      </c>
    </row>
    <row r="230" spans="1:17" s="15" customFormat="1" x14ac:dyDescent="0.25">
      <c r="A230" s="15">
        <v>328516</v>
      </c>
      <c r="B230" s="15" t="s">
        <v>864</v>
      </c>
      <c r="C230" s="15" t="s">
        <v>865</v>
      </c>
      <c r="D230" s="15" t="s">
        <v>866</v>
      </c>
      <c r="E230" s="16" t="s">
        <v>867</v>
      </c>
      <c r="F230" s="15" t="s">
        <v>868</v>
      </c>
      <c r="G230" s="15" t="s">
        <v>869</v>
      </c>
      <c r="H230" s="15" t="s">
        <v>22</v>
      </c>
      <c r="I230" s="17">
        <v>6001</v>
      </c>
      <c r="J230" s="15" t="s">
        <v>30</v>
      </c>
      <c r="K230" s="15">
        <v>7</v>
      </c>
      <c r="L230" s="15">
        <v>10</v>
      </c>
      <c r="M230" s="15">
        <v>6</v>
      </c>
      <c r="N230" s="15">
        <v>7</v>
      </c>
      <c r="O230" s="15">
        <v>30</v>
      </c>
      <c r="P230" s="15" t="s">
        <v>23</v>
      </c>
    </row>
    <row r="231" spans="1:17" s="15" customFormat="1" x14ac:dyDescent="0.25">
      <c r="A231" s="15">
        <v>344842</v>
      </c>
      <c r="B231" s="15" t="s">
        <v>870</v>
      </c>
      <c r="C231" s="15" t="s">
        <v>871</v>
      </c>
      <c r="D231" s="15" t="s">
        <v>872</v>
      </c>
      <c r="E231" s="16" t="s">
        <v>873</v>
      </c>
      <c r="F231" s="15" t="s">
        <v>704</v>
      </c>
      <c r="G231" s="15" t="s">
        <v>874</v>
      </c>
      <c r="H231" s="15" t="s">
        <v>22</v>
      </c>
      <c r="I231" s="17">
        <v>6001</v>
      </c>
      <c r="J231" s="15" t="s">
        <v>30</v>
      </c>
      <c r="K231" s="15">
        <v>42</v>
      </c>
      <c r="L231" s="15">
        <v>44</v>
      </c>
      <c r="M231" s="15">
        <v>34</v>
      </c>
      <c r="N231" s="15">
        <v>38</v>
      </c>
      <c r="O231" s="15">
        <v>158</v>
      </c>
      <c r="P231" s="15" t="s">
        <v>23</v>
      </c>
    </row>
    <row r="232" spans="1:17" s="15" customFormat="1" x14ac:dyDescent="0.25">
      <c r="A232" s="15">
        <v>370698</v>
      </c>
      <c r="B232" s="15" t="s">
        <v>875</v>
      </c>
      <c r="C232" s="15" t="s">
        <v>876</v>
      </c>
      <c r="D232" s="15" t="s">
        <v>872</v>
      </c>
      <c r="E232" s="16" t="s">
        <v>877</v>
      </c>
      <c r="F232" s="15" t="s">
        <v>704</v>
      </c>
      <c r="G232" s="15" t="s">
        <v>878</v>
      </c>
      <c r="H232" s="15" t="s">
        <v>22</v>
      </c>
      <c r="I232" s="17">
        <v>6001</v>
      </c>
      <c r="J232" s="15" t="s">
        <v>30</v>
      </c>
      <c r="K232" s="15">
        <v>0</v>
      </c>
      <c r="L232" s="15">
        <v>0</v>
      </c>
      <c r="M232" s="15">
        <v>0</v>
      </c>
      <c r="N232" s="15">
        <v>2</v>
      </c>
      <c r="O232" s="15">
        <v>2</v>
      </c>
      <c r="P232" s="15" t="s">
        <v>879</v>
      </c>
    </row>
    <row r="233" spans="1:17" s="15" customFormat="1" x14ac:dyDescent="0.25">
      <c r="A233" s="15">
        <v>352118</v>
      </c>
      <c r="B233" s="15" t="s">
        <v>880</v>
      </c>
      <c r="C233" s="15" t="s">
        <v>881</v>
      </c>
      <c r="D233" s="15" t="s">
        <v>882</v>
      </c>
      <c r="E233" s="16" t="s">
        <v>883</v>
      </c>
      <c r="F233" s="15" t="s">
        <v>609</v>
      </c>
      <c r="G233" s="15" t="s">
        <v>884</v>
      </c>
      <c r="H233" s="15" t="s">
        <v>22</v>
      </c>
      <c r="I233" s="17">
        <v>6001</v>
      </c>
      <c r="J233" s="15" t="s">
        <v>30</v>
      </c>
      <c r="K233" s="15">
        <v>3</v>
      </c>
      <c r="L233" s="15">
        <v>3</v>
      </c>
      <c r="M233" s="15">
        <v>3</v>
      </c>
      <c r="N233" s="15">
        <v>3</v>
      </c>
      <c r="O233" s="15">
        <v>12</v>
      </c>
      <c r="P233" s="15" t="s">
        <v>130</v>
      </c>
    </row>
    <row r="234" spans="1:17" s="15" customFormat="1" x14ac:dyDescent="0.25">
      <c r="A234" s="15">
        <v>333020</v>
      </c>
      <c r="B234" s="15" t="s">
        <v>885</v>
      </c>
      <c r="C234" s="15" t="s">
        <v>886</v>
      </c>
      <c r="D234" s="15" t="s">
        <v>887</v>
      </c>
      <c r="E234" s="16">
        <v>6032</v>
      </c>
      <c r="F234" s="15" t="s">
        <v>888</v>
      </c>
      <c r="G234" s="15" t="s">
        <v>889</v>
      </c>
      <c r="H234" s="15" t="s">
        <v>22</v>
      </c>
      <c r="I234" s="17">
        <v>6001</v>
      </c>
      <c r="J234" s="15" t="s">
        <v>30</v>
      </c>
      <c r="K234" s="15">
        <v>188</v>
      </c>
      <c r="L234" s="15">
        <v>157</v>
      </c>
      <c r="M234" s="15">
        <v>152</v>
      </c>
      <c r="N234" s="15">
        <v>90</v>
      </c>
      <c r="O234" s="15">
        <v>587</v>
      </c>
      <c r="P234" s="15" t="s">
        <v>23</v>
      </c>
    </row>
    <row r="235" spans="1:17" x14ac:dyDescent="0.25">
      <c r="A235" s="6">
        <v>333173</v>
      </c>
      <c r="B235" s="6" t="s">
        <v>890</v>
      </c>
      <c r="C235" s="6" t="s">
        <v>891</v>
      </c>
      <c r="D235" s="6" t="s">
        <v>887</v>
      </c>
      <c r="E235" s="7" t="s">
        <v>892</v>
      </c>
      <c r="F235" s="6" t="s">
        <v>893</v>
      </c>
      <c r="G235" s="6" t="s">
        <v>894</v>
      </c>
      <c r="H235" s="6" t="s">
        <v>22</v>
      </c>
      <c r="I235" s="8">
        <v>6001</v>
      </c>
      <c r="J235" s="6" t="s">
        <v>30</v>
      </c>
      <c r="K235" s="6">
        <v>1</v>
      </c>
      <c r="L235" s="6">
        <v>1</v>
      </c>
      <c r="M235" s="6">
        <v>1</v>
      </c>
      <c r="N235" s="6">
        <v>1</v>
      </c>
      <c r="O235" s="6">
        <v>4</v>
      </c>
      <c r="P235" s="6" t="s">
        <v>23</v>
      </c>
      <c r="Q235" s="6"/>
    </row>
    <row r="236" spans="1:17" x14ac:dyDescent="0.25">
      <c r="A236" s="6">
        <v>328541</v>
      </c>
      <c r="B236" s="6" t="s">
        <v>895</v>
      </c>
      <c r="C236" s="6" t="s">
        <v>896</v>
      </c>
      <c r="D236" s="6" t="s">
        <v>887</v>
      </c>
      <c r="E236" s="7" t="s">
        <v>897</v>
      </c>
      <c r="F236" s="6" t="s">
        <v>201</v>
      </c>
      <c r="G236" s="6" t="s">
        <v>202</v>
      </c>
      <c r="H236" s="6" t="s">
        <v>22</v>
      </c>
      <c r="I236" s="8">
        <v>6001</v>
      </c>
      <c r="J236" s="6" t="s">
        <v>30</v>
      </c>
      <c r="K236" s="6">
        <v>0</v>
      </c>
      <c r="L236" s="6">
        <v>0</v>
      </c>
      <c r="M236" s="6">
        <v>0</v>
      </c>
      <c r="N236" s="6">
        <v>0</v>
      </c>
      <c r="O236" s="6">
        <v>0</v>
      </c>
      <c r="P236" s="6" t="s">
        <v>898</v>
      </c>
      <c r="Q236" s="6"/>
    </row>
    <row r="237" spans="1:17" x14ac:dyDescent="0.25">
      <c r="A237" s="6">
        <v>338555</v>
      </c>
      <c r="B237" s="6" t="s">
        <v>899</v>
      </c>
      <c r="C237" s="6" t="s">
        <v>900</v>
      </c>
      <c r="D237" s="6" t="s">
        <v>887</v>
      </c>
      <c r="E237" s="7">
        <v>6032</v>
      </c>
      <c r="F237" s="6" t="s">
        <v>901</v>
      </c>
      <c r="G237" s="6" t="s">
        <v>902</v>
      </c>
      <c r="H237" s="6" t="s">
        <v>22</v>
      </c>
      <c r="I237" s="8">
        <v>6001</v>
      </c>
      <c r="J237" s="6" t="s">
        <v>30</v>
      </c>
      <c r="K237" s="6">
        <v>10</v>
      </c>
      <c r="L237" s="6">
        <v>50</v>
      </c>
      <c r="M237" s="6">
        <v>18</v>
      </c>
      <c r="N237" s="6">
        <v>2</v>
      </c>
      <c r="O237" s="6">
        <v>80</v>
      </c>
      <c r="P237" s="6" t="s">
        <v>23</v>
      </c>
      <c r="Q237" s="6"/>
    </row>
    <row r="238" spans="1:17" s="15" customFormat="1" x14ac:dyDescent="0.25">
      <c r="A238" s="15">
        <v>365583</v>
      </c>
      <c r="B238" s="15" t="s">
        <v>903</v>
      </c>
      <c r="C238" s="15" t="s">
        <v>904</v>
      </c>
      <c r="D238" s="15" t="s">
        <v>887</v>
      </c>
      <c r="E238" s="16">
        <v>6032</v>
      </c>
      <c r="F238" s="15" t="s">
        <v>331</v>
      </c>
      <c r="G238" s="15" t="s">
        <v>332</v>
      </c>
      <c r="H238" s="15" t="s">
        <v>22</v>
      </c>
      <c r="I238" s="17">
        <v>6001</v>
      </c>
      <c r="J238" s="15" t="s">
        <v>30</v>
      </c>
      <c r="K238" s="15">
        <v>0</v>
      </c>
      <c r="L238" s="15">
        <v>0</v>
      </c>
      <c r="M238" s="15">
        <v>6</v>
      </c>
      <c r="N238" s="15">
        <v>9</v>
      </c>
      <c r="O238" s="15">
        <v>15</v>
      </c>
      <c r="P238" s="15" t="s">
        <v>905</v>
      </c>
    </row>
    <row r="239" spans="1:17" s="15" customFormat="1" x14ac:dyDescent="0.25">
      <c r="A239" s="15">
        <v>330214</v>
      </c>
      <c r="B239" s="15" t="s">
        <v>906</v>
      </c>
      <c r="C239" s="15" t="s">
        <v>907</v>
      </c>
      <c r="D239" s="15" t="s">
        <v>887</v>
      </c>
      <c r="E239" s="16" t="s">
        <v>908</v>
      </c>
      <c r="F239" s="15" t="s">
        <v>909</v>
      </c>
      <c r="G239" s="15" t="s">
        <v>910</v>
      </c>
      <c r="H239" s="15" t="s">
        <v>22</v>
      </c>
      <c r="I239" s="17">
        <v>6001</v>
      </c>
      <c r="J239" s="15" t="s">
        <v>30</v>
      </c>
      <c r="K239" s="15">
        <v>172</v>
      </c>
      <c r="L239" s="15">
        <v>250</v>
      </c>
      <c r="M239" s="15">
        <v>15</v>
      </c>
      <c r="N239" s="15">
        <v>0</v>
      </c>
      <c r="O239" s="15">
        <v>437</v>
      </c>
      <c r="P239" s="15" t="s">
        <v>130</v>
      </c>
    </row>
    <row r="240" spans="1:17" s="15" customFormat="1" x14ac:dyDescent="0.25">
      <c r="A240" s="15">
        <v>328513</v>
      </c>
      <c r="B240" s="15" t="s">
        <v>911</v>
      </c>
      <c r="C240" s="15" t="s">
        <v>912</v>
      </c>
      <c r="D240" s="15" t="s">
        <v>887</v>
      </c>
      <c r="E240" s="16">
        <v>6032</v>
      </c>
      <c r="F240" s="15" t="s">
        <v>913</v>
      </c>
      <c r="G240" s="15" t="s">
        <v>914</v>
      </c>
      <c r="H240" s="15" t="s">
        <v>22</v>
      </c>
      <c r="I240" s="17">
        <v>6001</v>
      </c>
      <c r="J240" s="15" t="s">
        <v>30</v>
      </c>
      <c r="K240" s="15">
        <v>24</v>
      </c>
      <c r="L240" s="15">
        <v>44</v>
      </c>
      <c r="M240" s="15">
        <v>18</v>
      </c>
      <c r="N240" s="15">
        <v>15</v>
      </c>
      <c r="O240" s="15">
        <v>101</v>
      </c>
      <c r="P240" s="15" t="s">
        <v>23</v>
      </c>
    </row>
    <row r="241" spans="1:17" s="15" customFormat="1" x14ac:dyDescent="0.25">
      <c r="A241" s="15">
        <v>333227</v>
      </c>
      <c r="B241" s="15" t="s">
        <v>915</v>
      </c>
      <c r="C241" s="15" t="s">
        <v>916</v>
      </c>
      <c r="D241" s="15" t="s">
        <v>887</v>
      </c>
      <c r="E241" s="16" t="s">
        <v>917</v>
      </c>
      <c r="F241" s="15" t="s">
        <v>918</v>
      </c>
      <c r="G241" s="15" t="s">
        <v>919</v>
      </c>
      <c r="H241" s="15" t="s">
        <v>22</v>
      </c>
      <c r="I241" s="17">
        <v>6001</v>
      </c>
      <c r="J241" s="15" t="s">
        <v>30</v>
      </c>
      <c r="K241" s="15">
        <v>84</v>
      </c>
      <c r="L241" s="15">
        <v>35</v>
      </c>
      <c r="M241" s="15">
        <v>36</v>
      </c>
      <c r="N241" s="15">
        <v>20</v>
      </c>
      <c r="O241" s="15">
        <v>175</v>
      </c>
      <c r="P241" s="15" t="s">
        <v>23</v>
      </c>
    </row>
    <row r="242" spans="1:17" s="15" customFormat="1" x14ac:dyDescent="0.25">
      <c r="A242" s="15">
        <v>328522</v>
      </c>
      <c r="B242" s="15" t="s">
        <v>920</v>
      </c>
      <c r="C242" s="15" t="s">
        <v>921</v>
      </c>
      <c r="D242" s="15" t="s">
        <v>887</v>
      </c>
      <c r="E242" s="16">
        <v>6034</v>
      </c>
      <c r="F242" s="15" t="s">
        <v>922</v>
      </c>
      <c r="G242" s="15" t="s">
        <v>923</v>
      </c>
      <c r="H242" s="15" t="s">
        <v>22</v>
      </c>
      <c r="I242" s="17">
        <v>6001</v>
      </c>
      <c r="J242" s="15" t="s">
        <v>30</v>
      </c>
      <c r="K242" s="15">
        <v>7</v>
      </c>
      <c r="L242" s="15">
        <v>87</v>
      </c>
      <c r="M242" s="15">
        <v>21</v>
      </c>
      <c r="N242" s="15">
        <v>4</v>
      </c>
      <c r="O242" s="15">
        <v>119</v>
      </c>
      <c r="P242" s="15" t="s">
        <v>23</v>
      </c>
    </row>
    <row r="243" spans="1:17" s="15" customFormat="1" x14ac:dyDescent="0.25">
      <c r="A243" s="15">
        <v>333247</v>
      </c>
      <c r="B243" s="15" t="s">
        <v>924</v>
      </c>
      <c r="C243" s="15" t="s">
        <v>925</v>
      </c>
      <c r="D243" s="15" t="s">
        <v>887</v>
      </c>
      <c r="E243" s="16" t="s">
        <v>926</v>
      </c>
      <c r="F243" s="15" t="s">
        <v>927</v>
      </c>
      <c r="G243" s="15" t="s">
        <v>928</v>
      </c>
      <c r="H243" s="15" t="s">
        <v>22</v>
      </c>
      <c r="I243" s="17">
        <v>6001</v>
      </c>
      <c r="J243" s="15" t="s">
        <v>30</v>
      </c>
      <c r="K243" s="15">
        <v>7</v>
      </c>
      <c r="L243" s="15">
        <v>7</v>
      </c>
      <c r="M243" s="15">
        <v>10</v>
      </c>
      <c r="N243" s="15">
        <v>5</v>
      </c>
      <c r="O243" s="15">
        <v>29</v>
      </c>
      <c r="P243" s="15" t="s">
        <v>23</v>
      </c>
    </row>
    <row r="244" spans="1:17" x14ac:dyDescent="0.25">
      <c r="A244" s="6">
        <v>333102</v>
      </c>
      <c r="B244" s="6" t="s">
        <v>929</v>
      </c>
      <c r="C244" s="6" t="s">
        <v>930</v>
      </c>
      <c r="D244" s="6" t="s">
        <v>931</v>
      </c>
      <c r="E244" s="7">
        <v>6033</v>
      </c>
      <c r="F244" s="6" t="s">
        <v>932</v>
      </c>
      <c r="G244" s="6" t="s">
        <v>933</v>
      </c>
      <c r="H244" s="6" t="s">
        <v>22</v>
      </c>
      <c r="I244" s="8">
        <v>6001</v>
      </c>
      <c r="J244" s="6" t="s">
        <v>30</v>
      </c>
      <c r="K244" s="6">
        <v>89</v>
      </c>
      <c r="L244" s="6">
        <v>1980</v>
      </c>
      <c r="M244" s="6">
        <v>207</v>
      </c>
      <c r="N244" s="6">
        <v>0</v>
      </c>
      <c r="O244" s="6">
        <v>2276</v>
      </c>
      <c r="P244" s="6" t="s">
        <v>934</v>
      </c>
      <c r="Q244" s="6"/>
    </row>
    <row r="245" spans="1:17" s="15" customFormat="1" x14ac:dyDescent="0.25">
      <c r="A245" s="15">
        <v>333089</v>
      </c>
      <c r="B245" s="15" t="s">
        <v>935</v>
      </c>
      <c r="C245" s="15" t="s">
        <v>936</v>
      </c>
      <c r="D245" s="15" t="s">
        <v>931</v>
      </c>
      <c r="E245" s="16">
        <v>6033</v>
      </c>
      <c r="F245" s="15" t="s">
        <v>937</v>
      </c>
      <c r="G245" s="15" t="s">
        <v>938</v>
      </c>
      <c r="H245" s="15" t="s">
        <v>22</v>
      </c>
      <c r="I245" s="17">
        <v>6001</v>
      </c>
      <c r="J245" s="15" t="s">
        <v>30</v>
      </c>
      <c r="K245" s="15">
        <v>250</v>
      </c>
      <c r="L245" s="15">
        <v>215</v>
      </c>
      <c r="M245" s="15">
        <v>181</v>
      </c>
      <c r="N245" s="15">
        <v>163</v>
      </c>
      <c r="O245" s="15">
        <v>809</v>
      </c>
      <c r="P245" s="15" t="s">
        <v>23</v>
      </c>
    </row>
    <row r="246" spans="1:17" s="15" customFormat="1" x14ac:dyDescent="0.25">
      <c r="A246" s="15">
        <v>351164</v>
      </c>
      <c r="B246" s="15" t="s">
        <v>939</v>
      </c>
      <c r="C246" s="15" t="s">
        <v>940</v>
      </c>
      <c r="D246" s="15" t="s">
        <v>941</v>
      </c>
      <c r="E246" s="16" t="s">
        <v>942</v>
      </c>
      <c r="F246" s="15" t="s">
        <v>741</v>
      </c>
      <c r="G246" s="15" t="s">
        <v>943</v>
      </c>
      <c r="H246" s="15" t="s">
        <v>22</v>
      </c>
      <c r="I246" s="17">
        <v>6001</v>
      </c>
      <c r="J246" s="15" t="s">
        <v>30</v>
      </c>
      <c r="K246" s="15">
        <v>7</v>
      </c>
      <c r="L246" s="15">
        <v>7</v>
      </c>
      <c r="M246" s="15">
        <v>8</v>
      </c>
      <c r="N246" s="15">
        <v>6</v>
      </c>
      <c r="O246" s="15">
        <v>28</v>
      </c>
      <c r="P246" s="15" t="s">
        <v>23</v>
      </c>
    </row>
    <row r="247" spans="1:17" s="15" customFormat="1" x14ac:dyDescent="0.25">
      <c r="A247" s="15">
        <v>333153</v>
      </c>
      <c r="B247" s="15" t="s">
        <v>944</v>
      </c>
      <c r="C247" s="15" t="s">
        <v>945</v>
      </c>
      <c r="D247" s="15" t="s">
        <v>946</v>
      </c>
      <c r="E247" s="16" t="s">
        <v>947</v>
      </c>
      <c r="F247" s="15" t="s">
        <v>948</v>
      </c>
      <c r="G247" s="15" t="s">
        <v>949</v>
      </c>
      <c r="H247" s="15" t="s">
        <v>22</v>
      </c>
      <c r="I247" s="17">
        <v>6001</v>
      </c>
      <c r="J247" s="15" t="s">
        <v>30</v>
      </c>
      <c r="K247" s="15">
        <v>115</v>
      </c>
      <c r="L247" s="15">
        <v>48</v>
      </c>
      <c r="M247" s="15">
        <v>96</v>
      </c>
      <c r="N247" s="15">
        <v>53</v>
      </c>
      <c r="O247" s="15">
        <v>312</v>
      </c>
      <c r="P247" s="15" t="s">
        <v>23</v>
      </c>
    </row>
    <row r="248" spans="1:17" s="15" customFormat="1" x14ac:dyDescent="0.25">
      <c r="A248" s="15">
        <v>333154</v>
      </c>
      <c r="B248" s="15" t="s">
        <v>944</v>
      </c>
      <c r="C248" s="15" t="s">
        <v>945</v>
      </c>
      <c r="D248" s="15" t="s">
        <v>946</v>
      </c>
      <c r="E248" s="16" t="s">
        <v>947</v>
      </c>
      <c r="F248" s="15" t="s">
        <v>948</v>
      </c>
      <c r="G248" s="15" t="s">
        <v>950</v>
      </c>
      <c r="H248" s="15" t="s">
        <v>22</v>
      </c>
      <c r="I248" s="17">
        <v>6001</v>
      </c>
      <c r="J248" s="15" t="s">
        <v>30</v>
      </c>
      <c r="K248" s="15">
        <v>111</v>
      </c>
      <c r="L248" s="15">
        <v>52</v>
      </c>
      <c r="M248" s="15">
        <v>85</v>
      </c>
      <c r="N248" s="15">
        <v>60</v>
      </c>
      <c r="O248" s="15">
        <v>308</v>
      </c>
      <c r="P248" s="15" t="s">
        <v>23</v>
      </c>
    </row>
    <row r="249" spans="1:17" s="15" customFormat="1" x14ac:dyDescent="0.25">
      <c r="A249" s="15">
        <v>333039</v>
      </c>
      <c r="B249" s="15" t="s">
        <v>951</v>
      </c>
      <c r="C249" s="15" t="s">
        <v>945</v>
      </c>
      <c r="D249" s="15" t="s">
        <v>946</v>
      </c>
      <c r="E249" s="16" t="s">
        <v>947</v>
      </c>
      <c r="F249" s="15" t="s">
        <v>952</v>
      </c>
      <c r="G249" s="15" t="s">
        <v>953</v>
      </c>
      <c r="H249" s="15" t="s">
        <v>22</v>
      </c>
      <c r="I249" s="17">
        <v>6001</v>
      </c>
      <c r="J249" s="15" t="s">
        <v>30</v>
      </c>
      <c r="K249" s="15">
        <v>187</v>
      </c>
      <c r="L249" s="15">
        <v>102</v>
      </c>
      <c r="M249" s="15">
        <v>145</v>
      </c>
      <c r="N249" s="15">
        <v>137</v>
      </c>
      <c r="O249" s="15">
        <v>571</v>
      </c>
      <c r="P249" s="15" t="s">
        <v>23</v>
      </c>
    </row>
    <row r="250" spans="1:17" s="15" customFormat="1" x14ac:dyDescent="0.25">
      <c r="A250" s="15">
        <v>337038</v>
      </c>
      <c r="B250" s="15" t="s">
        <v>954</v>
      </c>
      <c r="C250" s="15" t="s">
        <v>955</v>
      </c>
      <c r="D250" s="15" t="s">
        <v>946</v>
      </c>
      <c r="E250" s="16">
        <v>6102</v>
      </c>
      <c r="F250" s="15" t="s">
        <v>704</v>
      </c>
      <c r="G250" s="15" t="s">
        <v>956</v>
      </c>
      <c r="H250" s="15" t="s">
        <v>22</v>
      </c>
      <c r="I250" s="17">
        <v>6001</v>
      </c>
      <c r="J250" s="15" t="s">
        <v>30</v>
      </c>
      <c r="K250" s="15">
        <v>7</v>
      </c>
      <c r="L250" s="15">
        <v>9</v>
      </c>
      <c r="M250" s="15">
        <v>7</v>
      </c>
      <c r="N250" s="15">
        <v>8</v>
      </c>
      <c r="O250" s="15">
        <v>31</v>
      </c>
      <c r="P250" s="15" t="s">
        <v>23</v>
      </c>
    </row>
    <row r="251" spans="1:17" s="15" customFormat="1" x14ac:dyDescent="0.25">
      <c r="A251" s="15">
        <v>372999</v>
      </c>
      <c r="B251" s="15" t="s">
        <v>954</v>
      </c>
      <c r="C251" s="15" t="s">
        <v>955</v>
      </c>
      <c r="D251" s="15" t="s">
        <v>946</v>
      </c>
      <c r="E251" s="16">
        <v>6102</v>
      </c>
      <c r="F251" s="15" t="s">
        <v>704</v>
      </c>
      <c r="G251" s="15" t="s">
        <v>957</v>
      </c>
      <c r="H251" s="15" t="s">
        <v>22</v>
      </c>
      <c r="I251" s="17">
        <v>6001</v>
      </c>
      <c r="J251" s="15" t="s">
        <v>30</v>
      </c>
      <c r="K251" s="15">
        <v>8</v>
      </c>
      <c r="L251" s="15">
        <v>10</v>
      </c>
      <c r="M251" s="15">
        <v>4</v>
      </c>
      <c r="N251" s="15">
        <v>0</v>
      </c>
      <c r="O251" s="15">
        <v>22</v>
      </c>
      <c r="P251" s="15" t="s">
        <v>23</v>
      </c>
    </row>
    <row r="252" spans="1:17" s="15" customFormat="1" x14ac:dyDescent="0.25">
      <c r="A252" s="15">
        <v>372943</v>
      </c>
      <c r="B252" s="15" t="s">
        <v>954</v>
      </c>
      <c r="C252" s="15" t="s">
        <v>955</v>
      </c>
      <c r="D252" s="15" t="s">
        <v>946</v>
      </c>
      <c r="E252" s="16">
        <v>6102</v>
      </c>
      <c r="F252" s="15" t="s">
        <v>704</v>
      </c>
      <c r="G252" s="15" t="s">
        <v>878</v>
      </c>
      <c r="H252" s="15" t="s">
        <v>22</v>
      </c>
      <c r="I252" s="17">
        <v>6001</v>
      </c>
      <c r="J252" s="15" t="s">
        <v>30</v>
      </c>
      <c r="K252" s="15">
        <v>0</v>
      </c>
      <c r="L252" s="15">
        <v>0</v>
      </c>
      <c r="M252" s="15">
        <v>0</v>
      </c>
      <c r="N252" s="15">
        <v>0</v>
      </c>
      <c r="O252" s="15">
        <v>0</v>
      </c>
      <c r="P252" s="15" t="s">
        <v>23</v>
      </c>
    </row>
    <row r="253" spans="1:17" s="15" customFormat="1" x14ac:dyDescent="0.25">
      <c r="A253" s="15">
        <v>360142</v>
      </c>
      <c r="B253" s="15" t="s">
        <v>958</v>
      </c>
      <c r="C253" s="15" t="s">
        <v>959</v>
      </c>
      <c r="D253" s="15" t="s">
        <v>960</v>
      </c>
      <c r="E253" s="16" t="s">
        <v>961</v>
      </c>
      <c r="F253" s="15" t="s">
        <v>962</v>
      </c>
      <c r="G253" s="15" t="s">
        <v>963</v>
      </c>
      <c r="H253" s="15" t="s">
        <v>22</v>
      </c>
      <c r="I253" s="17">
        <v>6001</v>
      </c>
      <c r="J253" s="15" t="s">
        <v>30</v>
      </c>
      <c r="K253" s="15">
        <v>10</v>
      </c>
      <c r="L253" s="15">
        <v>17</v>
      </c>
      <c r="M253" s="15">
        <v>15</v>
      </c>
      <c r="N253" s="15">
        <v>12</v>
      </c>
      <c r="O253" s="15">
        <v>54</v>
      </c>
      <c r="P253" s="15" t="s">
        <v>23</v>
      </c>
    </row>
    <row r="254" spans="1:17" s="15" customFormat="1" x14ac:dyDescent="0.25">
      <c r="A254" s="15">
        <v>360140</v>
      </c>
      <c r="B254" s="15" t="s">
        <v>958</v>
      </c>
      <c r="C254" s="15" t="s">
        <v>959</v>
      </c>
      <c r="D254" s="15" t="s">
        <v>960</v>
      </c>
      <c r="E254" s="16" t="s">
        <v>961</v>
      </c>
      <c r="F254" s="15" t="s">
        <v>964</v>
      </c>
      <c r="G254" s="15" t="s">
        <v>965</v>
      </c>
      <c r="H254" s="15" t="s">
        <v>22</v>
      </c>
      <c r="I254" s="17">
        <v>6001</v>
      </c>
      <c r="J254" s="15" t="s">
        <v>30</v>
      </c>
      <c r="K254" s="15">
        <v>60</v>
      </c>
      <c r="L254" s="15">
        <v>124</v>
      </c>
      <c r="M254" s="15">
        <v>62</v>
      </c>
      <c r="N254" s="15">
        <v>0</v>
      </c>
      <c r="O254" s="15">
        <v>246</v>
      </c>
      <c r="P254" s="15" t="s">
        <v>23</v>
      </c>
    </row>
    <row r="255" spans="1:17" s="15" customFormat="1" x14ac:dyDescent="0.25">
      <c r="A255" s="15">
        <v>360132</v>
      </c>
      <c r="B255" s="15" t="s">
        <v>958</v>
      </c>
      <c r="C255" s="15" t="s">
        <v>959</v>
      </c>
      <c r="D255" s="15" t="s">
        <v>960</v>
      </c>
      <c r="E255" s="16">
        <v>33020</v>
      </c>
      <c r="F255" s="15" t="s">
        <v>966</v>
      </c>
      <c r="G255" s="15" t="s">
        <v>967</v>
      </c>
      <c r="H255" s="15" t="s">
        <v>22</v>
      </c>
      <c r="I255" s="17">
        <v>6001</v>
      </c>
      <c r="J255" s="15" t="s">
        <v>30</v>
      </c>
      <c r="K255" s="15">
        <v>699</v>
      </c>
      <c r="L255" s="15">
        <v>839</v>
      </c>
      <c r="M255" s="15">
        <v>681</v>
      </c>
      <c r="N255" s="15">
        <v>498</v>
      </c>
      <c r="O255" s="15">
        <v>2717</v>
      </c>
      <c r="P255" s="15" t="s">
        <v>23</v>
      </c>
    </row>
    <row r="256" spans="1:17" s="15" customFormat="1" x14ac:dyDescent="0.25">
      <c r="A256" s="15">
        <v>329391</v>
      </c>
      <c r="B256" s="15" t="s">
        <v>968</v>
      </c>
      <c r="C256" s="15" t="s">
        <v>969</v>
      </c>
      <c r="D256" s="15" t="s">
        <v>970</v>
      </c>
      <c r="E256" s="16" t="s">
        <v>971</v>
      </c>
      <c r="F256" s="15" t="s">
        <v>972</v>
      </c>
      <c r="G256" s="15" t="s">
        <v>973</v>
      </c>
      <c r="H256" s="15" t="s">
        <v>22</v>
      </c>
      <c r="I256" s="17">
        <v>6001</v>
      </c>
      <c r="J256" s="15" t="s">
        <v>30</v>
      </c>
      <c r="K256" s="15">
        <v>1</v>
      </c>
      <c r="L256" s="15">
        <v>103</v>
      </c>
      <c r="M256" s="15">
        <v>9</v>
      </c>
      <c r="N256" s="15">
        <v>0</v>
      </c>
      <c r="O256" s="15">
        <v>113</v>
      </c>
      <c r="P256" s="15" t="s">
        <v>974</v>
      </c>
    </row>
    <row r="257" spans="1:17" s="6" customFormat="1" x14ac:dyDescent="0.25">
      <c r="A257" s="6">
        <v>329392</v>
      </c>
      <c r="B257" s="6" t="s">
        <v>968</v>
      </c>
      <c r="C257" s="6" t="s">
        <v>975</v>
      </c>
      <c r="D257" s="6" t="s">
        <v>970</v>
      </c>
      <c r="E257" s="7" t="s">
        <v>971</v>
      </c>
      <c r="F257" s="6" t="s">
        <v>976</v>
      </c>
      <c r="G257" s="6" t="s">
        <v>977</v>
      </c>
      <c r="H257" s="6" t="s">
        <v>22</v>
      </c>
      <c r="I257" s="8">
        <v>6001</v>
      </c>
      <c r="J257" s="6" t="s">
        <v>30</v>
      </c>
      <c r="K257" s="6">
        <v>17</v>
      </c>
      <c r="L257" s="6">
        <v>11</v>
      </c>
      <c r="M257" s="6">
        <v>11</v>
      </c>
      <c r="N257" s="6">
        <v>11</v>
      </c>
      <c r="O257" s="6">
        <v>50</v>
      </c>
      <c r="P257" s="6" t="s">
        <v>23</v>
      </c>
    </row>
    <row r="258" spans="1:17" s="15" customFormat="1" x14ac:dyDescent="0.25">
      <c r="A258" s="15">
        <v>328517</v>
      </c>
      <c r="B258" s="15" t="s">
        <v>978</v>
      </c>
      <c r="C258" s="15" t="s">
        <v>979</v>
      </c>
      <c r="D258" s="15" t="s">
        <v>980</v>
      </c>
      <c r="E258" s="16" t="s">
        <v>981</v>
      </c>
      <c r="F258" s="15" t="s">
        <v>982</v>
      </c>
      <c r="G258" s="15" t="s">
        <v>983</v>
      </c>
      <c r="H258" s="15" t="s">
        <v>22</v>
      </c>
      <c r="I258" s="17">
        <v>6001</v>
      </c>
      <c r="J258" s="15" t="s">
        <v>30</v>
      </c>
      <c r="K258" s="15">
        <v>2</v>
      </c>
      <c r="L258" s="15">
        <v>2</v>
      </c>
      <c r="M258" s="15">
        <v>1</v>
      </c>
      <c r="N258" s="15">
        <v>2</v>
      </c>
      <c r="O258" s="15">
        <v>7</v>
      </c>
      <c r="P258" s="15" t="s">
        <v>23</v>
      </c>
    </row>
    <row r="259" spans="1:17" x14ac:dyDescent="0.25">
      <c r="A259" s="6">
        <v>333136</v>
      </c>
      <c r="B259" s="6" t="s">
        <v>984</v>
      </c>
      <c r="C259" s="6" t="s">
        <v>985</v>
      </c>
      <c r="D259" s="6" t="s">
        <v>986</v>
      </c>
      <c r="E259" s="7">
        <v>2919</v>
      </c>
      <c r="F259" s="6" t="s">
        <v>987</v>
      </c>
      <c r="G259" s="6" t="s">
        <v>988</v>
      </c>
      <c r="H259" s="6" t="s">
        <v>22</v>
      </c>
      <c r="I259" s="8">
        <v>6001</v>
      </c>
      <c r="J259" s="6" t="s">
        <v>30</v>
      </c>
      <c r="K259" s="6">
        <v>7</v>
      </c>
      <c r="L259" s="6">
        <v>6</v>
      </c>
      <c r="M259" s="6">
        <v>5</v>
      </c>
      <c r="N259" s="6">
        <v>4</v>
      </c>
      <c r="O259" s="6">
        <v>22</v>
      </c>
      <c r="P259" s="6" t="s">
        <v>23</v>
      </c>
      <c r="Q259" s="6"/>
    </row>
    <row r="260" spans="1:17" x14ac:dyDescent="0.25">
      <c r="A260" s="6">
        <v>333137</v>
      </c>
      <c r="B260" s="6" t="s">
        <v>989</v>
      </c>
      <c r="C260" s="6" t="s">
        <v>985</v>
      </c>
      <c r="D260" s="6" t="s">
        <v>986</v>
      </c>
      <c r="E260" s="7">
        <v>2919</v>
      </c>
      <c r="F260" s="6" t="s">
        <v>990</v>
      </c>
      <c r="G260" s="6" t="s">
        <v>991</v>
      </c>
      <c r="H260" s="6" t="s">
        <v>22</v>
      </c>
      <c r="I260" s="8">
        <v>6001</v>
      </c>
      <c r="J260" s="6" t="s">
        <v>30</v>
      </c>
      <c r="K260" s="6">
        <v>9</v>
      </c>
      <c r="L260" s="6">
        <v>94</v>
      </c>
      <c r="M260" s="6">
        <v>35</v>
      </c>
      <c r="N260" s="6">
        <v>0</v>
      </c>
      <c r="O260" s="6">
        <v>138</v>
      </c>
      <c r="P260" s="6" t="s">
        <v>23</v>
      </c>
      <c r="Q260" s="6"/>
    </row>
    <row r="261" spans="1:17" x14ac:dyDescent="0.25">
      <c r="A261" s="6">
        <v>329162</v>
      </c>
      <c r="B261" s="6" t="s">
        <v>984</v>
      </c>
      <c r="C261" s="6" t="s">
        <v>985</v>
      </c>
      <c r="D261" s="6" t="s">
        <v>986</v>
      </c>
      <c r="E261" s="7">
        <v>2919</v>
      </c>
      <c r="F261" s="6" t="s">
        <v>992</v>
      </c>
      <c r="G261" s="6" t="s">
        <v>993</v>
      </c>
      <c r="H261" s="6" t="s">
        <v>22</v>
      </c>
      <c r="I261" s="8">
        <v>6001</v>
      </c>
      <c r="J261" s="6" t="s">
        <v>30</v>
      </c>
      <c r="K261" s="6">
        <v>31</v>
      </c>
      <c r="L261" s="6">
        <v>43</v>
      </c>
      <c r="M261" s="6">
        <v>48</v>
      </c>
      <c r="N261" s="6">
        <v>37</v>
      </c>
      <c r="O261" s="6">
        <v>159</v>
      </c>
      <c r="P261" s="6" t="s">
        <v>23</v>
      </c>
      <c r="Q261" s="6"/>
    </row>
    <row r="262" spans="1:17" x14ac:dyDescent="0.25">
      <c r="A262" s="6">
        <v>329169</v>
      </c>
      <c r="B262" s="6" t="s">
        <v>994</v>
      </c>
      <c r="C262" s="6" t="s">
        <v>985</v>
      </c>
      <c r="D262" s="6" t="s">
        <v>986</v>
      </c>
      <c r="E262" s="7">
        <v>2919</v>
      </c>
      <c r="F262" s="6" t="s">
        <v>995</v>
      </c>
      <c r="G262" s="6" t="s">
        <v>996</v>
      </c>
      <c r="H262" s="6" t="s">
        <v>22</v>
      </c>
      <c r="I262" s="8">
        <v>6001</v>
      </c>
      <c r="J262" s="6" t="s">
        <v>30</v>
      </c>
      <c r="K262" s="6">
        <v>9</v>
      </c>
      <c r="L262" s="6">
        <v>7</v>
      </c>
      <c r="M262" s="6">
        <v>8</v>
      </c>
      <c r="N262" s="6">
        <v>8</v>
      </c>
      <c r="O262" s="6">
        <v>32</v>
      </c>
      <c r="P262" s="6" t="s">
        <v>23</v>
      </c>
      <c r="Q262" s="6"/>
    </row>
    <row r="263" spans="1:17" x14ac:dyDescent="0.25">
      <c r="A263" s="6">
        <v>329170</v>
      </c>
      <c r="B263" s="6" t="s">
        <v>984</v>
      </c>
      <c r="C263" s="6" t="s">
        <v>985</v>
      </c>
      <c r="D263" s="6" t="s">
        <v>986</v>
      </c>
      <c r="E263" s="7">
        <v>2919</v>
      </c>
      <c r="F263" s="6" t="s">
        <v>997</v>
      </c>
      <c r="G263" s="6" t="s">
        <v>998</v>
      </c>
      <c r="H263" s="6" t="s">
        <v>22</v>
      </c>
      <c r="I263" s="8">
        <v>6001</v>
      </c>
      <c r="J263" s="6" t="s">
        <v>30</v>
      </c>
      <c r="K263" s="6">
        <v>13</v>
      </c>
      <c r="L263" s="6">
        <v>115</v>
      </c>
      <c r="M263" s="6">
        <v>21</v>
      </c>
      <c r="N263" s="6">
        <v>0</v>
      </c>
      <c r="O263" s="6">
        <v>149</v>
      </c>
      <c r="P263" s="6" t="s">
        <v>23</v>
      </c>
      <c r="Q263" s="6"/>
    </row>
    <row r="264" spans="1:17" s="6" customFormat="1" x14ac:dyDescent="0.25">
      <c r="A264" s="6">
        <v>333141</v>
      </c>
      <c r="B264" s="6" t="s">
        <v>984</v>
      </c>
      <c r="C264" s="6" t="s">
        <v>985</v>
      </c>
      <c r="D264" s="6" t="s">
        <v>986</v>
      </c>
      <c r="E264" s="7">
        <v>2919</v>
      </c>
      <c r="F264" s="6" t="s">
        <v>999</v>
      </c>
      <c r="G264" s="6" t="s">
        <v>1000</v>
      </c>
      <c r="H264" s="6" t="s">
        <v>22</v>
      </c>
      <c r="I264" s="8">
        <v>6001</v>
      </c>
      <c r="J264" s="6" t="s">
        <v>30</v>
      </c>
      <c r="K264" s="6">
        <v>1</v>
      </c>
      <c r="L264" s="6">
        <v>0</v>
      </c>
      <c r="M264" s="6">
        <v>0</v>
      </c>
      <c r="N264" s="6">
        <v>0</v>
      </c>
      <c r="O264" s="6">
        <v>1</v>
      </c>
      <c r="P264" s="6" t="s">
        <v>23</v>
      </c>
    </row>
    <row r="265" spans="1:17" s="6" customFormat="1" x14ac:dyDescent="0.25">
      <c r="A265" s="6">
        <v>333139</v>
      </c>
      <c r="B265" s="6" t="s">
        <v>984</v>
      </c>
      <c r="C265" s="6" t="s">
        <v>985</v>
      </c>
      <c r="D265" s="6" t="s">
        <v>986</v>
      </c>
      <c r="E265" s="7">
        <v>2919</v>
      </c>
      <c r="F265" s="6" t="s">
        <v>1001</v>
      </c>
      <c r="G265" s="6" t="s">
        <v>1002</v>
      </c>
      <c r="H265" s="6" t="s">
        <v>22</v>
      </c>
      <c r="I265" s="8">
        <v>6001</v>
      </c>
      <c r="J265" s="6" t="s">
        <v>30</v>
      </c>
      <c r="K265" s="6">
        <v>26</v>
      </c>
      <c r="L265" s="6">
        <v>13</v>
      </c>
      <c r="M265" s="6">
        <v>12</v>
      </c>
      <c r="N265" s="6">
        <v>12</v>
      </c>
      <c r="O265" s="6">
        <v>63</v>
      </c>
      <c r="P265" s="6" t="s">
        <v>23</v>
      </c>
    </row>
    <row r="266" spans="1:17" s="12" customFormat="1" x14ac:dyDescent="0.25">
      <c r="A266" s="12">
        <v>375537</v>
      </c>
      <c r="B266" s="12" t="s">
        <v>1003</v>
      </c>
      <c r="C266" s="12" t="s">
        <v>985</v>
      </c>
      <c r="D266" s="12" t="s">
        <v>986</v>
      </c>
      <c r="E266" s="13" t="s">
        <v>1004</v>
      </c>
      <c r="F266" s="12" t="s">
        <v>1005</v>
      </c>
      <c r="G266" s="12" t="s">
        <v>1006</v>
      </c>
      <c r="H266" s="12" t="s">
        <v>22</v>
      </c>
      <c r="I266" s="14">
        <v>6001</v>
      </c>
      <c r="J266" s="12" t="s">
        <v>30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 t="s">
        <v>23</v>
      </c>
    </row>
    <row r="267" spans="1:17" x14ac:dyDescent="0.25">
      <c r="A267" s="6">
        <v>375534</v>
      </c>
      <c r="B267" s="6" t="s">
        <v>1003</v>
      </c>
      <c r="C267" s="6" t="s">
        <v>985</v>
      </c>
      <c r="D267" s="6" t="s">
        <v>986</v>
      </c>
      <c r="E267" s="7" t="s">
        <v>1004</v>
      </c>
      <c r="F267" s="6" t="s">
        <v>1007</v>
      </c>
      <c r="G267" s="6" t="s">
        <v>1008</v>
      </c>
      <c r="H267" s="6" t="s">
        <v>22</v>
      </c>
      <c r="I267" s="8">
        <v>6001</v>
      </c>
      <c r="J267" s="6" t="s">
        <v>30</v>
      </c>
      <c r="K267" s="6">
        <v>2</v>
      </c>
      <c r="L267" s="6">
        <v>12</v>
      </c>
      <c r="M267" s="6">
        <v>0</v>
      </c>
      <c r="N267" s="6">
        <v>0</v>
      </c>
      <c r="O267" s="6">
        <v>14</v>
      </c>
      <c r="P267" s="6" t="s">
        <v>23</v>
      </c>
      <c r="Q267" s="6"/>
    </row>
    <row r="268" spans="1:17" x14ac:dyDescent="0.25">
      <c r="A268" s="6">
        <v>375535</v>
      </c>
      <c r="B268" s="6" t="s">
        <v>1003</v>
      </c>
      <c r="C268" s="6" t="s">
        <v>985</v>
      </c>
      <c r="D268" s="6" t="s">
        <v>986</v>
      </c>
      <c r="E268" s="7" t="s">
        <v>1004</v>
      </c>
      <c r="F268" s="6" t="s">
        <v>1009</v>
      </c>
      <c r="G268" s="6" t="s">
        <v>1010</v>
      </c>
      <c r="H268" s="6" t="s">
        <v>22</v>
      </c>
      <c r="I268" s="8">
        <v>6001</v>
      </c>
      <c r="J268" s="6" t="s">
        <v>30</v>
      </c>
      <c r="K268" s="6">
        <v>1</v>
      </c>
      <c r="L268" s="6">
        <v>11</v>
      </c>
      <c r="M268" s="6">
        <v>0</v>
      </c>
      <c r="N268" s="6">
        <v>0</v>
      </c>
      <c r="O268" s="6">
        <v>12</v>
      </c>
      <c r="P268" s="6" t="s">
        <v>23</v>
      </c>
      <c r="Q268" s="6"/>
    </row>
    <row r="269" spans="1:17" x14ac:dyDescent="0.25">
      <c r="A269" s="6">
        <v>368207</v>
      </c>
      <c r="B269" s="6" t="s">
        <v>1003</v>
      </c>
      <c r="C269" s="6" t="s">
        <v>985</v>
      </c>
      <c r="D269" s="6" t="s">
        <v>986</v>
      </c>
      <c r="E269" s="7" t="s">
        <v>1004</v>
      </c>
      <c r="F269" s="6" t="s">
        <v>1011</v>
      </c>
      <c r="G269" s="6" t="s">
        <v>1012</v>
      </c>
      <c r="H269" s="6" t="s">
        <v>22</v>
      </c>
      <c r="I269" s="8">
        <v>6001</v>
      </c>
      <c r="J269" s="6" t="s">
        <v>30</v>
      </c>
      <c r="K269" s="6">
        <v>0</v>
      </c>
      <c r="L269" s="6">
        <v>0</v>
      </c>
      <c r="M269" s="6">
        <v>81</v>
      </c>
      <c r="N269" s="6">
        <v>6</v>
      </c>
      <c r="O269" s="6">
        <v>87</v>
      </c>
      <c r="P269" s="6" t="s">
        <v>1013</v>
      </c>
      <c r="Q269" s="6"/>
    </row>
    <row r="270" spans="1:17" x14ac:dyDescent="0.25">
      <c r="A270" s="6">
        <v>333142</v>
      </c>
      <c r="B270" s="6" t="s">
        <v>984</v>
      </c>
      <c r="C270" s="6" t="s">
        <v>985</v>
      </c>
      <c r="D270" s="6" t="s">
        <v>986</v>
      </c>
      <c r="E270" s="7" t="s">
        <v>1004</v>
      </c>
      <c r="F270" s="6" t="s">
        <v>1014</v>
      </c>
      <c r="G270" s="6" t="s">
        <v>1015</v>
      </c>
      <c r="H270" s="6" t="s">
        <v>22</v>
      </c>
      <c r="I270" s="8">
        <v>6001</v>
      </c>
      <c r="J270" s="6" t="s">
        <v>30</v>
      </c>
      <c r="K270" s="6">
        <v>0</v>
      </c>
      <c r="L270" s="6">
        <v>0</v>
      </c>
      <c r="M270" s="6">
        <v>0</v>
      </c>
      <c r="N270" s="6">
        <v>0</v>
      </c>
      <c r="O270" s="6">
        <v>0</v>
      </c>
      <c r="P270" s="6" t="s">
        <v>23</v>
      </c>
      <c r="Q270" s="6"/>
    </row>
    <row r="271" spans="1:17" x14ac:dyDescent="0.25">
      <c r="A271" s="6">
        <v>329171</v>
      </c>
      <c r="B271" s="6" t="s">
        <v>994</v>
      </c>
      <c r="C271" s="6" t="s">
        <v>985</v>
      </c>
      <c r="D271" s="6" t="s">
        <v>986</v>
      </c>
      <c r="E271" s="7">
        <v>2919</v>
      </c>
      <c r="F271" s="6" t="s">
        <v>1016</v>
      </c>
      <c r="G271" s="6" t="s">
        <v>1017</v>
      </c>
      <c r="H271" s="6" t="s">
        <v>22</v>
      </c>
      <c r="I271" s="8">
        <v>6001</v>
      </c>
      <c r="J271" s="6" t="s">
        <v>30</v>
      </c>
      <c r="K271" s="6">
        <v>28</v>
      </c>
      <c r="L271" s="6">
        <v>20</v>
      </c>
      <c r="M271" s="6">
        <v>13</v>
      </c>
      <c r="N271" s="6">
        <v>15</v>
      </c>
      <c r="O271" s="6">
        <v>76</v>
      </c>
      <c r="P271" s="6" t="s">
        <v>23</v>
      </c>
      <c r="Q271" s="6"/>
    </row>
    <row r="272" spans="1:17" x14ac:dyDescent="0.25">
      <c r="A272" s="6">
        <v>329172</v>
      </c>
      <c r="B272" s="6" t="s">
        <v>1018</v>
      </c>
      <c r="C272" s="6" t="s">
        <v>985</v>
      </c>
      <c r="D272" s="6" t="s">
        <v>986</v>
      </c>
      <c r="E272" s="7">
        <v>2919</v>
      </c>
      <c r="F272" s="6" t="s">
        <v>1016</v>
      </c>
      <c r="G272" s="6" t="s">
        <v>1019</v>
      </c>
      <c r="H272" s="6" t="s">
        <v>22</v>
      </c>
      <c r="I272" s="8">
        <v>6001</v>
      </c>
      <c r="J272" s="6" t="s">
        <v>30</v>
      </c>
      <c r="K272" s="6">
        <v>10</v>
      </c>
      <c r="L272" s="6">
        <v>81</v>
      </c>
      <c r="M272" s="6">
        <v>17</v>
      </c>
      <c r="N272" s="6">
        <v>0</v>
      </c>
      <c r="O272" s="6">
        <v>108</v>
      </c>
      <c r="P272" s="6" t="s">
        <v>23</v>
      </c>
      <c r="Q272" s="6"/>
    </row>
    <row r="273" spans="1:17" x14ac:dyDescent="0.25">
      <c r="A273" s="6">
        <v>329164</v>
      </c>
      <c r="B273" s="6" t="s">
        <v>984</v>
      </c>
      <c r="C273" s="6" t="s">
        <v>985</v>
      </c>
      <c r="D273" s="6" t="s">
        <v>986</v>
      </c>
      <c r="E273" s="7" t="s">
        <v>1004</v>
      </c>
      <c r="F273" s="6" t="s">
        <v>1020</v>
      </c>
      <c r="G273" s="6" t="s">
        <v>1021</v>
      </c>
      <c r="H273" s="6" t="s">
        <v>22</v>
      </c>
      <c r="I273" s="8">
        <v>6001</v>
      </c>
      <c r="J273" s="6" t="s">
        <v>30</v>
      </c>
      <c r="K273" s="6">
        <v>0</v>
      </c>
      <c r="L273" s="6">
        <v>1</v>
      </c>
      <c r="M273" s="6">
        <v>0</v>
      </c>
      <c r="N273" s="6">
        <v>1</v>
      </c>
      <c r="O273" s="6">
        <v>2</v>
      </c>
      <c r="P273" s="6" t="s">
        <v>23</v>
      </c>
      <c r="Q273" s="6"/>
    </row>
    <row r="274" spans="1:17" x14ac:dyDescent="0.25">
      <c r="A274" s="6">
        <v>329165</v>
      </c>
      <c r="B274" s="6" t="s">
        <v>984</v>
      </c>
      <c r="C274" s="6" t="s">
        <v>985</v>
      </c>
      <c r="D274" s="6" t="s">
        <v>986</v>
      </c>
      <c r="E274" s="7">
        <v>2919</v>
      </c>
      <c r="F274" s="6" t="s">
        <v>1022</v>
      </c>
      <c r="G274" s="6" t="s">
        <v>1023</v>
      </c>
      <c r="H274" s="6" t="s">
        <v>22</v>
      </c>
      <c r="I274" s="8">
        <v>6001</v>
      </c>
      <c r="J274" s="6" t="s">
        <v>30</v>
      </c>
      <c r="K274" s="6">
        <v>3</v>
      </c>
      <c r="L274" s="6">
        <v>19</v>
      </c>
      <c r="M274" s="6">
        <v>4</v>
      </c>
      <c r="N274" s="6">
        <v>0</v>
      </c>
      <c r="O274" s="6">
        <v>26</v>
      </c>
      <c r="P274" s="6" t="s">
        <v>23</v>
      </c>
      <c r="Q274" s="6"/>
    </row>
    <row r="275" spans="1:17" s="6" customFormat="1" x14ac:dyDescent="0.25">
      <c r="A275" s="6">
        <v>333124</v>
      </c>
      <c r="B275" s="6" t="s">
        <v>994</v>
      </c>
      <c r="C275" s="6" t="s">
        <v>985</v>
      </c>
      <c r="D275" s="6" t="s">
        <v>986</v>
      </c>
      <c r="E275" s="7" t="s">
        <v>1004</v>
      </c>
      <c r="F275" s="6" t="s">
        <v>1024</v>
      </c>
      <c r="G275" s="6" t="s">
        <v>1025</v>
      </c>
      <c r="H275" s="6" t="s">
        <v>22</v>
      </c>
      <c r="I275" s="8">
        <v>6001</v>
      </c>
      <c r="J275" s="6" t="s">
        <v>30</v>
      </c>
      <c r="K275" s="6">
        <v>11</v>
      </c>
      <c r="L275" s="6">
        <v>110</v>
      </c>
      <c r="M275" s="6">
        <v>40</v>
      </c>
      <c r="N275" s="6">
        <v>0</v>
      </c>
      <c r="O275" s="6">
        <v>161</v>
      </c>
      <c r="P275" s="6" t="s">
        <v>93</v>
      </c>
    </row>
    <row r="276" spans="1:17" s="6" customFormat="1" x14ac:dyDescent="0.25">
      <c r="A276" s="6">
        <v>371724</v>
      </c>
      <c r="B276" s="6" t="s">
        <v>1003</v>
      </c>
      <c r="C276" s="6" t="s">
        <v>985</v>
      </c>
      <c r="D276" s="6" t="s">
        <v>986</v>
      </c>
      <c r="E276" s="7" t="s">
        <v>1004</v>
      </c>
      <c r="F276" s="6" t="s">
        <v>1026</v>
      </c>
      <c r="G276" s="6" t="s">
        <v>1027</v>
      </c>
      <c r="H276" s="6" t="s">
        <v>22</v>
      </c>
      <c r="I276" s="8">
        <v>6001</v>
      </c>
      <c r="J276" s="6" t="s">
        <v>30</v>
      </c>
      <c r="K276" s="6">
        <v>52</v>
      </c>
      <c r="L276" s="6">
        <v>1359</v>
      </c>
      <c r="M276" s="6">
        <v>771</v>
      </c>
      <c r="N276" s="6">
        <v>0</v>
      </c>
      <c r="O276" s="6">
        <v>2182</v>
      </c>
      <c r="P276" s="6" t="s">
        <v>23</v>
      </c>
    </row>
    <row r="277" spans="1:17" s="6" customFormat="1" x14ac:dyDescent="0.25">
      <c r="A277" s="6">
        <v>371725</v>
      </c>
      <c r="B277" s="6" t="s">
        <v>1003</v>
      </c>
      <c r="C277" s="6" t="s">
        <v>985</v>
      </c>
      <c r="D277" s="6" t="s">
        <v>986</v>
      </c>
      <c r="E277" s="7" t="s">
        <v>1004</v>
      </c>
      <c r="F277" s="6" t="s">
        <v>1026</v>
      </c>
      <c r="G277" s="6" t="s">
        <v>1028</v>
      </c>
      <c r="H277" s="6" t="s">
        <v>22</v>
      </c>
      <c r="I277" s="8">
        <v>6001</v>
      </c>
      <c r="J277" s="6" t="s">
        <v>30</v>
      </c>
      <c r="K277" s="6">
        <v>0</v>
      </c>
      <c r="L277" s="6">
        <v>0</v>
      </c>
      <c r="M277" s="6">
        <v>1</v>
      </c>
      <c r="N277" s="6">
        <v>0</v>
      </c>
      <c r="O277" s="6">
        <v>1</v>
      </c>
      <c r="P277" s="6" t="s">
        <v>23</v>
      </c>
    </row>
    <row r="278" spans="1:17" s="6" customFormat="1" x14ac:dyDescent="0.25">
      <c r="A278" s="6">
        <v>371723</v>
      </c>
      <c r="B278" s="6" t="s">
        <v>1003</v>
      </c>
      <c r="C278" s="6" t="s">
        <v>985</v>
      </c>
      <c r="D278" s="6" t="s">
        <v>986</v>
      </c>
      <c r="E278" s="7" t="s">
        <v>1004</v>
      </c>
      <c r="F278" s="6" t="s">
        <v>1029</v>
      </c>
      <c r="G278" s="6" t="s">
        <v>1030</v>
      </c>
      <c r="H278" s="6" t="s">
        <v>22</v>
      </c>
      <c r="I278" s="8">
        <v>6001</v>
      </c>
      <c r="J278" s="6" t="s">
        <v>30</v>
      </c>
      <c r="K278" s="6">
        <v>1</v>
      </c>
      <c r="L278" s="6">
        <v>1</v>
      </c>
      <c r="M278" s="6">
        <v>0</v>
      </c>
      <c r="N278" s="6">
        <v>0</v>
      </c>
      <c r="O278" s="6">
        <v>2</v>
      </c>
      <c r="P278" s="6" t="s">
        <v>23</v>
      </c>
    </row>
    <row r="279" spans="1:17" s="15" customFormat="1" x14ac:dyDescent="0.25">
      <c r="A279" s="15">
        <v>329168</v>
      </c>
      <c r="B279" s="15" t="s">
        <v>994</v>
      </c>
      <c r="C279" s="15" t="s">
        <v>985</v>
      </c>
      <c r="D279" s="15" t="s">
        <v>986</v>
      </c>
      <c r="E279" s="16">
        <v>2919</v>
      </c>
      <c r="F279" s="15" t="s">
        <v>1031</v>
      </c>
      <c r="G279" s="15" t="s">
        <v>1032</v>
      </c>
      <c r="H279" s="15" t="s">
        <v>22</v>
      </c>
      <c r="I279" s="17">
        <v>6001</v>
      </c>
      <c r="J279" s="15" t="s">
        <v>30</v>
      </c>
      <c r="K279" s="15">
        <v>4</v>
      </c>
      <c r="L279" s="15">
        <v>4</v>
      </c>
      <c r="M279" s="15">
        <v>4</v>
      </c>
      <c r="N279" s="15">
        <v>3</v>
      </c>
      <c r="O279" s="15">
        <v>15</v>
      </c>
      <c r="P279" s="15" t="s">
        <v>23</v>
      </c>
    </row>
    <row r="280" spans="1:17" s="15" customFormat="1" x14ac:dyDescent="0.25">
      <c r="A280" s="15">
        <v>329166</v>
      </c>
      <c r="B280" s="15" t="s">
        <v>984</v>
      </c>
      <c r="C280" s="15" t="s">
        <v>985</v>
      </c>
      <c r="D280" s="15" t="s">
        <v>986</v>
      </c>
      <c r="E280" s="16">
        <v>2919</v>
      </c>
      <c r="F280" s="15" t="s">
        <v>1033</v>
      </c>
      <c r="G280" s="15" t="s">
        <v>1034</v>
      </c>
      <c r="H280" s="15" t="s">
        <v>22</v>
      </c>
      <c r="I280" s="17">
        <v>6001</v>
      </c>
      <c r="J280" s="15" t="s">
        <v>30</v>
      </c>
      <c r="K280" s="15">
        <v>1</v>
      </c>
      <c r="L280" s="15">
        <v>1</v>
      </c>
      <c r="M280" s="15">
        <v>1</v>
      </c>
      <c r="N280" s="15">
        <v>0</v>
      </c>
      <c r="O280" s="15">
        <v>3</v>
      </c>
      <c r="P280" s="15" t="s">
        <v>23</v>
      </c>
    </row>
    <row r="281" spans="1:17" s="15" customFormat="1" x14ac:dyDescent="0.25">
      <c r="A281" s="15">
        <v>339253</v>
      </c>
      <c r="B281" s="15" t="s">
        <v>1035</v>
      </c>
      <c r="C281" s="15" t="s">
        <v>1036</v>
      </c>
      <c r="D281" s="15" t="s">
        <v>986</v>
      </c>
      <c r="E281" s="16">
        <v>2919</v>
      </c>
      <c r="F281" s="15" t="s">
        <v>1037</v>
      </c>
      <c r="G281" s="15" t="s">
        <v>1038</v>
      </c>
      <c r="H281" s="15" t="s">
        <v>22</v>
      </c>
      <c r="I281" s="17">
        <v>6001</v>
      </c>
      <c r="J281" s="15" t="s">
        <v>30</v>
      </c>
      <c r="K281" s="15">
        <v>0</v>
      </c>
      <c r="L281" s="15">
        <v>2</v>
      </c>
      <c r="M281" s="15">
        <v>2</v>
      </c>
      <c r="N281" s="15">
        <v>1</v>
      </c>
      <c r="O281" s="15">
        <v>5</v>
      </c>
      <c r="P281" s="15" t="s">
        <v>435</v>
      </c>
    </row>
    <row r="282" spans="1:17" s="15" customFormat="1" x14ac:dyDescent="0.25">
      <c r="A282" s="15">
        <v>328490</v>
      </c>
      <c r="B282" s="15" t="s">
        <v>984</v>
      </c>
      <c r="C282" s="15" t="s">
        <v>985</v>
      </c>
      <c r="D282" s="15" t="s">
        <v>986</v>
      </c>
      <c r="E282" s="16">
        <v>2919</v>
      </c>
      <c r="F282" s="15" t="s">
        <v>1039</v>
      </c>
      <c r="G282" s="15" t="s">
        <v>1040</v>
      </c>
      <c r="H282" s="15" t="s">
        <v>22</v>
      </c>
      <c r="I282" s="17">
        <v>6001</v>
      </c>
      <c r="J282" s="15" t="s">
        <v>30</v>
      </c>
      <c r="K282" s="15">
        <v>1</v>
      </c>
      <c r="L282" s="15">
        <v>14</v>
      </c>
      <c r="M282" s="15">
        <v>27</v>
      </c>
      <c r="N282" s="15">
        <v>27</v>
      </c>
      <c r="O282" s="15">
        <v>69</v>
      </c>
      <c r="P282" s="15" t="s">
        <v>23</v>
      </c>
    </row>
    <row r="283" spans="1:17" s="15" customFormat="1" x14ac:dyDescent="0.25">
      <c r="A283" s="15">
        <v>328489</v>
      </c>
      <c r="B283" s="15" t="s">
        <v>984</v>
      </c>
      <c r="C283" s="15" t="s">
        <v>1041</v>
      </c>
      <c r="D283" s="15" t="s">
        <v>986</v>
      </c>
      <c r="E283" s="16">
        <v>2919</v>
      </c>
      <c r="F283" s="15" t="s">
        <v>1042</v>
      </c>
      <c r="G283" s="15" t="s">
        <v>1043</v>
      </c>
      <c r="H283" s="15" t="s">
        <v>22</v>
      </c>
      <c r="I283" s="17">
        <v>6001</v>
      </c>
      <c r="J283" s="15" t="s">
        <v>30</v>
      </c>
      <c r="K283" s="15">
        <v>10</v>
      </c>
      <c r="L283" s="15">
        <v>58</v>
      </c>
      <c r="M283" s="15">
        <v>17</v>
      </c>
      <c r="N283" s="15">
        <v>0</v>
      </c>
      <c r="O283" s="15">
        <v>85</v>
      </c>
      <c r="P283" s="15" t="s">
        <v>23</v>
      </c>
    </row>
    <row r="284" spans="1:17" s="15" customFormat="1" x14ac:dyDescent="0.25">
      <c r="A284" s="15">
        <v>333620</v>
      </c>
      <c r="B284" s="15" t="s">
        <v>984</v>
      </c>
      <c r="C284" s="15" t="s">
        <v>1041</v>
      </c>
      <c r="D284" s="15" t="s">
        <v>986</v>
      </c>
      <c r="E284" s="16" t="s">
        <v>1004</v>
      </c>
      <c r="F284" s="15" t="s">
        <v>1044</v>
      </c>
      <c r="G284" s="15" t="s">
        <v>1045</v>
      </c>
      <c r="H284" s="15" t="s">
        <v>22</v>
      </c>
      <c r="I284" s="17">
        <v>6001</v>
      </c>
      <c r="J284" s="15" t="s">
        <v>30</v>
      </c>
      <c r="K284" s="15">
        <v>26</v>
      </c>
      <c r="L284" s="15">
        <v>80</v>
      </c>
      <c r="M284" s="15">
        <v>25</v>
      </c>
      <c r="N284" s="15">
        <v>7</v>
      </c>
      <c r="O284" s="15">
        <v>138</v>
      </c>
      <c r="P284" s="15" t="s">
        <v>23</v>
      </c>
    </row>
    <row r="285" spans="1:17" s="15" customFormat="1" x14ac:dyDescent="0.25">
      <c r="A285" s="15">
        <v>333250</v>
      </c>
      <c r="B285" s="15" t="s">
        <v>1046</v>
      </c>
      <c r="C285" s="15" t="s">
        <v>1047</v>
      </c>
      <c r="D285" s="15" t="s">
        <v>1048</v>
      </c>
      <c r="E285" s="16">
        <v>33469</v>
      </c>
      <c r="F285" s="15" t="s">
        <v>1049</v>
      </c>
      <c r="G285" s="15" t="s">
        <v>1050</v>
      </c>
      <c r="H285" s="15" t="s">
        <v>22</v>
      </c>
      <c r="I285" s="17">
        <v>6001</v>
      </c>
      <c r="J285" s="15" t="s">
        <v>30</v>
      </c>
      <c r="K285" s="15">
        <v>27</v>
      </c>
      <c r="L285" s="15">
        <v>21</v>
      </c>
      <c r="M285" s="15">
        <v>11</v>
      </c>
      <c r="N285" s="15">
        <v>8</v>
      </c>
      <c r="O285" s="15">
        <v>67</v>
      </c>
      <c r="P285" s="15" t="s">
        <v>23</v>
      </c>
    </row>
    <row r="286" spans="1:17" s="15" customFormat="1" x14ac:dyDescent="0.25">
      <c r="A286" s="15">
        <v>368055</v>
      </c>
      <c r="B286" s="15" t="s">
        <v>1051</v>
      </c>
      <c r="C286" s="15" t="s">
        <v>1052</v>
      </c>
      <c r="D286" s="15" t="s">
        <v>1053</v>
      </c>
      <c r="E286" s="16">
        <v>1843</v>
      </c>
      <c r="F286" s="15" t="s">
        <v>1054</v>
      </c>
      <c r="G286" s="15" t="s">
        <v>1055</v>
      </c>
      <c r="H286" s="15" t="s">
        <v>22</v>
      </c>
      <c r="I286" s="17">
        <v>6001</v>
      </c>
      <c r="J286" s="15" t="s">
        <v>30</v>
      </c>
      <c r="K286" s="15">
        <v>172</v>
      </c>
      <c r="L286" s="15">
        <v>157</v>
      </c>
      <c r="M286" s="15">
        <v>91</v>
      </c>
      <c r="N286" s="15">
        <v>55</v>
      </c>
      <c r="O286" s="15">
        <v>475</v>
      </c>
      <c r="P286" s="15" t="s">
        <v>23</v>
      </c>
    </row>
    <row r="287" spans="1:17" s="12" customFormat="1" x14ac:dyDescent="0.25">
      <c r="A287" s="12">
        <v>338332</v>
      </c>
      <c r="B287" s="12" t="s">
        <v>1056</v>
      </c>
      <c r="C287" s="12" t="s">
        <v>1057</v>
      </c>
      <c r="D287" s="12" t="s">
        <v>1058</v>
      </c>
      <c r="E287" s="13" t="s">
        <v>1059</v>
      </c>
      <c r="F287" s="12" t="s">
        <v>1060</v>
      </c>
      <c r="G287" s="12" t="s">
        <v>1061</v>
      </c>
      <c r="H287" s="12" t="s">
        <v>22</v>
      </c>
      <c r="I287" s="14">
        <v>6001</v>
      </c>
      <c r="J287" s="12" t="s">
        <v>30</v>
      </c>
      <c r="K287" s="12">
        <v>7</v>
      </c>
      <c r="L287" s="12">
        <v>10</v>
      </c>
      <c r="M287" s="12">
        <v>8</v>
      </c>
      <c r="N287" s="12">
        <v>14</v>
      </c>
      <c r="O287" s="12">
        <v>39</v>
      </c>
      <c r="P287" s="12" t="s">
        <v>23</v>
      </c>
    </row>
    <row r="288" spans="1:17" s="15" customFormat="1" x14ac:dyDescent="0.25">
      <c r="A288" s="15">
        <v>328718</v>
      </c>
      <c r="B288" s="15" t="s">
        <v>1062</v>
      </c>
      <c r="C288" s="15" t="s">
        <v>1063</v>
      </c>
      <c r="D288" s="15" t="s">
        <v>1064</v>
      </c>
      <c r="E288" s="16" t="s">
        <v>1065</v>
      </c>
      <c r="F288" s="15" t="s">
        <v>777</v>
      </c>
      <c r="G288" s="15" t="s">
        <v>1066</v>
      </c>
      <c r="H288" s="15" t="s">
        <v>22</v>
      </c>
      <c r="I288" s="17">
        <v>6001</v>
      </c>
      <c r="J288" s="15" t="s">
        <v>30</v>
      </c>
      <c r="K288" s="15">
        <v>14</v>
      </c>
      <c r="L288" s="15">
        <v>15</v>
      </c>
      <c r="M288" s="15">
        <v>14</v>
      </c>
      <c r="N288" s="15">
        <v>14</v>
      </c>
      <c r="O288" s="15">
        <v>57</v>
      </c>
      <c r="P288" s="15" t="s">
        <v>23</v>
      </c>
    </row>
    <row r="289" spans="1:17" s="15" customFormat="1" x14ac:dyDescent="0.25">
      <c r="A289" s="15">
        <v>328515</v>
      </c>
      <c r="B289" s="15" t="s">
        <v>1067</v>
      </c>
      <c r="C289" s="15" t="s">
        <v>1068</v>
      </c>
      <c r="D289" s="15" t="s">
        <v>1069</v>
      </c>
      <c r="E289" s="16" t="s">
        <v>1070</v>
      </c>
      <c r="F289" s="15" t="s">
        <v>1071</v>
      </c>
      <c r="G289" s="15" t="s">
        <v>1072</v>
      </c>
      <c r="H289" s="15" t="s">
        <v>22</v>
      </c>
      <c r="I289" s="17">
        <v>6001</v>
      </c>
      <c r="J289" s="15" t="s">
        <v>30</v>
      </c>
      <c r="K289" s="15">
        <v>4</v>
      </c>
      <c r="L289" s="15">
        <v>5</v>
      </c>
      <c r="M289" s="15">
        <v>5</v>
      </c>
      <c r="N289" s="15">
        <v>7</v>
      </c>
      <c r="O289" s="15">
        <v>21</v>
      </c>
      <c r="P289" s="15" t="s">
        <v>23</v>
      </c>
    </row>
    <row r="290" spans="1:17" s="15" customFormat="1" x14ac:dyDescent="0.25">
      <c r="A290" s="15">
        <v>333222</v>
      </c>
      <c r="B290" s="15" t="s">
        <v>1073</v>
      </c>
      <c r="C290" s="15" t="s">
        <v>1074</v>
      </c>
      <c r="D290" s="15" t="s">
        <v>1069</v>
      </c>
      <c r="E290" s="16" t="s">
        <v>1075</v>
      </c>
      <c r="F290" s="15" t="s">
        <v>982</v>
      </c>
      <c r="G290" s="15" t="s">
        <v>1076</v>
      </c>
      <c r="H290" s="15" t="s">
        <v>22</v>
      </c>
      <c r="I290" s="17">
        <v>6001</v>
      </c>
      <c r="J290" s="15" t="s">
        <v>30</v>
      </c>
      <c r="K290" s="15">
        <v>152</v>
      </c>
      <c r="L290" s="15">
        <v>128</v>
      </c>
      <c r="M290" s="15">
        <v>104</v>
      </c>
      <c r="N290" s="15">
        <v>92</v>
      </c>
      <c r="O290" s="15">
        <v>476</v>
      </c>
      <c r="P290" s="15" t="s">
        <v>23</v>
      </c>
    </row>
    <row r="291" spans="1:17" x14ac:dyDescent="0.25">
      <c r="A291" s="6">
        <v>359373</v>
      </c>
      <c r="B291" s="6" t="s">
        <v>1077</v>
      </c>
      <c r="C291" s="6" t="s">
        <v>1078</v>
      </c>
      <c r="D291" s="6" t="s">
        <v>1079</v>
      </c>
      <c r="E291" s="7" t="s">
        <v>1080</v>
      </c>
      <c r="F291" s="6" t="s">
        <v>1081</v>
      </c>
      <c r="G291" s="6" t="s">
        <v>1082</v>
      </c>
      <c r="H291" s="6" t="s">
        <v>22</v>
      </c>
      <c r="I291" s="8">
        <v>6001</v>
      </c>
      <c r="J291" s="6" t="s">
        <v>30</v>
      </c>
      <c r="K291" s="6">
        <v>4</v>
      </c>
      <c r="L291" s="6">
        <v>36</v>
      </c>
      <c r="M291" s="6">
        <v>1</v>
      </c>
      <c r="N291" s="6">
        <v>0</v>
      </c>
      <c r="O291" s="6">
        <v>41</v>
      </c>
      <c r="P291" s="6" t="s">
        <v>23</v>
      </c>
      <c r="Q291" s="6"/>
    </row>
    <row r="292" spans="1:17" x14ac:dyDescent="0.25">
      <c r="A292" s="6">
        <v>359372</v>
      </c>
      <c r="B292" s="6" t="s">
        <v>1077</v>
      </c>
      <c r="C292" s="6" t="s">
        <v>1078</v>
      </c>
      <c r="D292" s="6" t="s">
        <v>1079</v>
      </c>
      <c r="E292" s="7" t="s">
        <v>1080</v>
      </c>
      <c r="F292" s="6" t="s">
        <v>1083</v>
      </c>
      <c r="G292" s="6" t="s">
        <v>1084</v>
      </c>
      <c r="H292" s="6" t="s">
        <v>22</v>
      </c>
      <c r="I292" s="8">
        <v>6001</v>
      </c>
      <c r="J292" s="6" t="s">
        <v>30</v>
      </c>
      <c r="K292" s="6">
        <v>7</v>
      </c>
      <c r="L292" s="6">
        <v>39</v>
      </c>
      <c r="M292" s="6">
        <v>5</v>
      </c>
      <c r="N292" s="6">
        <v>4</v>
      </c>
      <c r="O292" s="6">
        <v>55</v>
      </c>
      <c r="P292" s="6" t="s">
        <v>23</v>
      </c>
      <c r="Q292" s="6"/>
    </row>
    <row r="293" spans="1:17" s="15" customFormat="1" x14ac:dyDescent="0.25">
      <c r="A293" s="15">
        <v>330218</v>
      </c>
      <c r="B293" s="15" t="s">
        <v>1085</v>
      </c>
      <c r="C293" s="15" t="s">
        <v>1086</v>
      </c>
      <c r="D293" s="15" t="s">
        <v>1079</v>
      </c>
      <c r="E293" s="16">
        <v>6457</v>
      </c>
      <c r="F293" s="15" t="s">
        <v>609</v>
      </c>
      <c r="G293" s="15" t="s">
        <v>1087</v>
      </c>
      <c r="H293" s="15" t="s">
        <v>22</v>
      </c>
      <c r="I293" s="17">
        <v>6001</v>
      </c>
      <c r="J293" s="15" t="s">
        <v>30</v>
      </c>
      <c r="K293" s="15">
        <v>15</v>
      </c>
      <c r="L293" s="15">
        <v>15</v>
      </c>
      <c r="M293" s="15">
        <v>17</v>
      </c>
      <c r="N293" s="15">
        <v>16</v>
      </c>
      <c r="O293" s="15">
        <v>63</v>
      </c>
      <c r="P293" s="15" t="s">
        <v>130</v>
      </c>
    </row>
    <row r="294" spans="1:17" s="15" customFormat="1" x14ac:dyDescent="0.25">
      <c r="A294" s="15">
        <v>342797</v>
      </c>
      <c r="B294" s="15" t="s">
        <v>1088</v>
      </c>
      <c r="C294" s="15" t="s">
        <v>1089</v>
      </c>
      <c r="D294" s="15" t="s">
        <v>1090</v>
      </c>
      <c r="E294" s="16" t="s">
        <v>1091</v>
      </c>
      <c r="F294" s="15" t="s">
        <v>1092</v>
      </c>
      <c r="G294" s="15" t="s">
        <v>1093</v>
      </c>
      <c r="H294" s="15" t="s">
        <v>22</v>
      </c>
      <c r="I294" s="17">
        <v>6001</v>
      </c>
      <c r="J294" s="15" t="s">
        <v>30</v>
      </c>
      <c r="K294" s="15">
        <v>118</v>
      </c>
      <c r="L294" s="15">
        <v>114</v>
      </c>
      <c r="M294" s="15">
        <v>101</v>
      </c>
      <c r="N294" s="15">
        <v>193</v>
      </c>
      <c r="O294" s="15">
        <v>526</v>
      </c>
      <c r="P294" s="15" t="s">
        <v>23</v>
      </c>
    </row>
    <row r="295" spans="1:17" s="15" customFormat="1" x14ac:dyDescent="0.25">
      <c r="A295" s="15">
        <v>354457</v>
      </c>
      <c r="B295" s="15" t="s">
        <v>1088</v>
      </c>
      <c r="C295" s="15" t="s">
        <v>1089</v>
      </c>
      <c r="D295" s="15" t="s">
        <v>1090</v>
      </c>
      <c r="E295" s="16" t="s">
        <v>1091</v>
      </c>
      <c r="F295" s="15" t="s">
        <v>1092</v>
      </c>
      <c r="G295" s="15" t="s">
        <v>1094</v>
      </c>
      <c r="H295" s="15" t="s">
        <v>22</v>
      </c>
      <c r="I295" s="17">
        <v>6001</v>
      </c>
      <c r="J295" s="15" t="s">
        <v>30</v>
      </c>
      <c r="K295" s="15">
        <v>124</v>
      </c>
      <c r="L295" s="15">
        <v>119</v>
      </c>
      <c r="M295" s="15">
        <v>105</v>
      </c>
      <c r="N295" s="15">
        <v>202</v>
      </c>
      <c r="O295" s="15">
        <v>550</v>
      </c>
      <c r="P295" s="15" t="s">
        <v>23</v>
      </c>
    </row>
    <row r="296" spans="1:17" s="15" customFormat="1" x14ac:dyDescent="0.25">
      <c r="A296" s="15">
        <v>354464</v>
      </c>
      <c r="B296" s="15" t="s">
        <v>1088</v>
      </c>
      <c r="C296" s="15" t="s">
        <v>1089</v>
      </c>
      <c r="D296" s="15" t="s">
        <v>1090</v>
      </c>
      <c r="E296" s="16" t="s">
        <v>1091</v>
      </c>
      <c r="F296" s="15" t="s">
        <v>1095</v>
      </c>
      <c r="G296" s="15" t="s">
        <v>1096</v>
      </c>
      <c r="H296" s="15" t="s">
        <v>22</v>
      </c>
      <c r="I296" s="17">
        <v>6001</v>
      </c>
      <c r="J296" s="15" t="s">
        <v>30</v>
      </c>
      <c r="K296" s="15">
        <v>0</v>
      </c>
      <c r="L296" s="15">
        <v>0</v>
      </c>
      <c r="M296" s="15">
        <v>0</v>
      </c>
      <c r="N296" s="15">
        <v>0</v>
      </c>
      <c r="O296" s="15">
        <v>0</v>
      </c>
      <c r="P296" s="15" t="s">
        <v>23</v>
      </c>
    </row>
    <row r="297" spans="1:17" s="15" customFormat="1" x14ac:dyDescent="0.25">
      <c r="A297" s="15">
        <v>354466</v>
      </c>
      <c r="B297" s="15" t="s">
        <v>1088</v>
      </c>
      <c r="C297" s="15" t="s">
        <v>1089</v>
      </c>
      <c r="D297" s="15" t="s">
        <v>1090</v>
      </c>
      <c r="E297" s="16" t="s">
        <v>1091</v>
      </c>
      <c r="F297" s="15" t="s">
        <v>1097</v>
      </c>
      <c r="G297" s="15" t="s">
        <v>1098</v>
      </c>
      <c r="H297" s="15" t="s">
        <v>22</v>
      </c>
      <c r="I297" s="17">
        <v>6001</v>
      </c>
      <c r="J297" s="15" t="s">
        <v>30</v>
      </c>
      <c r="K297" s="15">
        <v>6</v>
      </c>
      <c r="L297" s="15">
        <v>6</v>
      </c>
      <c r="M297" s="15">
        <v>7</v>
      </c>
      <c r="N297" s="15">
        <v>5</v>
      </c>
      <c r="O297" s="15">
        <v>24</v>
      </c>
      <c r="P297" s="15" t="s">
        <v>23</v>
      </c>
    </row>
    <row r="298" spans="1:17" s="12" customFormat="1" x14ac:dyDescent="0.25">
      <c r="A298" s="12">
        <v>329964</v>
      </c>
      <c r="B298" s="12" t="s">
        <v>1099</v>
      </c>
      <c r="C298" s="12" t="s">
        <v>1100</v>
      </c>
      <c r="D298" s="12" t="s">
        <v>1101</v>
      </c>
      <c r="E298" s="13">
        <v>6052</v>
      </c>
      <c r="F298" s="12" t="s">
        <v>136</v>
      </c>
      <c r="G298" s="12" t="s">
        <v>1102</v>
      </c>
      <c r="H298" s="12" t="s">
        <v>22</v>
      </c>
      <c r="I298" s="14">
        <v>6001</v>
      </c>
      <c r="J298" s="12" t="s">
        <v>30</v>
      </c>
      <c r="K298" s="12">
        <v>8</v>
      </c>
      <c r="L298" s="12">
        <v>14</v>
      </c>
      <c r="M298" s="12">
        <v>13</v>
      </c>
      <c r="N298" s="12">
        <v>10</v>
      </c>
      <c r="O298" s="12">
        <v>45</v>
      </c>
      <c r="P298" s="12" t="s">
        <v>130</v>
      </c>
    </row>
    <row r="299" spans="1:17" x14ac:dyDescent="0.25">
      <c r="A299" s="6">
        <v>333296</v>
      </c>
      <c r="B299" s="6" t="s">
        <v>1103</v>
      </c>
      <c r="C299" s="6" t="s">
        <v>1104</v>
      </c>
      <c r="D299" s="6" t="s">
        <v>1105</v>
      </c>
      <c r="E299" s="7" t="s">
        <v>1106</v>
      </c>
      <c r="F299" s="6" t="s">
        <v>1107</v>
      </c>
      <c r="G299" s="6" t="s">
        <v>1108</v>
      </c>
      <c r="H299" s="6" t="s">
        <v>22</v>
      </c>
      <c r="I299" s="8">
        <v>6001</v>
      </c>
      <c r="J299" s="6" t="s">
        <v>30</v>
      </c>
      <c r="K299" s="6">
        <v>37</v>
      </c>
      <c r="L299" s="6">
        <v>32</v>
      </c>
      <c r="M299" s="6">
        <v>12</v>
      </c>
      <c r="N299" s="6">
        <v>0</v>
      </c>
      <c r="O299" s="6">
        <v>81</v>
      </c>
      <c r="P299" s="6" t="s">
        <v>23</v>
      </c>
      <c r="Q299" s="6"/>
    </row>
    <row r="300" spans="1:17" s="15" customFormat="1" x14ac:dyDescent="0.25">
      <c r="A300" s="15">
        <v>333277</v>
      </c>
      <c r="B300" s="15" t="s">
        <v>1109</v>
      </c>
      <c r="C300" s="15" t="s">
        <v>1104</v>
      </c>
      <c r="D300" s="15" t="s">
        <v>1105</v>
      </c>
      <c r="E300" s="16" t="s">
        <v>1106</v>
      </c>
      <c r="F300" s="15" t="s">
        <v>1110</v>
      </c>
      <c r="G300" s="15" t="s">
        <v>1111</v>
      </c>
      <c r="H300" s="15" t="s">
        <v>22</v>
      </c>
      <c r="I300" s="17">
        <v>6001</v>
      </c>
      <c r="J300" s="15" t="s">
        <v>30</v>
      </c>
      <c r="K300" s="15">
        <v>17</v>
      </c>
      <c r="L300" s="15">
        <v>20</v>
      </c>
      <c r="M300" s="15">
        <v>18</v>
      </c>
      <c r="N300" s="15">
        <v>18</v>
      </c>
      <c r="O300" s="15">
        <v>73</v>
      </c>
      <c r="P300" s="15" t="s">
        <v>23</v>
      </c>
    </row>
    <row r="301" spans="1:17" s="15" customFormat="1" x14ac:dyDescent="0.25">
      <c r="A301" s="15">
        <v>328480</v>
      </c>
      <c r="B301" s="15" t="s">
        <v>1112</v>
      </c>
      <c r="C301" s="15" t="s">
        <v>1113</v>
      </c>
      <c r="D301" s="15" t="s">
        <v>1105</v>
      </c>
      <c r="E301" s="16">
        <v>6057</v>
      </c>
      <c r="F301" s="15" t="s">
        <v>661</v>
      </c>
      <c r="G301" s="15" t="s">
        <v>662</v>
      </c>
      <c r="H301" s="15" t="s">
        <v>22</v>
      </c>
      <c r="I301" s="17">
        <v>6001</v>
      </c>
      <c r="J301" s="15" t="s">
        <v>30</v>
      </c>
      <c r="K301" s="15">
        <v>0</v>
      </c>
      <c r="L301" s="15">
        <v>0</v>
      </c>
      <c r="M301" s="15">
        <v>0</v>
      </c>
      <c r="N301" s="15">
        <v>-155</v>
      </c>
      <c r="O301" s="15">
        <v>-155</v>
      </c>
      <c r="P301" s="15" t="s">
        <v>1114</v>
      </c>
    </row>
    <row r="302" spans="1:17" s="6" customFormat="1" x14ac:dyDescent="0.25">
      <c r="A302" s="6">
        <v>352193</v>
      </c>
      <c r="B302" s="6" t="s">
        <v>1115</v>
      </c>
      <c r="C302" s="6" t="s">
        <v>1116</v>
      </c>
      <c r="D302" s="6" t="s">
        <v>1117</v>
      </c>
      <c r="E302" s="7" t="s">
        <v>1118</v>
      </c>
      <c r="F302" s="6" t="s">
        <v>1119</v>
      </c>
      <c r="G302" s="6" t="s">
        <v>1120</v>
      </c>
      <c r="H302" s="6" t="s">
        <v>22</v>
      </c>
      <c r="I302" s="8">
        <v>6001</v>
      </c>
      <c r="J302" s="6" t="s">
        <v>30</v>
      </c>
      <c r="K302" s="6">
        <v>0</v>
      </c>
      <c r="L302" s="6">
        <v>1</v>
      </c>
      <c r="M302" s="6">
        <v>0</v>
      </c>
      <c r="N302" s="6">
        <v>1</v>
      </c>
      <c r="O302" s="6">
        <v>2</v>
      </c>
      <c r="P302" s="6" t="s">
        <v>23</v>
      </c>
    </row>
    <row r="303" spans="1:17" s="6" customFormat="1" x14ac:dyDescent="0.25">
      <c r="A303" s="6">
        <v>352231</v>
      </c>
      <c r="B303" s="6" t="s">
        <v>1115</v>
      </c>
      <c r="C303" s="6" t="s">
        <v>1116</v>
      </c>
      <c r="D303" s="6" t="s">
        <v>1117</v>
      </c>
      <c r="E303" s="7" t="s">
        <v>1118</v>
      </c>
      <c r="F303" s="6" t="s">
        <v>1121</v>
      </c>
      <c r="G303" s="6" t="s">
        <v>1122</v>
      </c>
      <c r="H303" s="6" t="s">
        <v>22</v>
      </c>
      <c r="I303" s="8">
        <v>6001</v>
      </c>
      <c r="J303" s="6" t="s">
        <v>30</v>
      </c>
      <c r="K303" s="6">
        <v>2</v>
      </c>
      <c r="L303" s="6">
        <v>3</v>
      </c>
      <c r="M303" s="6">
        <v>2</v>
      </c>
      <c r="N303" s="6">
        <v>1</v>
      </c>
      <c r="O303" s="6">
        <v>8</v>
      </c>
      <c r="P303" s="6" t="s">
        <v>23</v>
      </c>
    </row>
    <row r="304" spans="1:17" s="6" customFormat="1" x14ac:dyDescent="0.25">
      <c r="A304" s="6">
        <v>352232</v>
      </c>
      <c r="B304" s="6" t="s">
        <v>1115</v>
      </c>
      <c r="C304" s="6" t="s">
        <v>1116</v>
      </c>
      <c r="D304" s="6" t="s">
        <v>1117</v>
      </c>
      <c r="E304" s="7" t="s">
        <v>1118</v>
      </c>
      <c r="F304" s="6" t="s">
        <v>1123</v>
      </c>
      <c r="G304" s="6" t="s">
        <v>1124</v>
      </c>
      <c r="H304" s="6" t="s">
        <v>22</v>
      </c>
      <c r="I304" s="8">
        <v>6001</v>
      </c>
      <c r="J304" s="6" t="s">
        <v>30</v>
      </c>
      <c r="K304" s="6">
        <v>10</v>
      </c>
      <c r="L304" s="6">
        <v>13</v>
      </c>
      <c r="M304" s="6">
        <v>13</v>
      </c>
      <c r="N304" s="6">
        <v>5</v>
      </c>
      <c r="O304" s="6">
        <v>41</v>
      </c>
      <c r="P304" s="6" t="s">
        <v>23</v>
      </c>
    </row>
    <row r="305" spans="1:16" s="6" customFormat="1" x14ac:dyDescent="0.25">
      <c r="A305" s="6">
        <v>352234</v>
      </c>
      <c r="B305" s="6" t="s">
        <v>1115</v>
      </c>
      <c r="C305" s="6" t="s">
        <v>1116</v>
      </c>
      <c r="D305" s="6" t="s">
        <v>1117</v>
      </c>
      <c r="E305" s="7" t="s">
        <v>1118</v>
      </c>
      <c r="F305" s="6" t="s">
        <v>1125</v>
      </c>
      <c r="G305" s="6" t="s">
        <v>1126</v>
      </c>
      <c r="H305" s="6" t="s">
        <v>22</v>
      </c>
      <c r="I305" s="8">
        <v>6001</v>
      </c>
      <c r="J305" s="6" t="s">
        <v>30</v>
      </c>
      <c r="K305" s="6">
        <v>2</v>
      </c>
      <c r="L305" s="6">
        <v>1</v>
      </c>
      <c r="M305" s="6">
        <v>2</v>
      </c>
      <c r="N305" s="6">
        <v>2</v>
      </c>
      <c r="O305" s="6">
        <v>7</v>
      </c>
      <c r="P305" s="6" t="s">
        <v>23</v>
      </c>
    </row>
    <row r="306" spans="1:16" s="6" customFormat="1" x14ac:dyDescent="0.25">
      <c r="A306" s="6">
        <v>352235</v>
      </c>
      <c r="B306" s="6" t="s">
        <v>1115</v>
      </c>
      <c r="C306" s="6" t="s">
        <v>1116</v>
      </c>
      <c r="D306" s="6" t="s">
        <v>1117</v>
      </c>
      <c r="E306" s="7" t="s">
        <v>1118</v>
      </c>
      <c r="F306" s="6" t="s">
        <v>1127</v>
      </c>
      <c r="G306" s="6" t="s">
        <v>1128</v>
      </c>
      <c r="H306" s="6" t="s">
        <v>22</v>
      </c>
      <c r="I306" s="8">
        <v>6001</v>
      </c>
      <c r="J306" s="6" t="s">
        <v>30</v>
      </c>
      <c r="K306" s="6">
        <v>0</v>
      </c>
      <c r="L306" s="6">
        <v>0</v>
      </c>
      <c r="M306" s="6">
        <v>0</v>
      </c>
      <c r="N306" s="6">
        <v>1</v>
      </c>
      <c r="O306" s="6">
        <v>1</v>
      </c>
      <c r="P306" s="6" t="s">
        <v>23</v>
      </c>
    </row>
    <row r="307" spans="1:16" s="6" customFormat="1" x14ac:dyDescent="0.25">
      <c r="A307" s="6">
        <v>352236</v>
      </c>
      <c r="B307" s="6" t="s">
        <v>1115</v>
      </c>
      <c r="C307" s="6" t="s">
        <v>1116</v>
      </c>
      <c r="D307" s="6" t="s">
        <v>1117</v>
      </c>
      <c r="E307" s="7" t="s">
        <v>1118</v>
      </c>
      <c r="F307" s="6" t="s">
        <v>1129</v>
      </c>
      <c r="G307" s="6" t="s">
        <v>1130</v>
      </c>
      <c r="H307" s="6" t="s">
        <v>22</v>
      </c>
      <c r="I307" s="8">
        <v>6001</v>
      </c>
      <c r="J307" s="6" t="s">
        <v>30</v>
      </c>
      <c r="K307" s="6">
        <v>2</v>
      </c>
      <c r="L307" s="6">
        <v>1</v>
      </c>
      <c r="M307" s="6">
        <v>0</v>
      </c>
      <c r="N307" s="6">
        <v>1</v>
      </c>
      <c r="O307" s="6">
        <v>4</v>
      </c>
      <c r="P307" s="6" t="s">
        <v>23</v>
      </c>
    </row>
    <row r="308" spans="1:16" s="6" customFormat="1" x14ac:dyDescent="0.25">
      <c r="A308" s="6">
        <v>352243</v>
      </c>
      <c r="B308" s="6" t="s">
        <v>1115</v>
      </c>
      <c r="C308" s="6" t="s">
        <v>1116</v>
      </c>
      <c r="D308" s="6" t="s">
        <v>1117</v>
      </c>
      <c r="E308" s="7" t="s">
        <v>1118</v>
      </c>
      <c r="F308" s="6" t="s">
        <v>1131</v>
      </c>
      <c r="G308" s="6" t="s">
        <v>1132</v>
      </c>
      <c r="H308" s="6" t="s">
        <v>22</v>
      </c>
      <c r="I308" s="8">
        <v>6001</v>
      </c>
      <c r="J308" s="6" t="s">
        <v>30</v>
      </c>
      <c r="K308" s="6">
        <v>22</v>
      </c>
      <c r="L308" s="6">
        <v>13</v>
      </c>
      <c r="M308" s="6">
        <v>5</v>
      </c>
      <c r="N308" s="6">
        <v>5</v>
      </c>
      <c r="O308" s="6">
        <v>45</v>
      </c>
      <c r="P308" s="6" t="s">
        <v>23</v>
      </c>
    </row>
    <row r="309" spans="1:16" s="6" customFormat="1" x14ac:dyDescent="0.25">
      <c r="A309" s="6">
        <v>352248</v>
      </c>
      <c r="B309" s="6" t="s">
        <v>1115</v>
      </c>
      <c r="C309" s="6" t="s">
        <v>1116</v>
      </c>
      <c r="D309" s="6" t="s">
        <v>1117</v>
      </c>
      <c r="E309" s="7" t="s">
        <v>1118</v>
      </c>
      <c r="F309" s="6" t="s">
        <v>1133</v>
      </c>
      <c r="G309" s="6" t="s">
        <v>1134</v>
      </c>
      <c r="H309" s="6" t="s">
        <v>22</v>
      </c>
      <c r="I309" s="8">
        <v>6001</v>
      </c>
      <c r="J309" s="6" t="s">
        <v>30</v>
      </c>
      <c r="K309" s="6">
        <v>11</v>
      </c>
      <c r="L309" s="6">
        <v>15</v>
      </c>
      <c r="M309" s="6">
        <v>12</v>
      </c>
      <c r="N309" s="6">
        <v>12</v>
      </c>
      <c r="O309" s="6">
        <v>50</v>
      </c>
      <c r="P309" s="6" t="s">
        <v>23</v>
      </c>
    </row>
    <row r="310" spans="1:16" s="6" customFormat="1" x14ac:dyDescent="0.25">
      <c r="A310" s="6">
        <v>352249</v>
      </c>
      <c r="B310" s="6" t="s">
        <v>1115</v>
      </c>
      <c r="C310" s="6" t="s">
        <v>1116</v>
      </c>
      <c r="D310" s="6" t="s">
        <v>1117</v>
      </c>
      <c r="E310" s="7" t="s">
        <v>1118</v>
      </c>
      <c r="F310" s="6" t="s">
        <v>1135</v>
      </c>
      <c r="G310" s="6" t="s">
        <v>1136</v>
      </c>
      <c r="H310" s="6" t="s">
        <v>22</v>
      </c>
      <c r="I310" s="8">
        <v>6001</v>
      </c>
      <c r="J310" s="6" t="s">
        <v>30</v>
      </c>
      <c r="K310" s="6">
        <v>85</v>
      </c>
      <c r="L310" s="6">
        <v>36</v>
      </c>
      <c r="M310" s="6">
        <v>28</v>
      </c>
      <c r="N310" s="6">
        <v>26</v>
      </c>
      <c r="O310" s="6">
        <v>175</v>
      </c>
      <c r="P310" s="6" t="s">
        <v>23</v>
      </c>
    </row>
    <row r="311" spans="1:16" s="6" customFormat="1" x14ac:dyDescent="0.25">
      <c r="A311" s="6">
        <v>352251</v>
      </c>
      <c r="B311" s="6" t="s">
        <v>1115</v>
      </c>
      <c r="C311" s="6" t="s">
        <v>1116</v>
      </c>
      <c r="D311" s="6" t="s">
        <v>1117</v>
      </c>
      <c r="E311" s="7" t="s">
        <v>1118</v>
      </c>
      <c r="F311" s="6" t="s">
        <v>1137</v>
      </c>
      <c r="G311" s="6" t="s">
        <v>1138</v>
      </c>
      <c r="H311" s="6" t="s">
        <v>22</v>
      </c>
      <c r="I311" s="8">
        <v>6001</v>
      </c>
      <c r="J311" s="6" t="s">
        <v>30</v>
      </c>
      <c r="K311" s="6">
        <v>21</v>
      </c>
      <c r="L311" s="6">
        <v>33</v>
      </c>
      <c r="M311" s="6">
        <v>20</v>
      </c>
      <c r="N311" s="6">
        <v>11</v>
      </c>
      <c r="O311" s="6">
        <v>85</v>
      </c>
      <c r="P311" s="6" t="s">
        <v>23</v>
      </c>
    </row>
    <row r="312" spans="1:16" s="6" customFormat="1" x14ac:dyDescent="0.25">
      <c r="A312" s="6">
        <v>352253</v>
      </c>
      <c r="B312" s="6" t="s">
        <v>1115</v>
      </c>
      <c r="C312" s="6" t="s">
        <v>1116</v>
      </c>
      <c r="D312" s="6" t="s">
        <v>1117</v>
      </c>
      <c r="E312" s="7" t="s">
        <v>1118</v>
      </c>
      <c r="F312" s="6" t="s">
        <v>1139</v>
      </c>
      <c r="G312" s="6" t="s">
        <v>1140</v>
      </c>
      <c r="H312" s="6" t="s">
        <v>22</v>
      </c>
      <c r="I312" s="8">
        <v>6001</v>
      </c>
      <c r="J312" s="6" t="s">
        <v>30</v>
      </c>
      <c r="K312" s="6">
        <v>483</v>
      </c>
      <c r="L312" s="6">
        <v>0</v>
      </c>
      <c r="M312" s="6">
        <v>87</v>
      </c>
      <c r="N312" s="6">
        <v>86</v>
      </c>
      <c r="O312" s="6">
        <v>656</v>
      </c>
      <c r="P312" s="6" t="s">
        <v>23</v>
      </c>
    </row>
    <row r="313" spans="1:16" s="6" customFormat="1" x14ac:dyDescent="0.25">
      <c r="A313" s="6">
        <v>352254</v>
      </c>
      <c r="B313" s="6" t="s">
        <v>1115</v>
      </c>
      <c r="C313" s="6" t="s">
        <v>1116</v>
      </c>
      <c r="D313" s="6" t="s">
        <v>1117</v>
      </c>
      <c r="E313" s="7" t="s">
        <v>1118</v>
      </c>
      <c r="F313" s="6" t="s">
        <v>1141</v>
      </c>
      <c r="G313" s="6" t="s">
        <v>1142</v>
      </c>
      <c r="H313" s="6" t="s">
        <v>22</v>
      </c>
      <c r="I313" s="8">
        <v>6001</v>
      </c>
      <c r="J313" s="6" t="s">
        <v>30</v>
      </c>
      <c r="K313" s="6">
        <v>22</v>
      </c>
      <c r="L313" s="6">
        <v>32</v>
      </c>
      <c r="M313" s="6">
        <v>35</v>
      </c>
      <c r="N313" s="6">
        <v>41</v>
      </c>
      <c r="O313" s="6">
        <v>130</v>
      </c>
      <c r="P313" s="6" t="s">
        <v>23</v>
      </c>
    </row>
    <row r="314" spans="1:16" s="6" customFormat="1" x14ac:dyDescent="0.25">
      <c r="A314" s="6">
        <v>352256</v>
      </c>
      <c r="B314" s="6" t="s">
        <v>1115</v>
      </c>
      <c r="C314" s="6" t="s">
        <v>1116</v>
      </c>
      <c r="D314" s="6" t="s">
        <v>1117</v>
      </c>
      <c r="E314" s="7" t="s">
        <v>1118</v>
      </c>
      <c r="F314" s="6" t="s">
        <v>1143</v>
      </c>
      <c r="G314" s="6" t="s">
        <v>1144</v>
      </c>
      <c r="H314" s="6" t="s">
        <v>22</v>
      </c>
      <c r="I314" s="8">
        <v>6001</v>
      </c>
      <c r="J314" s="6" t="s">
        <v>30</v>
      </c>
      <c r="K314" s="6">
        <v>6</v>
      </c>
      <c r="L314" s="6">
        <v>5</v>
      </c>
      <c r="M314" s="6">
        <v>7</v>
      </c>
      <c r="N314" s="6">
        <v>6</v>
      </c>
      <c r="O314" s="6">
        <v>24</v>
      </c>
      <c r="P314" s="6" t="s">
        <v>23</v>
      </c>
    </row>
    <row r="315" spans="1:16" s="6" customFormat="1" x14ac:dyDescent="0.25">
      <c r="A315" s="6">
        <v>352190</v>
      </c>
      <c r="B315" s="6" t="s">
        <v>1115</v>
      </c>
      <c r="C315" s="6" t="s">
        <v>1116</v>
      </c>
      <c r="D315" s="6" t="s">
        <v>1117</v>
      </c>
      <c r="E315" s="7" t="s">
        <v>1118</v>
      </c>
      <c r="F315" s="6" t="s">
        <v>1145</v>
      </c>
      <c r="G315" s="6" t="s">
        <v>1146</v>
      </c>
      <c r="H315" s="6" t="s">
        <v>22</v>
      </c>
      <c r="I315" s="8">
        <v>6001</v>
      </c>
      <c r="J315" s="6" t="s">
        <v>30</v>
      </c>
      <c r="K315" s="6">
        <v>3</v>
      </c>
      <c r="L315" s="6">
        <v>3</v>
      </c>
      <c r="M315" s="6">
        <v>3</v>
      </c>
      <c r="N315" s="6">
        <v>3</v>
      </c>
      <c r="O315" s="6">
        <v>12</v>
      </c>
      <c r="P315" s="6" t="s">
        <v>23</v>
      </c>
    </row>
    <row r="316" spans="1:16" s="15" customFormat="1" x14ac:dyDescent="0.25">
      <c r="A316" s="15">
        <v>341193</v>
      </c>
      <c r="B316" s="15" t="s">
        <v>1147</v>
      </c>
      <c r="C316" s="15" t="s">
        <v>1148</v>
      </c>
      <c r="D316" s="15" t="s">
        <v>1149</v>
      </c>
      <c r="E316" s="16" t="s">
        <v>1150</v>
      </c>
      <c r="F316" s="15" t="s">
        <v>839</v>
      </c>
      <c r="G316" s="15" t="s">
        <v>1151</v>
      </c>
      <c r="H316" s="15" t="s">
        <v>22</v>
      </c>
      <c r="I316" s="17">
        <v>6001</v>
      </c>
      <c r="J316" s="15" t="s">
        <v>30</v>
      </c>
      <c r="K316" s="15">
        <v>145</v>
      </c>
      <c r="L316" s="15">
        <v>150</v>
      </c>
      <c r="M316" s="15">
        <v>149</v>
      </c>
      <c r="N316" s="15">
        <v>142</v>
      </c>
      <c r="O316" s="15">
        <v>586</v>
      </c>
      <c r="P316" s="15" t="s">
        <v>23</v>
      </c>
    </row>
    <row r="317" spans="1:16" s="15" customFormat="1" x14ac:dyDescent="0.25">
      <c r="A317" s="15">
        <v>333275</v>
      </c>
      <c r="B317" s="15" t="s">
        <v>1152</v>
      </c>
      <c r="C317" s="15" t="s">
        <v>1153</v>
      </c>
      <c r="D317" s="15" t="s">
        <v>1154</v>
      </c>
      <c r="E317" s="16" t="s">
        <v>1155</v>
      </c>
      <c r="F317" s="15" t="s">
        <v>1156</v>
      </c>
      <c r="G317" s="15" t="s">
        <v>1157</v>
      </c>
      <c r="H317" s="15" t="s">
        <v>22</v>
      </c>
      <c r="I317" s="17">
        <v>6001</v>
      </c>
      <c r="J317" s="15" t="s">
        <v>30</v>
      </c>
      <c r="K317" s="15">
        <v>0</v>
      </c>
      <c r="L317" s="15">
        <v>0</v>
      </c>
      <c r="M317" s="15">
        <v>0</v>
      </c>
      <c r="N317" s="15">
        <v>0</v>
      </c>
      <c r="O317" s="15">
        <v>0</v>
      </c>
      <c r="P317" s="15" t="s">
        <v>23</v>
      </c>
    </row>
    <row r="318" spans="1:16" s="15" customFormat="1" x14ac:dyDescent="0.25">
      <c r="A318" s="15">
        <v>333223</v>
      </c>
      <c r="B318" s="15" t="s">
        <v>1158</v>
      </c>
      <c r="C318" s="15" t="s">
        <v>1159</v>
      </c>
      <c r="D318" s="15" t="s">
        <v>1160</v>
      </c>
      <c r="E318" s="16" t="s">
        <v>1161</v>
      </c>
      <c r="F318" s="15" t="s">
        <v>1162</v>
      </c>
      <c r="G318" s="15" t="s">
        <v>1163</v>
      </c>
      <c r="H318" s="15" t="s">
        <v>22</v>
      </c>
      <c r="I318" s="17">
        <v>6001</v>
      </c>
      <c r="J318" s="15" t="s">
        <v>30</v>
      </c>
      <c r="K318" s="15">
        <v>39</v>
      </c>
      <c r="L318" s="15">
        <v>285</v>
      </c>
      <c r="M318" s="15">
        <v>46</v>
      </c>
      <c r="N318" s="15">
        <v>0</v>
      </c>
      <c r="O318" s="15">
        <v>370</v>
      </c>
      <c r="P318" s="15" t="s">
        <v>934</v>
      </c>
    </row>
    <row r="319" spans="1:16" s="15" customFormat="1" x14ac:dyDescent="0.25">
      <c r="A319" s="15">
        <v>334352</v>
      </c>
      <c r="B319" s="15" t="s">
        <v>1158</v>
      </c>
      <c r="C319" s="15" t="s">
        <v>1159</v>
      </c>
      <c r="D319" s="15" t="s">
        <v>1160</v>
      </c>
      <c r="E319" s="16" t="s">
        <v>1161</v>
      </c>
      <c r="F319" s="15" t="s">
        <v>1164</v>
      </c>
      <c r="G319" s="15" t="s">
        <v>1165</v>
      </c>
      <c r="H319" s="15" t="s">
        <v>22</v>
      </c>
      <c r="I319" s="17">
        <v>6001</v>
      </c>
      <c r="J319" s="15" t="s">
        <v>30</v>
      </c>
      <c r="K319" s="15">
        <v>107</v>
      </c>
      <c r="L319" s="15">
        <v>83</v>
      </c>
      <c r="M319" s="15">
        <v>96</v>
      </c>
      <c r="N319" s="15">
        <v>99</v>
      </c>
      <c r="O319" s="15">
        <v>385</v>
      </c>
      <c r="P319" s="15" t="s">
        <v>23</v>
      </c>
    </row>
    <row r="320" spans="1:16" s="15" customFormat="1" x14ac:dyDescent="0.25">
      <c r="A320" s="15">
        <v>328511</v>
      </c>
      <c r="B320" s="15" t="s">
        <v>1166</v>
      </c>
      <c r="C320" s="15" t="s">
        <v>1167</v>
      </c>
      <c r="D320" s="15" t="s">
        <v>1168</v>
      </c>
      <c r="E320" s="16" t="s">
        <v>1169</v>
      </c>
      <c r="F320" s="15" t="s">
        <v>1170</v>
      </c>
      <c r="G320" s="15" t="s">
        <v>1171</v>
      </c>
      <c r="H320" s="15" t="s">
        <v>22</v>
      </c>
      <c r="I320" s="17">
        <v>6001</v>
      </c>
      <c r="J320" s="15" t="s">
        <v>30</v>
      </c>
      <c r="K320" s="15">
        <v>3</v>
      </c>
      <c r="L320" s="15">
        <v>5</v>
      </c>
      <c r="M320" s="15">
        <v>14</v>
      </c>
      <c r="N320" s="15">
        <v>2</v>
      </c>
      <c r="O320" s="15">
        <v>24</v>
      </c>
      <c r="P320" s="15" t="s">
        <v>23</v>
      </c>
    </row>
    <row r="321" spans="1:17" s="12" customFormat="1" x14ac:dyDescent="0.25">
      <c r="A321" s="12">
        <v>333123</v>
      </c>
      <c r="B321" s="12" t="s">
        <v>1172</v>
      </c>
      <c r="C321" s="12" t="s">
        <v>1173</v>
      </c>
      <c r="D321" s="12" t="s">
        <v>1174</v>
      </c>
      <c r="E321" s="13">
        <v>6070</v>
      </c>
      <c r="F321" s="12" t="s">
        <v>1175</v>
      </c>
      <c r="G321" s="12" t="s">
        <v>1176</v>
      </c>
      <c r="H321" s="12" t="s">
        <v>22</v>
      </c>
      <c r="I321" s="14">
        <v>6001</v>
      </c>
      <c r="J321" s="12" t="s">
        <v>30</v>
      </c>
      <c r="K321" s="12">
        <v>16</v>
      </c>
      <c r="L321" s="12">
        <v>93</v>
      </c>
      <c r="M321" s="12">
        <v>63</v>
      </c>
      <c r="N321" s="12">
        <v>0</v>
      </c>
      <c r="O321" s="12">
        <v>172</v>
      </c>
      <c r="P321" s="12" t="s">
        <v>1177</v>
      </c>
    </row>
    <row r="322" spans="1:17" s="15" customFormat="1" x14ac:dyDescent="0.25">
      <c r="A322" s="15">
        <v>360964</v>
      </c>
      <c r="B322" s="15" t="s">
        <v>1178</v>
      </c>
      <c r="C322" s="15" t="s">
        <v>1179</v>
      </c>
      <c r="D322" s="15" t="s">
        <v>1174</v>
      </c>
      <c r="E322" s="16">
        <v>6070</v>
      </c>
      <c r="F322" s="15" t="s">
        <v>1180</v>
      </c>
      <c r="G322" s="15" t="s">
        <v>1181</v>
      </c>
      <c r="H322" s="15" t="s">
        <v>22</v>
      </c>
      <c r="I322" s="17">
        <v>6001</v>
      </c>
      <c r="J322" s="15" t="s">
        <v>30</v>
      </c>
      <c r="K322" s="15">
        <v>11</v>
      </c>
      <c r="L322" s="15">
        <v>13</v>
      </c>
      <c r="M322" s="15">
        <v>13</v>
      </c>
      <c r="N322" s="15">
        <v>9</v>
      </c>
      <c r="O322" s="15">
        <v>46</v>
      </c>
      <c r="P322" s="15" t="s">
        <v>23</v>
      </c>
    </row>
    <row r="323" spans="1:17" s="15" customFormat="1" x14ac:dyDescent="0.25">
      <c r="A323" s="15">
        <v>328492</v>
      </c>
      <c r="B323" s="15" t="s">
        <v>1182</v>
      </c>
      <c r="C323" s="15" t="s">
        <v>1183</v>
      </c>
      <c r="D323" s="15" t="s">
        <v>1174</v>
      </c>
      <c r="E323" s="16" t="s">
        <v>1184</v>
      </c>
      <c r="F323" s="15" t="s">
        <v>1185</v>
      </c>
      <c r="G323" s="15" t="s">
        <v>1186</v>
      </c>
      <c r="H323" s="15" t="s">
        <v>22</v>
      </c>
      <c r="I323" s="17">
        <v>6001</v>
      </c>
      <c r="J323" s="15" t="s">
        <v>30</v>
      </c>
      <c r="K323" s="15">
        <v>34</v>
      </c>
      <c r="L323" s="15">
        <v>42</v>
      </c>
      <c r="M323" s="15">
        <v>34</v>
      </c>
      <c r="N323" s="15">
        <v>32</v>
      </c>
      <c r="O323" s="15">
        <v>142</v>
      </c>
      <c r="P323" s="15" t="s">
        <v>23</v>
      </c>
    </row>
    <row r="324" spans="1:17" s="15" customFormat="1" x14ac:dyDescent="0.25">
      <c r="A324" s="15">
        <v>328506</v>
      </c>
      <c r="B324" s="15" t="s">
        <v>1187</v>
      </c>
      <c r="C324" s="15" t="s">
        <v>1188</v>
      </c>
      <c r="D324" s="15" t="s">
        <v>1189</v>
      </c>
      <c r="E324" s="16" t="s">
        <v>1190</v>
      </c>
      <c r="F324" s="15" t="s">
        <v>1191</v>
      </c>
      <c r="G324" s="15" t="s">
        <v>1192</v>
      </c>
      <c r="H324" s="15" t="s">
        <v>22</v>
      </c>
      <c r="I324" s="17">
        <v>6001</v>
      </c>
      <c r="J324" s="15" t="s">
        <v>30</v>
      </c>
      <c r="K324" s="15">
        <v>17</v>
      </c>
      <c r="L324" s="15">
        <v>124</v>
      </c>
      <c r="M324" s="15">
        <v>34</v>
      </c>
      <c r="N324" s="15">
        <v>3</v>
      </c>
      <c r="O324" s="15">
        <v>178</v>
      </c>
      <c r="P324" s="15" t="s">
        <v>23</v>
      </c>
    </row>
    <row r="325" spans="1:17" s="15" customFormat="1" x14ac:dyDescent="0.25">
      <c r="A325" s="15">
        <v>333232</v>
      </c>
      <c r="B325" s="15" t="s">
        <v>1193</v>
      </c>
      <c r="C325" s="15" t="s">
        <v>1188</v>
      </c>
      <c r="D325" s="15" t="s">
        <v>1189</v>
      </c>
      <c r="E325" s="16" t="s">
        <v>1190</v>
      </c>
      <c r="F325" s="15" t="s">
        <v>1194</v>
      </c>
      <c r="G325" s="15" t="s">
        <v>1195</v>
      </c>
      <c r="H325" s="15" t="s">
        <v>22</v>
      </c>
      <c r="I325" s="17">
        <v>6001</v>
      </c>
      <c r="J325" s="15" t="s">
        <v>30</v>
      </c>
      <c r="K325" s="15">
        <v>96</v>
      </c>
      <c r="L325" s="15">
        <v>103</v>
      </c>
      <c r="M325" s="15">
        <v>77</v>
      </c>
      <c r="N325" s="15">
        <v>68</v>
      </c>
      <c r="O325" s="15">
        <v>344</v>
      </c>
      <c r="P325" s="15" t="s">
        <v>23</v>
      </c>
    </row>
    <row r="326" spans="1:17" s="15" customFormat="1" x14ac:dyDescent="0.25">
      <c r="A326" s="15">
        <v>333233</v>
      </c>
      <c r="B326" s="15" t="s">
        <v>1196</v>
      </c>
      <c r="C326" s="15" t="s">
        <v>1188</v>
      </c>
      <c r="D326" s="15" t="s">
        <v>1189</v>
      </c>
      <c r="E326" s="16" t="s">
        <v>1190</v>
      </c>
      <c r="F326" s="15" t="s">
        <v>1197</v>
      </c>
      <c r="G326" s="15" t="s">
        <v>1198</v>
      </c>
      <c r="H326" s="15" t="s">
        <v>22</v>
      </c>
      <c r="I326" s="17">
        <v>6001</v>
      </c>
      <c r="J326" s="15" t="s">
        <v>30</v>
      </c>
      <c r="K326" s="15">
        <v>0</v>
      </c>
      <c r="L326" s="15">
        <v>50</v>
      </c>
      <c r="M326" s="15">
        <v>45</v>
      </c>
      <c r="N326" s="15">
        <v>0</v>
      </c>
      <c r="O326" s="15">
        <v>95</v>
      </c>
      <c r="P326" s="15" t="s">
        <v>23</v>
      </c>
    </row>
    <row r="327" spans="1:17" s="15" customFormat="1" x14ac:dyDescent="0.25">
      <c r="A327" s="15">
        <v>333184</v>
      </c>
      <c r="B327" s="15" t="s">
        <v>1199</v>
      </c>
      <c r="C327" s="15" t="s">
        <v>1200</v>
      </c>
      <c r="D327" s="15" t="s">
        <v>1201</v>
      </c>
      <c r="E327" s="16" t="s">
        <v>1202</v>
      </c>
      <c r="F327" s="15" t="s">
        <v>1203</v>
      </c>
      <c r="G327" s="15" t="s">
        <v>1204</v>
      </c>
      <c r="H327" s="15" t="s">
        <v>22</v>
      </c>
      <c r="I327" s="17">
        <v>6001</v>
      </c>
      <c r="J327" s="15" t="s">
        <v>30</v>
      </c>
      <c r="K327" s="15">
        <v>37</v>
      </c>
      <c r="L327" s="15">
        <v>35</v>
      </c>
      <c r="M327" s="15">
        <v>63</v>
      </c>
      <c r="N327" s="15">
        <v>26</v>
      </c>
      <c r="O327" s="15">
        <v>161</v>
      </c>
      <c r="P327" s="15" t="s">
        <v>23</v>
      </c>
    </row>
    <row r="328" spans="1:17" x14ac:dyDescent="0.25">
      <c r="A328" s="6">
        <v>333204</v>
      </c>
      <c r="B328" s="6" t="s">
        <v>1205</v>
      </c>
      <c r="C328" s="6" t="s">
        <v>1206</v>
      </c>
      <c r="D328" s="6" t="s">
        <v>1207</v>
      </c>
      <c r="E328" s="7" t="s">
        <v>1208</v>
      </c>
      <c r="F328" s="6" t="s">
        <v>1209</v>
      </c>
      <c r="G328" s="6" t="s">
        <v>1210</v>
      </c>
      <c r="H328" s="6" t="s">
        <v>22</v>
      </c>
      <c r="I328" s="8">
        <v>6001</v>
      </c>
      <c r="J328" s="6" t="s">
        <v>30</v>
      </c>
      <c r="K328" s="6">
        <v>1131</v>
      </c>
      <c r="L328" s="6">
        <v>1398</v>
      </c>
      <c r="M328" s="6">
        <v>1142</v>
      </c>
      <c r="N328" s="6">
        <v>833</v>
      </c>
      <c r="O328" s="6">
        <v>4504</v>
      </c>
      <c r="P328" s="6" t="s">
        <v>23</v>
      </c>
      <c r="Q328" s="6"/>
    </row>
    <row r="329" spans="1:17" x14ac:dyDescent="0.25">
      <c r="A329" s="6">
        <v>376552</v>
      </c>
      <c r="B329" s="6" t="s">
        <v>1211</v>
      </c>
      <c r="C329" s="6" t="s">
        <v>1212</v>
      </c>
      <c r="D329" s="6" t="s">
        <v>1207</v>
      </c>
      <c r="E329" s="7" t="s">
        <v>1208</v>
      </c>
      <c r="F329" s="6" t="s">
        <v>1011</v>
      </c>
      <c r="G329" s="6" t="s">
        <v>1012</v>
      </c>
      <c r="H329" s="6" t="s">
        <v>22</v>
      </c>
      <c r="I329" s="8">
        <v>6001</v>
      </c>
      <c r="J329" s="6" t="s">
        <v>30</v>
      </c>
      <c r="K329" s="6">
        <v>410</v>
      </c>
      <c r="L329" s="6">
        <v>243</v>
      </c>
      <c r="M329" s="6">
        <v>0</v>
      </c>
      <c r="N329" s="6">
        <v>0</v>
      </c>
      <c r="O329" s="6">
        <v>653</v>
      </c>
      <c r="P329" s="6" t="s">
        <v>23</v>
      </c>
      <c r="Q329" s="6"/>
    </row>
    <row r="330" spans="1:17" s="12" customFormat="1" x14ac:dyDescent="0.25">
      <c r="A330" s="12">
        <v>329961</v>
      </c>
      <c r="B330" s="12" t="s">
        <v>1213</v>
      </c>
      <c r="C330" s="12" t="s">
        <v>1214</v>
      </c>
      <c r="D330" s="12" t="s">
        <v>1207</v>
      </c>
      <c r="E330" s="13" t="s">
        <v>1208</v>
      </c>
      <c r="F330" s="12" t="s">
        <v>128</v>
      </c>
      <c r="G330" s="12" t="s">
        <v>1215</v>
      </c>
      <c r="H330" s="12" t="s">
        <v>22</v>
      </c>
      <c r="I330" s="14">
        <v>6001</v>
      </c>
      <c r="J330" s="12" t="s">
        <v>30</v>
      </c>
      <c r="K330" s="12">
        <v>16</v>
      </c>
      <c r="L330" s="12">
        <v>18</v>
      </c>
      <c r="M330" s="12">
        <v>20</v>
      </c>
      <c r="N330" s="12">
        <v>17</v>
      </c>
      <c r="O330" s="12">
        <v>71</v>
      </c>
      <c r="P330" s="12" t="s">
        <v>130</v>
      </c>
    </row>
    <row r="331" spans="1:17" s="6" customFormat="1" x14ac:dyDescent="0.25">
      <c r="A331" s="6">
        <v>333550</v>
      </c>
      <c r="B331" s="6" t="s">
        <v>1216</v>
      </c>
      <c r="C331" s="6" t="s">
        <v>1214</v>
      </c>
      <c r="D331" s="6" t="s">
        <v>1207</v>
      </c>
      <c r="E331" s="7" t="s">
        <v>1208</v>
      </c>
      <c r="F331" s="6" t="s">
        <v>1217</v>
      </c>
      <c r="G331" s="6" t="s">
        <v>1218</v>
      </c>
      <c r="H331" s="6" t="s">
        <v>22</v>
      </c>
      <c r="I331" s="8">
        <v>6001</v>
      </c>
      <c r="J331" s="6" t="s">
        <v>30</v>
      </c>
      <c r="K331" s="6">
        <v>136</v>
      </c>
      <c r="L331" s="6">
        <v>486</v>
      </c>
      <c r="M331" s="6">
        <v>415</v>
      </c>
      <c r="N331" s="6">
        <v>35</v>
      </c>
      <c r="O331" s="6">
        <v>1072</v>
      </c>
      <c r="P331" s="6" t="s">
        <v>23</v>
      </c>
    </row>
    <row r="332" spans="1:17" s="6" customFormat="1" x14ac:dyDescent="0.25">
      <c r="A332" s="6">
        <v>333128</v>
      </c>
      <c r="B332" s="6" t="s">
        <v>1219</v>
      </c>
      <c r="C332" s="6" t="s">
        <v>1214</v>
      </c>
      <c r="D332" s="6" t="s">
        <v>1207</v>
      </c>
      <c r="E332" s="7" t="s">
        <v>1208</v>
      </c>
      <c r="F332" s="6" t="s">
        <v>1220</v>
      </c>
      <c r="G332" s="6" t="s">
        <v>1221</v>
      </c>
      <c r="H332" s="6" t="s">
        <v>22</v>
      </c>
      <c r="I332" s="8">
        <v>6001</v>
      </c>
      <c r="J332" s="6" t="s">
        <v>30</v>
      </c>
      <c r="K332" s="6">
        <v>378</v>
      </c>
      <c r="L332" s="6">
        <v>521</v>
      </c>
      <c r="M332" s="6">
        <v>420</v>
      </c>
      <c r="N332" s="6">
        <v>215</v>
      </c>
      <c r="O332" s="6">
        <v>1534</v>
      </c>
      <c r="P332" s="6" t="s">
        <v>23</v>
      </c>
    </row>
    <row r="333" spans="1:17" s="6" customFormat="1" x14ac:dyDescent="0.25">
      <c r="A333" s="6">
        <v>333129</v>
      </c>
      <c r="B333" s="6" t="s">
        <v>1222</v>
      </c>
      <c r="C333" s="6" t="s">
        <v>1214</v>
      </c>
      <c r="D333" s="6" t="s">
        <v>1207</v>
      </c>
      <c r="E333" s="7" t="s">
        <v>1208</v>
      </c>
      <c r="F333" s="6" t="s">
        <v>1220</v>
      </c>
      <c r="G333" s="6" t="s">
        <v>1223</v>
      </c>
      <c r="H333" s="6" t="s">
        <v>22</v>
      </c>
      <c r="I333" s="8">
        <v>6001</v>
      </c>
      <c r="J333" s="6" t="s">
        <v>30</v>
      </c>
      <c r="K333" s="6">
        <v>376</v>
      </c>
      <c r="L333" s="6">
        <v>539</v>
      </c>
      <c r="M333" s="6">
        <v>353</v>
      </c>
      <c r="N333" s="6">
        <v>179</v>
      </c>
      <c r="O333" s="6">
        <v>1447</v>
      </c>
      <c r="P333" s="6" t="s">
        <v>23</v>
      </c>
    </row>
    <row r="334" spans="1:17" s="6" customFormat="1" x14ac:dyDescent="0.25">
      <c r="A334" s="6">
        <v>333126</v>
      </c>
      <c r="B334" s="6" t="s">
        <v>1216</v>
      </c>
      <c r="C334" s="6" t="s">
        <v>1214</v>
      </c>
      <c r="D334" s="6" t="s">
        <v>1207</v>
      </c>
      <c r="E334" s="7" t="s">
        <v>1208</v>
      </c>
      <c r="F334" s="6" t="s">
        <v>1224</v>
      </c>
      <c r="G334" s="6" t="s">
        <v>1225</v>
      </c>
      <c r="H334" s="6" t="s">
        <v>22</v>
      </c>
      <c r="I334" s="8">
        <v>6001</v>
      </c>
      <c r="J334" s="6" t="s">
        <v>30</v>
      </c>
      <c r="K334" s="6">
        <v>109</v>
      </c>
      <c r="L334" s="6">
        <v>464</v>
      </c>
      <c r="M334" s="6">
        <v>384</v>
      </c>
      <c r="N334" s="6">
        <v>0</v>
      </c>
      <c r="O334" s="6">
        <v>957</v>
      </c>
      <c r="P334" s="6" t="s">
        <v>23</v>
      </c>
    </row>
    <row r="335" spans="1:17" s="15" customFormat="1" x14ac:dyDescent="0.25">
      <c r="A335" s="15">
        <v>351688</v>
      </c>
      <c r="B335" s="15" t="s">
        <v>1226</v>
      </c>
      <c r="C335" s="15" t="s">
        <v>1212</v>
      </c>
      <c r="D335" s="15" t="s">
        <v>1207</v>
      </c>
      <c r="E335" s="16">
        <v>99210</v>
      </c>
      <c r="F335" s="15" t="s">
        <v>1227</v>
      </c>
      <c r="G335" s="15" t="s">
        <v>1228</v>
      </c>
      <c r="H335" s="15" t="s">
        <v>22</v>
      </c>
      <c r="I335" s="17">
        <v>6001</v>
      </c>
      <c r="J335" s="15" t="s">
        <v>30</v>
      </c>
      <c r="K335" s="15">
        <v>67</v>
      </c>
      <c r="L335" s="15">
        <v>15</v>
      </c>
      <c r="M335" s="15">
        <v>11</v>
      </c>
      <c r="N335" s="15">
        <v>23</v>
      </c>
      <c r="O335" s="15">
        <v>116</v>
      </c>
      <c r="P335" s="15" t="s">
        <v>23</v>
      </c>
    </row>
    <row r="336" spans="1:17" s="15" customFormat="1" x14ac:dyDescent="0.25">
      <c r="A336" s="15">
        <v>333272</v>
      </c>
      <c r="B336" s="15" t="s">
        <v>1229</v>
      </c>
      <c r="C336" s="15" t="s">
        <v>1214</v>
      </c>
      <c r="D336" s="15" t="s">
        <v>1207</v>
      </c>
      <c r="E336" s="16" t="s">
        <v>1208</v>
      </c>
      <c r="F336" s="15" t="s">
        <v>1230</v>
      </c>
      <c r="G336" s="15" t="s">
        <v>1231</v>
      </c>
      <c r="H336" s="15" t="s">
        <v>22</v>
      </c>
      <c r="I336" s="17">
        <v>6001</v>
      </c>
      <c r="J336" s="15" t="s">
        <v>30</v>
      </c>
      <c r="K336" s="15">
        <v>58</v>
      </c>
      <c r="L336" s="15">
        <v>48</v>
      </c>
      <c r="M336" s="15">
        <v>50</v>
      </c>
      <c r="N336" s="15">
        <v>53</v>
      </c>
      <c r="O336" s="15">
        <v>209</v>
      </c>
      <c r="P336" s="15" t="s">
        <v>23</v>
      </c>
    </row>
    <row r="337" spans="1:17" s="15" customFormat="1" x14ac:dyDescent="0.25">
      <c r="A337" s="15">
        <v>328514</v>
      </c>
      <c r="B337" s="15" t="s">
        <v>1232</v>
      </c>
      <c r="C337" s="15" t="s">
        <v>1233</v>
      </c>
      <c r="D337" s="15" t="s">
        <v>1207</v>
      </c>
      <c r="E337" s="16" t="s">
        <v>1234</v>
      </c>
      <c r="F337" s="15" t="s">
        <v>1235</v>
      </c>
      <c r="G337" s="15" t="s">
        <v>1236</v>
      </c>
      <c r="H337" s="15" t="s">
        <v>22</v>
      </c>
      <c r="I337" s="17">
        <v>6001</v>
      </c>
      <c r="J337" s="15" t="s">
        <v>30</v>
      </c>
      <c r="K337" s="15">
        <v>5</v>
      </c>
      <c r="L337" s="15">
        <v>9</v>
      </c>
      <c r="M337" s="15">
        <v>10</v>
      </c>
      <c r="N337" s="15">
        <v>9</v>
      </c>
      <c r="O337" s="15">
        <v>33</v>
      </c>
      <c r="P337" s="15" t="s">
        <v>23</v>
      </c>
    </row>
    <row r="338" spans="1:17" s="15" customFormat="1" x14ac:dyDescent="0.25">
      <c r="A338" s="15">
        <v>368811</v>
      </c>
      <c r="B338" s="15" t="s">
        <v>1237</v>
      </c>
      <c r="C338" s="15" t="s">
        <v>1214</v>
      </c>
      <c r="D338" s="15" t="s">
        <v>1207</v>
      </c>
      <c r="E338" s="16" t="s">
        <v>1208</v>
      </c>
      <c r="F338" s="15" t="s">
        <v>777</v>
      </c>
      <c r="G338" s="15" t="s">
        <v>1238</v>
      </c>
      <c r="H338" s="15" t="s">
        <v>22</v>
      </c>
      <c r="I338" s="17">
        <v>6001</v>
      </c>
      <c r="J338" s="15" t="s">
        <v>30</v>
      </c>
      <c r="K338" s="15">
        <v>0</v>
      </c>
      <c r="L338" s="15">
        <v>0</v>
      </c>
      <c r="M338" s="15">
        <v>1</v>
      </c>
      <c r="N338" s="15">
        <v>1</v>
      </c>
      <c r="O338" s="15">
        <v>2</v>
      </c>
      <c r="P338" s="15" t="s">
        <v>23</v>
      </c>
    </row>
    <row r="339" spans="1:17" s="15" customFormat="1" x14ac:dyDescent="0.25">
      <c r="A339" s="15">
        <v>333243</v>
      </c>
      <c r="B339" s="15" t="s">
        <v>1239</v>
      </c>
      <c r="C339" s="15" t="s">
        <v>1214</v>
      </c>
      <c r="D339" s="15" t="s">
        <v>1207</v>
      </c>
      <c r="E339" s="16" t="s">
        <v>1208</v>
      </c>
      <c r="F339" s="15" t="s">
        <v>1240</v>
      </c>
      <c r="G339" s="15" t="s">
        <v>1241</v>
      </c>
      <c r="H339" s="15" t="s">
        <v>22</v>
      </c>
      <c r="I339" s="17">
        <v>6001</v>
      </c>
      <c r="J339" s="15" t="s">
        <v>30</v>
      </c>
      <c r="K339" s="15">
        <v>165</v>
      </c>
      <c r="L339" s="15">
        <v>159</v>
      </c>
      <c r="M339" s="15">
        <v>157</v>
      </c>
      <c r="N339" s="15">
        <v>155</v>
      </c>
      <c r="O339" s="15">
        <v>636</v>
      </c>
      <c r="P339" s="15" t="s">
        <v>23</v>
      </c>
    </row>
    <row r="340" spans="1:17" s="15" customFormat="1" x14ac:dyDescent="0.25">
      <c r="A340" s="15">
        <v>333248</v>
      </c>
      <c r="B340" s="15" t="s">
        <v>1242</v>
      </c>
      <c r="C340" s="15" t="s">
        <v>1214</v>
      </c>
      <c r="D340" s="15" t="s">
        <v>1207</v>
      </c>
      <c r="E340" s="16" t="s">
        <v>1208</v>
      </c>
      <c r="F340" s="15" t="s">
        <v>1243</v>
      </c>
      <c r="G340" s="15" t="s">
        <v>1244</v>
      </c>
      <c r="H340" s="15" t="s">
        <v>22</v>
      </c>
      <c r="I340" s="17">
        <v>6001</v>
      </c>
      <c r="J340" s="15" t="s">
        <v>30</v>
      </c>
      <c r="K340" s="15">
        <v>0</v>
      </c>
      <c r="L340" s="15">
        <v>0</v>
      </c>
      <c r="M340" s="15">
        <v>0</v>
      </c>
      <c r="N340" s="15">
        <v>0</v>
      </c>
      <c r="O340" s="15">
        <v>0</v>
      </c>
      <c r="P340" s="15" t="s">
        <v>23</v>
      </c>
    </row>
    <row r="341" spans="1:17" s="15" customFormat="1" x14ac:dyDescent="0.25">
      <c r="A341" s="15">
        <v>328525</v>
      </c>
      <c r="B341" s="15" t="s">
        <v>1245</v>
      </c>
      <c r="C341" s="15" t="s">
        <v>1214</v>
      </c>
      <c r="D341" s="15" t="s">
        <v>1207</v>
      </c>
      <c r="E341" s="16" t="s">
        <v>1208</v>
      </c>
      <c r="F341" s="15" t="s">
        <v>1243</v>
      </c>
      <c r="G341" s="15" t="s">
        <v>1246</v>
      </c>
      <c r="H341" s="15" t="s">
        <v>22</v>
      </c>
      <c r="I341" s="17">
        <v>6001</v>
      </c>
      <c r="J341" s="15" t="s">
        <v>30</v>
      </c>
      <c r="K341" s="15">
        <v>11</v>
      </c>
      <c r="L341" s="15">
        <v>12</v>
      </c>
      <c r="M341" s="15">
        <v>10</v>
      </c>
      <c r="N341" s="15">
        <v>11</v>
      </c>
      <c r="O341" s="15">
        <v>44</v>
      </c>
      <c r="P341" s="15" t="s">
        <v>23</v>
      </c>
    </row>
    <row r="342" spans="1:17" s="15" customFormat="1" x14ac:dyDescent="0.25">
      <c r="A342" s="15">
        <v>333254</v>
      </c>
      <c r="B342" s="15" t="s">
        <v>1247</v>
      </c>
      <c r="C342" s="15" t="s">
        <v>1214</v>
      </c>
      <c r="D342" s="15" t="s">
        <v>1207</v>
      </c>
      <c r="E342" s="16" t="s">
        <v>1208</v>
      </c>
      <c r="F342" s="15" t="s">
        <v>839</v>
      </c>
      <c r="G342" s="15" t="s">
        <v>1248</v>
      </c>
      <c r="H342" s="15" t="s">
        <v>22</v>
      </c>
      <c r="I342" s="17">
        <v>6001</v>
      </c>
      <c r="J342" s="15" t="s">
        <v>30</v>
      </c>
      <c r="K342" s="15">
        <v>79</v>
      </c>
      <c r="L342" s="15">
        <v>84</v>
      </c>
      <c r="M342" s="15">
        <v>74</v>
      </c>
      <c r="N342" s="15">
        <v>61</v>
      </c>
      <c r="O342" s="15">
        <v>298</v>
      </c>
      <c r="P342" s="15" t="s">
        <v>23</v>
      </c>
    </row>
    <row r="343" spans="1:17" s="15" customFormat="1" x14ac:dyDescent="0.25">
      <c r="A343" s="15">
        <v>328723</v>
      </c>
      <c r="B343" s="15" t="s">
        <v>1249</v>
      </c>
      <c r="C343" s="15" t="s">
        <v>1214</v>
      </c>
      <c r="D343" s="15" t="s">
        <v>1207</v>
      </c>
      <c r="E343" s="16" t="s">
        <v>1208</v>
      </c>
      <c r="F343" s="15" t="s">
        <v>1250</v>
      </c>
      <c r="G343" s="15" t="s">
        <v>1251</v>
      </c>
      <c r="H343" s="15" t="s">
        <v>22</v>
      </c>
      <c r="I343" s="17">
        <v>6001</v>
      </c>
      <c r="J343" s="15" t="s">
        <v>30</v>
      </c>
      <c r="K343" s="15">
        <v>2</v>
      </c>
      <c r="L343" s="15">
        <v>3</v>
      </c>
      <c r="M343" s="15">
        <v>3</v>
      </c>
      <c r="N343" s="15">
        <v>2</v>
      </c>
      <c r="O343" s="15">
        <v>10</v>
      </c>
      <c r="P343" s="15" t="s">
        <v>23</v>
      </c>
    </row>
    <row r="344" spans="1:17" s="15" customFormat="1" x14ac:dyDescent="0.25">
      <c r="A344" s="15">
        <v>333225</v>
      </c>
      <c r="B344" s="15" t="s">
        <v>1252</v>
      </c>
      <c r="C344" s="15" t="s">
        <v>1214</v>
      </c>
      <c r="D344" s="15" t="s">
        <v>1207</v>
      </c>
      <c r="E344" s="16" t="s">
        <v>1208</v>
      </c>
      <c r="F344" s="15" t="s">
        <v>741</v>
      </c>
      <c r="G344" s="15" t="s">
        <v>1253</v>
      </c>
      <c r="H344" s="15" t="s">
        <v>22</v>
      </c>
      <c r="I344" s="17">
        <v>6001</v>
      </c>
      <c r="J344" s="15" t="s">
        <v>30</v>
      </c>
      <c r="K344" s="15">
        <v>245</v>
      </c>
      <c r="L344" s="15">
        <v>475</v>
      </c>
      <c r="M344" s="15">
        <v>329</v>
      </c>
      <c r="N344" s="15">
        <v>204</v>
      </c>
      <c r="O344" s="15">
        <v>1253</v>
      </c>
      <c r="P344" s="15" t="s">
        <v>23</v>
      </c>
    </row>
    <row r="345" spans="1:17" s="15" customFormat="1" x14ac:dyDescent="0.25">
      <c r="A345" s="15">
        <v>333253</v>
      </c>
      <c r="B345" s="15" t="s">
        <v>1254</v>
      </c>
      <c r="C345" s="15" t="s">
        <v>1255</v>
      </c>
      <c r="D345" s="15" t="s">
        <v>1207</v>
      </c>
      <c r="E345" s="16" t="s">
        <v>1256</v>
      </c>
      <c r="F345" s="15" t="s">
        <v>1257</v>
      </c>
      <c r="G345" s="15" t="s">
        <v>1258</v>
      </c>
      <c r="H345" s="15" t="s">
        <v>22</v>
      </c>
      <c r="I345" s="17">
        <v>6001</v>
      </c>
      <c r="J345" s="15" t="s">
        <v>30</v>
      </c>
      <c r="K345" s="15">
        <v>2</v>
      </c>
      <c r="L345" s="15">
        <v>3</v>
      </c>
      <c r="M345" s="15">
        <v>3</v>
      </c>
      <c r="N345" s="15">
        <v>2</v>
      </c>
      <c r="O345" s="15">
        <v>10</v>
      </c>
      <c r="P345" s="15" t="s">
        <v>23</v>
      </c>
    </row>
    <row r="346" spans="1:17" s="15" customFormat="1" x14ac:dyDescent="0.25">
      <c r="A346" s="15">
        <v>333558</v>
      </c>
      <c r="B346" s="15" t="s">
        <v>1252</v>
      </c>
      <c r="C346" s="15" t="s">
        <v>1206</v>
      </c>
      <c r="D346" s="15" t="s">
        <v>1207</v>
      </c>
      <c r="E346" s="16" t="s">
        <v>1208</v>
      </c>
      <c r="F346" s="15" t="s">
        <v>1259</v>
      </c>
      <c r="G346" s="15" t="s">
        <v>1260</v>
      </c>
      <c r="H346" s="15" t="s">
        <v>22</v>
      </c>
      <c r="I346" s="17">
        <v>6001</v>
      </c>
      <c r="J346" s="15" t="s">
        <v>30</v>
      </c>
      <c r="K346" s="15">
        <v>453</v>
      </c>
      <c r="L346" s="15">
        <v>707</v>
      </c>
      <c r="M346" s="15">
        <v>544</v>
      </c>
      <c r="N346" s="15">
        <v>425</v>
      </c>
      <c r="O346" s="15">
        <v>2129</v>
      </c>
      <c r="P346" s="15" t="s">
        <v>23</v>
      </c>
    </row>
    <row r="347" spans="1:17" x14ac:dyDescent="0.25">
      <c r="A347" s="6">
        <v>333297</v>
      </c>
      <c r="B347" s="6" t="s">
        <v>1261</v>
      </c>
      <c r="C347" s="6" t="s">
        <v>1262</v>
      </c>
      <c r="D347" s="6" t="s">
        <v>1263</v>
      </c>
      <c r="E347" s="7" t="s">
        <v>1264</v>
      </c>
      <c r="F347" s="6" t="s">
        <v>1265</v>
      </c>
      <c r="G347" s="6" t="s">
        <v>1266</v>
      </c>
      <c r="H347" s="6" t="s">
        <v>22</v>
      </c>
      <c r="I347" s="8">
        <v>6001</v>
      </c>
      <c r="J347" s="6" t="s">
        <v>30</v>
      </c>
      <c r="K347" s="6">
        <v>99</v>
      </c>
      <c r="L347" s="6">
        <v>118</v>
      </c>
      <c r="M347" s="6">
        <v>100</v>
      </c>
      <c r="N347" s="6">
        <v>85</v>
      </c>
      <c r="O347" s="6">
        <v>402</v>
      </c>
      <c r="P347" s="6" t="s">
        <v>23</v>
      </c>
      <c r="Q347" s="6"/>
    </row>
    <row r="348" spans="1:17" s="6" customFormat="1" x14ac:dyDescent="0.25">
      <c r="A348" s="6">
        <v>332054</v>
      </c>
      <c r="B348" s="6" t="s">
        <v>1267</v>
      </c>
      <c r="C348" s="6" t="s">
        <v>1268</v>
      </c>
      <c r="D348" s="6" t="s">
        <v>1269</v>
      </c>
      <c r="E348" s="7">
        <v>6085</v>
      </c>
      <c r="F348" s="6" t="s">
        <v>1270</v>
      </c>
      <c r="G348" s="6" t="s">
        <v>1271</v>
      </c>
      <c r="H348" s="6" t="s">
        <v>22</v>
      </c>
      <c r="I348" s="8">
        <v>6001</v>
      </c>
      <c r="J348" s="6" t="s">
        <v>30</v>
      </c>
      <c r="K348" s="6">
        <v>353</v>
      </c>
      <c r="L348" s="6">
        <v>310</v>
      </c>
      <c r="M348" s="6">
        <v>215</v>
      </c>
      <c r="N348" s="6">
        <v>200</v>
      </c>
      <c r="O348" s="6">
        <v>1078</v>
      </c>
      <c r="P348" s="6" t="s">
        <v>1272</v>
      </c>
    </row>
    <row r="349" spans="1:17" s="6" customFormat="1" x14ac:dyDescent="0.25">
      <c r="A349" s="6">
        <v>332313</v>
      </c>
      <c r="B349" s="6" t="s">
        <v>1273</v>
      </c>
      <c r="C349" s="6" t="s">
        <v>1268</v>
      </c>
      <c r="D349" s="6" t="s">
        <v>1269</v>
      </c>
      <c r="E349" s="7">
        <v>6085</v>
      </c>
      <c r="F349" s="6" t="s">
        <v>1274</v>
      </c>
      <c r="G349" s="6" t="s">
        <v>1275</v>
      </c>
      <c r="H349" s="6" t="s">
        <v>22</v>
      </c>
      <c r="I349" s="8">
        <v>6001</v>
      </c>
      <c r="J349" s="6" t="s">
        <v>30</v>
      </c>
      <c r="K349" s="6">
        <v>0</v>
      </c>
      <c r="L349" s="6">
        <v>2</v>
      </c>
      <c r="M349" s="6">
        <v>0</v>
      </c>
      <c r="N349" s="6">
        <v>0</v>
      </c>
      <c r="O349" s="6">
        <v>2</v>
      </c>
      <c r="P349" s="6" t="s">
        <v>598</v>
      </c>
    </row>
    <row r="350" spans="1:17" s="6" customFormat="1" x14ac:dyDescent="0.25">
      <c r="A350" s="6">
        <v>332310</v>
      </c>
      <c r="B350" s="6" t="s">
        <v>1267</v>
      </c>
      <c r="C350" s="6" t="s">
        <v>1268</v>
      </c>
      <c r="D350" s="6" t="s">
        <v>1269</v>
      </c>
      <c r="E350" s="7">
        <v>6085</v>
      </c>
      <c r="F350" s="6" t="s">
        <v>1276</v>
      </c>
      <c r="G350" s="6" t="s">
        <v>1277</v>
      </c>
      <c r="H350" s="6" t="s">
        <v>22</v>
      </c>
      <c r="I350" s="8">
        <v>6001</v>
      </c>
      <c r="J350" s="6" t="s">
        <v>30</v>
      </c>
      <c r="K350" s="6">
        <v>237</v>
      </c>
      <c r="L350" s="6">
        <v>209</v>
      </c>
      <c r="M350" s="6">
        <v>127</v>
      </c>
      <c r="N350" s="6">
        <v>127</v>
      </c>
      <c r="O350" s="6">
        <v>700</v>
      </c>
      <c r="P350" s="6" t="s">
        <v>1272</v>
      </c>
    </row>
    <row r="351" spans="1:17" s="12" customFormat="1" x14ac:dyDescent="0.25">
      <c r="A351" s="12">
        <v>178596</v>
      </c>
      <c r="B351" s="12" t="s">
        <v>1278</v>
      </c>
      <c r="C351" s="12" t="s">
        <v>1279</v>
      </c>
      <c r="D351" s="12" t="s">
        <v>1269</v>
      </c>
      <c r="E351" s="13">
        <v>6085</v>
      </c>
      <c r="F351" s="12" t="s">
        <v>1280</v>
      </c>
      <c r="G351" s="12" t="s">
        <v>1281</v>
      </c>
      <c r="H351" s="12" t="s">
        <v>22</v>
      </c>
      <c r="I351" s="14">
        <v>6001</v>
      </c>
      <c r="J351" s="12" t="s">
        <v>30</v>
      </c>
      <c r="K351" s="12">
        <v>1</v>
      </c>
      <c r="L351" s="12">
        <v>0</v>
      </c>
      <c r="M351" s="12">
        <v>0</v>
      </c>
      <c r="N351" s="12">
        <v>0</v>
      </c>
      <c r="O351" s="12">
        <v>1</v>
      </c>
      <c r="P351" s="12" t="s">
        <v>1282</v>
      </c>
    </row>
    <row r="352" spans="1:17" s="12" customFormat="1" x14ac:dyDescent="0.25">
      <c r="A352" s="12">
        <v>178597</v>
      </c>
      <c r="B352" s="12" t="s">
        <v>1278</v>
      </c>
      <c r="C352" s="12" t="s">
        <v>1279</v>
      </c>
      <c r="D352" s="12" t="s">
        <v>1269</v>
      </c>
      <c r="E352" s="13">
        <v>6085</v>
      </c>
      <c r="F352" s="12" t="s">
        <v>1283</v>
      </c>
      <c r="G352" s="12" t="s">
        <v>1284</v>
      </c>
      <c r="H352" s="12" t="s">
        <v>22</v>
      </c>
      <c r="I352" s="14">
        <v>6001</v>
      </c>
      <c r="J352" s="12" t="s">
        <v>30</v>
      </c>
      <c r="K352" s="12">
        <v>2</v>
      </c>
      <c r="L352" s="12">
        <v>4</v>
      </c>
      <c r="M352" s="12">
        <v>0</v>
      </c>
      <c r="N352" s="12">
        <v>0</v>
      </c>
      <c r="O352" s="12">
        <v>6</v>
      </c>
      <c r="P352" s="12" t="s">
        <v>1282</v>
      </c>
    </row>
    <row r="353" spans="1:17" s="12" customFormat="1" x14ac:dyDescent="0.25">
      <c r="A353" s="12">
        <v>328841</v>
      </c>
      <c r="B353" s="12" t="s">
        <v>1285</v>
      </c>
      <c r="C353" s="12" t="s">
        <v>1286</v>
      </c>
      <c r="D353" s="12" t="s">
        <v>1269</v>
      </c>
      <c r="E353" s="13">
        <v>6085</v>
      </c>
      <c r="F353" s="12" t="s">
        <v>1287</v>
      </c>
      <c r="G353" s="12" t="s">
        <v>1288</v>
      </c>
      <c r="H353" s="12" t="s">
        <v>22</v>
      </c>
      <c r="I353" s="14">
        <v>6001</v>
      </c>
      <c r="J353" s="12" t="s">
        <v>30</v>
      </c>
      <c r="K353" s="12">
        <v>10</v>
      </c>
      <c r="L353" s="12">
        <v>10</v>
      </c>
      <c r="M353" s="12">
        <v>8</v>
      </c>
      <c r="N353" s="12">
        <v>6</v>
      </c>
      <c r="O353" s="12">
        <v>34</v>
      </c>
      <c r="P353" s="12" t="s">
        <v>23</v>
      </c>
    </row>
    <row r="354" spans="1:17" s="15" customFormat="1" x14ac:dyDescent="0.25">
      <c r="A354" s="15">
        <v>342288</v>
      </c>
      <c r="B354" s="15" t="s">
        <v>1289</v>
      </c>
      <c r="C354" s="15" t="s">
        <v>1290</v>
      </c>
      <c r="D354" s="15" t="s">
        <v>1269</v>
      </c>
      <c r="E354" s="16">
        <v>6085</v>
      </c>
      <c r="F354" s="15" t="s">
        <v>1291</v>
      </c>
      <c r="G354" s="15" t="s">
        <v>1292</v>
      </c>
      <c r="H354" s="15" t="s">
        <v>22</v>
      </c>
      <c r="I354" s="17">
        <v>6001</v>
      </c>
      <c r="J354" s="15" t="s">
        <v>30</v>
      </c>
      <c r="K354" s="15">
        <v>8</v>
      </c>
      <c r="L354" s="15">
        <v>8</v>
      </c>
      <c r="M354" s="15">
        <v>7</v>
      </c>
      <c r="N354" s="15">
        <v>8</v>
      </c>
      <c r="O354" s="15">
        <v>31</v>
      </c>
      <c r="P354" s="15" t="s">
        <v>23</v>
      </c>
    </row>
    <row r="355" spans="1:17" s="15" customFormat="1" x14ac:dyDescent="0.25">
      <c r="A355" s="15">
        <v>332905</v>
      </c>
      <c r="B355" s="15" t="s">
        <v>1293</v>
      </c>
      <c r="C355" s="15" t="s">
        <v>1268</v>
      </c>
      <c r="D355" s="15" t="s">
        <v>1269</v>
      </c>
      <c r="E355" s="16">
        <v>6085</v>
      </c>
      <c r="F355" s="15" t="s">
        <v>1294</v>
      </c>
      <c r="G355" s="15" t="s">
        <v>1295</v>
      </c>
      <c r="H355" s="15" t="s">
        <v>22</v>
      </c>
      <c r="I355" s="17">
        <v>6001</v>
      </c>
      <c r="J355" s="15" t="s">
        <v>30</v>
      </c>
      <c r="K355" s="15">
        <v>37</v>
      </c>
      <c r="L355" s="15">
        <v>27</v>
      </c>
      <c r="M355" s="15">
        <v>0</v>
      </c>
      <c r="N355" s="15">
        <v>1</v>
      </c>
      <c r="O355" s="15">
        <v>65</v>
      </c>
      <c r="P355" s="15" t="s">
        <v>1272</v>
      </c>
    </row>
    <row r="356" spans="1:17" s="12" customFormat="1" x14ac:dyDescent="0.25">
      <c r="A356" s="12">
        <v>333068</v>
      </c>
      <c r="B356" s="12" t="s">
        <v>1296</v>
      </c>
      <c r="C356" s="12" t="s">
        <v>1297</v>
      </c>
      <c r="D356" s="12" t="s">
        <v>1298</v>
      </c>
      <c r="E356" s="13" t="s">
        <v>1299</v>
      </c>
      <c r="F356" s="12" t="s">
        <v>773</v>
      </c>
      <c r="G356" s="12" t="s">
        <v>1300</v>
      </c>
      <c r="H356" s="12" t="s">
        <v>22</v>
      </c>
      <c r="I356" s="14">
        <v>6001</v>
      </c>
      <c r="J356" s="12" t="s">
        <v>30</v>
      </c>
      <c r="K356" s="12">
        <v>9</v>
      </c>
      <c r="L356" s="12">
        <v>10</v>
      </c>
      <c r="M356" s="12">
        <v>11</v>
      </c>
      <c r="N356" s="12">
        <v>7</v>
      </c>
      <c r="O356" s="12">
        <v>37</v>
      </c>
      <c r="P356" s="12" t="s">
        <v>23</v>
      </c>
    </row>
    <row r="357" spans="1:17" x14ac:dyDescent="0.25">
      <c r="A357" s="6">
        <v>333191</v>
      </c>
      <c r="B357" s="6" t="s">
        <v>1301</v>
      </c>
      <c r="C357" s="6" t="s">
        <v>1302</v>
      </c>
      <c r="D357" s="6" t="s">
        <v>1303</v>
      </c>
      <c r="E357" s="7" t="s">
        <v>1304</v>
      </c>
      <c r="F357" s="6" t="s">
        <v>1305</v>
      </c>
      <c r="G357" s="6" t="s">
        <v>1306</v>
      </c>
      <c r="H357" s="6" t="s">
        <v>22</v>
      </c>
      <c r="I357" s="8">
        <v>6001</v>
      </c>
      <c r="J357" s="6" t="s">
        <v>30</v>
      </c>
      <c r="K357" s="6">
        <v>16</v>
      </c>
      <c r="L357" s="6">
        <v>4</v>
      </c>
      <c r="M357" s="6">
        <v>16</v>
      </c>
      <c r="N357" s="6">
        <v>10</v>
      </c>
      <c r="O357" s="6">
        <v>46</v>
      </c>
      <c r="P357" s="6" t="s">
        <v>23</v>
      </c>
      <c r="Q357" s="6"/>
    </row>
    <row r="358" spans="1:17" s="15" customFormat="1" x14ac:dyDescent="0.25">
      <c r="A358" s="15">
        <v>333251</v>
      </c>
      <c r="B358" s="15" t="s">
        <v>1307</v>
      </c>
      <c r="C358" s="15" t="s">
        <v>1308</v>
      </c>
      <c r="D358" s="15" t="s">
        <v>1303</v>
      </c>
      <c r="E358" s="16">
        <v>6795</v>
      </c>
      <c r="F358" s="15" t="s">
        <v>1309</v>
      </c>
      <c r="G358" s="15" t="s">
        <v>1310</v>
      </c>
      <c r="H358" s="15" t="s">
        <v>22</v>
      </c>
      <c r="I358" s="17">
        <v>6001</v>
      </c>
      <c r="J358" s="15" t="s">
        <v>30</v>
      </c>
      <c r="K358" s="15">
        <v>47</v>
      </c>
      <c r="L358" s="15">
        <v>349</v>
      </c>
      <c r="M358" s="15">
        <v>125</v>
      </c>
      <c r="N358" s="15">
        <v>0</v>
      </c>
      <c r="O358" s="15">
        <v>521</v>
      </c>
      <c r="P358" s="15" t="s">
        <v>23</v>
      </c>
    </row>
    <row r="359" spans="1:17" s="15" customFormat="1" x14ac:dyDescent="0.25">
      <c r="A359" s="15">
        <v>329182</v>
      </c>
      <c r="B359" s="15" t="s">
        <v>1311</v>
      </c>
      <c r="C359" s="15" t="s">
        <v>1312</v>
      </c>
      <c r="D359" s="15" t="s">
        <v>1313</v>
      </c>
      <c r="E359" s="16" t="s">
        <v>1314</v>
      </c>
      <c r="F359" s="15" t="s">
        <v>1315</v>
      </c>
      <c r="G359" s="15" t="s">
        <v>1316</v>
      </c>
      <c r="H359" s="15" t="s">
        <v>22</v>
      </c>
      <c r="I359" s="17">
        <v>6001</v>
      </c>
      <c r="J359" s="15" t="s">
        <v>30</v>
      </c>
      <c r="K359" s="15">
        <v>73</v>
      </c>
      <c r="L359" s="15">
        <v>26</v>
      </c>
      <c r="M359" s="15">
        <v>43</v>
      </c>
      <c r="N359" s="15">
        <v>5</v>
      </c>
      <c r="O359" s="15">
        <v>147</v>
      </c>
      <c r="P359" s="15" t="s">
        <v>23</v>
      </c>
    </row>
    <row r="360" spans="1:17" s="15" customFormat="1" x14ac:dyDescent="0.25">
      <c r="A360" s="15">
        <v>333147</v>
      </c>
      <c r="B360" s="15" t="s">
        <v>1317</v>
      </c>
      <c r="C360" s="15" t="s">
        <v>1318</v>
      </c>
      <c r="D360" s="15" t="s">
        <v>1313</v>
      </c>
      <c r="E360" s="16" t="s">
        <v>1319</v>
      </c>
      <c r="F360" s="15" t="s">
        <v>1320</v>
      </c>
      <c r="G360" s="15" t="s">
        <v>1321</v>
      </c>
      <c r="H360" s="15" t="s">
        <v>22</v>
      </c>
      <c r="I360" s="17">
        <v>6001</v>
      </c>
      <c r="J360" s="15" t="s">
        <v>30</v>
      </c>
      <c r="K360" s="15">
        <v>29</v>
      </c>
      <c r="L360" s="15">
        <v>40</v>
      </c>
      <c r="M360" s="15">
        <v>34</v>
      </c>
      <c r="N360" s="15">
        <v>41</v>
      </c>
      <c r="O360" s="15">
        <v>144</v>
      </c>
      <c r="P360" s="15" t="s">
        <v>23</v>
      </c>
    </row>
    <row r="361" spans="1:17" s="15" customFormat="1" x14ac:dyDescent="0.25">
      <c r="A361" s="15">
        <v>336812</v>
      </c>
      <c r="B361" s="15" t="s">
        <v>1322</v>
      </c>
      <c r="C361" s="15" t="s">
        <v>1323</v>
      </c>
      <c r="D361" s="15" t="s">
        <v>1324</v>
      </c>
      <c r="E361" s="16" t="s">
        <v>1325</v>
      </c>
      <c r="F361" s="15" t="s">
        <v>1326</v>
      </c>
      <c r="G361" s="15" t="s">
        <v>1327</v>
      </c>
      <c r="H361" s="15" t="s">
        <v>22</v>
      </c>
      <c r="I361" s="17">
        <v>6001</v>
      </c>
      <c r="J361" s="15" t="s">
        <v>30</v>
      </c>
      <c r="K361" s="15">
        <v>12</v>
      </c>
      <c r="L361" s="15">
        <v>70</v>
      </c>
      <c r="M361" s="15">
        <v>23</v>
      </c>
      <c r="N361" s="15">
        <v>17</v>
      </c>
      <c r="O361" s="15">
        <v>122</v>
      </c>
      <c r="P361" s="15" t="s">
        <v>23</v>
      </c>
    </row>
    <row r="362" spans="1:17" s="15" customFormat="1" x14ac:dyDescent="0.25">
      <c r="A362" s="15">
        <v>328740</v>
      </c>
      <c r="B362" s="15" t="s">
        <v>1328</v>
      </c>
      <c r="C362" s="15" t="s">
        <v>1329</v>
      </c>
      <c r="D362" s="15" t="s">
        <v>1324</v>
      </c>
      <c r="E362" s="16" t="s">
        <v>1330</v>
      </c>
      <c r="F362" s="15" t="s">
        <v>1331</v>
      </c>
      <c r="G362" s="15" t="s">
        <v>1332</v>
      </c>
      <c r="H362" s="15" t="s">
        <v>22</v>
      </c>
      <c r="I362" s="17">
        <v>6001</v>
      </c>
      <c r="J362" s="15" t="s">
        <v>30</v>
      </c>
      <c r="K362" s="15">
        <v>17</v>
      </c>
      <c r="L362" s="15">
        <v>11</v>
      </c>
      <c r="M362" s="15">
        <v>8</v>
      </c>
      <c r="N362" s="15">
        <v>15</v>
      </c>
      <c r="O362" s="15">
        <v>51</v>
      </c>
      <c r="P362" s="15" t="s">
        <v>23</v>
      </c>
    </row>
    <row r="363" spans="1:17" s="15" customFormat="1" x14ac:dyDescent="0.25">
      <c r="A363" s="15">
        <v>328505</v>
      </c>
      <c r="B363" s="15" t="s">
        <v>1333</v>
      </c>
      <c r="C363" s="15" t="s">
        <v>1334</v>
      </c>
      <c r="D363" s="15" t="s">
        <v>1324</v>
      </c>
      <c r="E363" s="16">
        <v>6107</v>
      </c>
      <c r="F363" s="15" t="s">
        <v>653</v>
      </c>
      <c r="G363" s="15" t="s">
        <v>1335</v>
      </c>
      <c r="H363" s="15" t="s">
        <v>22</v>
      </c>
      <c r="I363" s="17">
        <v>6001</v>
      </c>
      <c r="J363" s="15" t="s">
        <v>30</v>
      </c>
      <c r="K363" s="15">
        <v>32</v>
      </c>
      <c r="L363" s="15">
        <v>40</v>
      </c>
      <c r="M363" s="15">
        <v>17</v>
      </c>
      <c r="N363" s="15">
        <v>18</v>
      </c>
      <c r="O363" s="15">
        <v>107</v>
      </c>
      <c r="P363" s="15" t="s">
        <v>23</v>
      </c>
    </row>
    <row r="364" spans="1:17" s="15" customFormat="1" x14ac:dyDescent="0.25">
      <c r="A364" s="15">
        <v>333245</v>
      </c>
      <c r="B364" s="15" t="s">
        <v>1336</v>
      </c>
      <c r="C364" s="15" t="s">
        <v>1337</v>
      </c>
      <c r="D364" s="15" t="s">
        <v>1324</v>
      </c>
      <c r="E364" s="16">
        <v>6107</v>
      </c>
      <c r="F364" s="15" t="s">
        <v>1338</v>
      </c>
      <c r="G364" s="15" t="s">
        <v>1339</v>
      </c>
      <c r="H364" s="15" t="s">
        <v>22</v>
      </c>
      <c r="I364" s="17">
        <v>6001</v>
      </c>
      <c r="J364" s="15" t="s">
        <v>30</v>
      </c>
      <c r="K364" s="15">
        <v>30</v>
      </c>
      <c r="L364" s="15">
        <v>284</v>
      </c>
      <c r="M364" s="15">
        <v>43</v>
      </c>
      <c r="N364" s="15">
        <v>18</v>
      </c>
      <c r="O364" s="15">
        <v>375</v>
      </c>
      <c r="P364" s="15" t="s">
        <v>23</v>
      </c>
    </row>
    <row r="365" spans="1:17" s="15" customFormat="1" x14ac:dyDescent="0.25">
      <c r="A365" s="15">
        <v>328487</v>
      </c>
      <c r="B365" s="15" t="s">
        <v>1340</v>
      </c>
      <c r="C365" s="15" t="s">
        <v>1341</v>
      </c>
      <c r="D365" s="15" t="s">
        <v>1324</v>
      </c>
      <c r="E365" s="16" t="s">
        <v>1342</v>
      </c>
      <c r="F365" s="15" t="s">
        <v>1343</v>
      </c>
      <c r="G365" s="15" t="s">
        <v>1344</v>
      </c>
      <c r="H365" s="15" t="s">
        <v>22</v>
      </c>
      <c r="I365" s="17">
        <v>6001</v>
      </c>
      <c r="J365" s="15" t="s">
        <v>30</v>
      </c>
      <c r="K365" s="15">
        <v>21</v>
      </c>
      <c r="L365" s="15">
        <v>21</v>
      </c>
      <c r="M365" s="15">
        <v>19</v>
      </c>
      <c r="N365" s="15">
        <v>17</v>
      </c>
      <c r="O365" s="15">
        <v>78</v>
      </c>
      <c r="P365" s="15" t="s">
        <v>23</v>
      </c>
    </row>
    <row r="366" spans="1:17" s="15" customFormat="1" x14ac:dyDescent="0.25">
      <c r="A366" s="15">
        <v>333241</v>
      </c>
      <c r="B366" s="15" t="s">
        <v>1336</v>
      </c>
      <c r="C366" s="15" t="s">
        <v>1345</v>
      </c>
      <c r="D366" s="15" t="s">
        <v>1324</v>
      </c>
      <c r="E366" s="16">
        <v>6107</v>
      </c>
      <c r="F366" s="15" t="s">
        <v>1346</v>
      </c>
      <c r="G366" s="15" t="s">
        <v>1347</v>
      </c>
      <c r="H366" s="15" t="s">
        <v>22</v>
      </c>
      <c r="I366" s="17">
        <v>6001</v>
      </c>
      <c r="J366" s="15" t="s">
        <v>30</v>
      </c>
      <c r="K366" s="15">
        <v>139</v>
      </c>
      <c r="L366" s="15">
        <v>209</v>
      </c>
      <c r="M366" s="15">
        <v>120</v>
      </c>
      <c r="N366" s="15">
        <v>86</v>
      </c>
      <c r="O366" s="15">
        <v>554</v>
      </c>
      <c r="P366" s="15" t="s">
        <v>23</v>
      </c>
    </row>
    <row r="367" spans="1:17" s="15" customFormat="1" x14ac:dyDescent="0.25">
      <c r="A367" s="15">
        <v>328482</v>
      </c>
      <c r="B367" s="15" t="s">
        <v>1340</v>
      </c>
      <c r="C367" s="15" t="s">
        <v>1341</v>
      </c>
      <c r="D367" s="15" t="s">
        <v>1324</v>
      </c>
      <c r="E367" s="16" t="s">
        <v>1342</v>
      </c>
      <c r="F367" s="15" t="s">
        <v>1348</v>
      </c>
      <c r="G367" s="15" t="s">
        <v>1349</v>
      </c>
      <c r="H367" s="15" t="s">
        <v>22</v>
      </c>
      <c r="I367" s="17">
        <v>6001</v>
      </c>
      <c r="J367" s="15" t="s">
        <v>30</v>
      </c>
      <c r="K367" s="15">
        <v>0</v>
      </c>
      <c r="L367" s="15">
        <v>0</v>
      </c>
      <c r="M367" s="15">
        <v>0</v>
      </c>
      <c r="N367" s="15">
        <v>0</v>
      </c>
      <c r="O367" s="15">
        <v>0</v>
      </c>
      <c r="P367" s="15" t="s">
        <v>23</v>
      </c>
    </row>
    <row r="368" spans="1:17" s="15" customFormat="1" x14ac:dyDescent="0.25">
      <c r="A368" s="15">
        <v>328483</v>
      </c>
      <c r="B368" s="15" t="s">
        <v>1340</v>
      </c>
      <c r="C368" s="15" t="s">
        <v>1341</v>
      </c>
      <c r="D368" s="15" t="s">
        <v>1324</v>
      </c>
      <c r="E368" s="16" t="s">
        <v>1342</v>
      </c>
      <c r="F368" s="15" t="s">
        <v>1350</v>
      </c>
      <c r="G368" s="15" t="s">
        <v>1351</v>
      </c>
      <c r="H368" s="15" t="s">
        <v>22</v>
      </c>
      <c r="I368" s="17">
        <v>6001</v>
      </c>
      <c r="J368" s="15" t="s">
        <v>30</v>
      </c>
      <c r="K368" s="15">
        <v>47</v>
      </c>
      <c r="L368" s="15">
        <v>42</v>
      </c>
      <c r="M368" s="15">
        <v>35</v>
      </c>
      <c r="N368" s="15">
        <v>50</v>
      </c>
      <c r="O368" s="15">
        <v>174</v>
      </c>
      <c r="P368" s="15" t="s">
        <v>23</v>
      </c>
    </row>
    <row r="369" spans="1:17" s="15" customFormat="1" x14ac:dyDescent="0.25">
      <c r="A369" s="15">
        <v>328485</v>
      </c>
      <c r="B369" s="15" t="s">
        <v>1340</v>
      </c>
      <c r="C369" s="15" t="s">
        <v>1352</v>
      </c>
      <c r="D369" s="15" t="s">
        <v>1324</v>
      </c>
      <c r="E369" s="16" t="s">
        <v>1342</v>
      </c>
      <c r="F369" s="15" t="s">
        <v>1353</v>
      </c>
      <c r="G369" s="15" t="s">
        <v>1354</v>
      </c>
      <c r="H369" s="15" t="s">
        <v>22</v>
      </c>
      <c r="I369" s="17">
        <v>6001</v>
      </c>
      <c r="J369" s="15" t="s">
        <v>30</v>
      </c>
      <c r="K369" s="15">
        <v>0</v>
      </c>
      <c r="L369" s="15">
        <v>0</v>
      </c>
      <c r="M369" s="15">
        <v>0</v>
      </c>
      <c r="N369" s="15">
        <v>0</v>
      </c>
      <c r="O369" s="15">
        <v>0</v>
      </c>
      <c r="P369" s="15" t="s">
        <v>23</v>
      </c>
    </row>
    <row r="370" spans="1:17" s="15" customFormat="1" x14ac:dyDescent="0.25">
      <c r="A370" s="15">
        <v>328484</v>
      </c>
      <c r="B370" s="15" t="s">
        <v>1340</v>
      </c>
      <c r="C370" s="15" t="s">
        <v>1341</v>
      </c>
      <c r="D370" s="15" t="s">
        <v>1324</v>
      </c>
      <c r="E370" s="16" t="s">
        <v>1342</v>
      </c>
      <c r="F370" s="15" t="s">
        <v>1355</v>
      </c>
      <c r="G370" s="15" t="s">
        <v>1356</v>
      </c>
      <c r="H370" s="15" t="s">
        <v>22</v>
      </c>
      <c r="I370" s="17">
        <v>6001</v>
      </c>
      <c r="J370" s="15" t="s">
        <v>30</v>
      </c>
      <c r="K370" s="15">
        <v>0</v>
      </c>
      <c r="L370" s="15">
        <v>0</v>
      </c>
      <c r="M370" s="15">
        <v>0</v>
      </c>
      <c r="N370" s="15">
        <v>0</v>
      </c>
      <c r="O370" s="15">
        <v>0</v>
      </c>
      <c r="P370" s="15" t="s">
        <v>23</v>
      </c>
    </row>
    <row r="371" spans="1:17" s="15" customFormat="1" x14ac:dyDescent="0.25">
      <c r="A371" s="15">
        <v>328508</v>
      </c>
      <c r="B371" s="15" t="s">
        <v>1357</v>
      </c>
      <c r="C371" s="15" t="s">
        <v>1358</v>
      </c>
      <c r="D371" s="15" t="s">
        <v>1359</v>
      </c>
      <c r="E371" s="16" t="s">
        <v>1360</v>
      </c>
      <c r="F371" s="15" t="s">
        <v>1361</v>
      </c>
      <c r="G371" s="15" t="s">
        <v>1362</v>
      </c>
      <c r="H371" s="15" t="s">
        <v>22</v>
      </c>
      <c r="I371" s="17">
        <v>6001</v>
      </c>
      <c r="J371" s="15" t="s">
        <v>30</v>
      </c>
      <c r="K371" s="15">
        <v>24</v>
      </c>
      <c r="L371" s="15">
        <v>23</v>
      </c>
      <c r="M371" s="15">
        <v>20</v>
      </c>
      <c r="N371" s="15">
        <v>14</v>
      </c>
      <c r="O371" s="15">
        <v>81</v>
      </c>
      <c r="P371" s="15" t="s">
        <v>23</v>
      </c>
    </row>
    <row r="372" spans="1:17" s="15" customFormat="1" x14ac:dyDescent="0.25">
      <c r="A372" s="15">
        <v>341382</v>
      </c>
      <c r="B372" s="15" t="s">
        <v>1363</v>
      </c>
      <c r="C372" s="15" t="s">
        <v>1364</v>
      </c>
      <c r="D372" s="15" t="s">
        <v>1365</v>
      </c>
      <c r="E372" s="16" t="s">
        <v>1366</v>
      </c>
      <c r="F372" s="15" t="s">
        <v>1367</v>
      </c>
      <c r="G372" s="15" t="s">
        <v>1368</v>
      </c>
      <c r="H372" s="15" t="s">
        <v>22</v>
      </c>
      <c r="I372" s="17">
        <v>6001</v>
      </c>
      <c r="J372" s="15" t="s">
        <v>30</v>
      </c>
      <c r="K372" s="15">
        <v>0</v>
      </c>
      <c r="L372" s="15">
        <v>0</v>
      </c>
      <c r="M372" s="15">
        <v>1</v>
      </c>
      <c r="N372" s="15">
        <v>0</v>
      </c>
      <c r="O372" s="15">
        <v>1</v>
      </c>
      <c r="P372" s="15" t="s">
        <v>93</v>
      </c>
    </row>
    <row r="373" spans="1:17" s="15" customFormat="1" x14ac:dyDescent="0.25">
      <c r="A373" s="15">
        <v>333258</v>
      </c>
      <c r="B373" s="15" t="s">
        <v>1363</v>
      </c>
      <c r="C373" s="15" t="s">
        <v>1364</v>
      </c>
      <c r="D373" s="15" t="s">
        <v>1365</v>
      </c>
      <c r="E373" s="16" t="s">
        <v>1366</v>
      </c>
      <c r="F373" s="15" t="s">
        <v>1369</v>
      </c>
      <c r="G373" s="15" t="s">
        <v>1370</v>
      </c>
      <c r="H373" s="15" t="s">
        <v>22</v>
      </c>
      <c r="I373" s="17">
        <v>6001</v>
      </c>
      <c r="J373" s="15" t="s">
        <v>30</v>
      </c>
      <c r="K373" s="15">
        <v>3</v>
      </c>
      <c r="L373" s="15">
        <v>3</v>
      </c>
      <c r="M373" s="15">
        <v>3</v>
      </c>
      <c r="N373" s="15">
        <v>3</v>
      </c>
      <c r="O373" s="15">
        <v>12</v>
      </c>
      <c r="P373" s="15" t="s">
        <v>23</v>
      </c>
    </row>
    <row r="374" spans="1:17" s="15" customFormat="1" x14ac:dyDescent="0.25">
      <c r="A374" s="15">
        <v>333616</v>
      </c>
      <c r="B374" s="15" t="s">
        <v>1363</v>
      </c>
      <c r="C374" s="15" t="s">
        <v>1364</v>
      </c>
      <c r="D374" s="15" t="s">
        <v>1365</v>
      </c>
      <c r="E374" s="16" t="s">
        <v>1366</v>
      </c>
      <c r="F374" s="15" t="s">
        <v>1371</v>
      </c>
      <c r="G374" s="15" t="s">
        <v>1372</v>
      </c>
      <c r="H374" s="15" t="s">
        <v>22</v>
      </c>
      <c r="I374" s="17">
        <v>6001</v>
      </c>
      <c r="J374" s="15" t="s">
        <v>30</v>
      </c>
      <c r="K374" s="15">
        <v>84</v>
      </c>
      <c r="L374" s="15">
        <v>85</v>
      </c>
      <c r="M374" s="15">
        <v>93</v>
      </c>
      <c r="N374" s="15">
        <v>87</v>
      </c>
      <c r="O374" s="15">
        <v>349</v>
      </c>
      <c r="P374" s="15" t="s">
        <v>23</v>
      </c>
    </row>
    <row r="375" spans="1:17" s="15" customFormat="1" x14ac:dyDescent="0.25">
      <c r="A375" s="15">
        <v>359322</v>
      </c>
      <c r="B375" s="15" t="s">
        <v>1373</v>
      </c>
      <c r="C375" s="15" t="s">
        <v>1374</v>
      </c>
      <c r="D375" s="15" t="s">
        <v>1375</v>
      </c>
      <c r="E375" s="16">
        <v>6109</v>
      </c>
      <c r="F375" s="15" t="s">
        <v>1376</v>
      </c>
      <c r="G375" s="15" t="s">
        <v>1377</v>
      </c>
      <c r="H375" s="15" t="s">
        <v>22</v>
      </c>
      <c r="I375" s="17">
        <v>6001</v>
      </c>
      <c r="J375" s="15" t="s">
        <v>30</v>
      </c>
      <c r="K375" s="15">
        <v>1</v>
      </c>
      <c r="L375" s="15">
        <v>2</v>
      </c>
      <c r="M375" s="15">
        <v>2</v>
      </c>
      <c r="N375" s="15">
        <v>2</v>
      </c>
      <c r="O375" s="15">
        <v>7</v>
      </c>
      <c r="P375" s="15" t="s">
        <v>23</v>
      </c>
    </row>
    <row r="376" spans="1:17" x14ac:dyDescent="0.25">
      <c r="A376" s="6">
        <v>329967</v>
      </c>
      <c r="B376" s="6" t="s">
        <v>1378</v>
      </c>
      <c r="C376" s="6" t="s">
        <v>1379</v>
      </c>
      <c r="D376" s="6" t="s">
        <v>1380</v>
      </c>
      <c r="E376" s="7" t="s">
        <v>1381</v>
      </c>
      <c r="F376" s="6" t="s">
        <v>1382</v>
      </c>
      <c r="G376" s="6" t="s">
        <v>1383</v>
      </c>
      <c r="H376" s="6" t="s">
        <v>22</v>
      </c>
      <c r="I376" s="8">
        <v>6001</v>
      </c>
      <c r="J376" s="6" t="s">
        <v>30</v>
      </c>
      <c r="K376" s="6">
        <v>153</v>
      </c>
      <c r="L376" s="6">
        <v>292</v>
      </c>
      <c r="M376" s="6">
        <v>71</v>
      </c>
      <c r="N376" s="6">
        <v>0</v>
      </c>
      <c r="O376" s="6">
        <v>516</v>
      </c>
      <c r="P376" s="6" t="s">
        <v>130</v>
      </c>
      <c r="Q376" s="6"/>
    </row>
    <row r="377" spans="1:17" x14ac:dyDescent="0.25">
      <c r="A377" s="6">
        <v>333624</v>
      </c>
      <c r="B377" s="6" t="s">
        <v>1384</v>
      </c>
      <c r="C377" s="6" t="s">
        <v>1385</v>
      </c>
      <c r="D377" s="6" t="s">
        <v>1380</v>
      </c>
      <c r="E377" s="7" t="s">
        <v>1381</v>
      </c>
      <c r="F377" s="6" t="s">
        <v>1386</v>
      </c>
      <c r="G377" s="6" t="s">
        <v>1387</v>
      </c>
      <c r="H377" s="6" t="s">
        <v>22</v>
      </c>
      <c r="I377" s="8">
        <v>6001</v>
      </c>
      <c r="J377" s="6" t="s">
        <v>30</v>
      </c>
      <c r="K377" s="6">
        <v>167</v>
      </c>
      <c r="L377" s="6">
        <v>305</v>
      </c>
      <c r="M377" s="6">
        <v>81</v>
      </c>
      <c r="N377" s="6">
        <v>12</v>
      </c>
      <c r="O377" s="6">
        <v>565</v>
      </c>
      <c r="P377" s="6" t="s">
        <v>130</v>
      </c>
      <c r="Q377" s="6"/>
    </row>
    <row r="378" spans="1:17" s="15" customFormat="1" x14ac:dyDescent="0.25">
      <c r="A378" s="15">
        <v>329200</v>
      </c>
      <c r="B378" s="15" t="s">
        <v>1388</v>
      </c>
      <c r="C378" s="15" t="s">
        <v>1389</v>
      </c>
      <c r="D378" s="15" t="s">
        <v>1380</v>
      </c>
      <c r="E378" s="16">
        <v>6095</v>
      </c>
      <c r="F378" s="15" t="s">
        <v>1390</v>
      </c>
      <c r="G378" s="15" t="s">
        <v>1391</v>
      </c>
      <c r="H378" s="15" t="s">
        <v>22</v>
      </c>
      <c r="I378" s="17">
        <v>6001</v>
      </c>
      <c r="J378" s="15" t="s">
        <v>30</v>
      </c>
      <c r="K378" s="15">
        <v>3</v>
      </c>
      <c r="L378" s="15">
        <v>2</v>
      </c>
      <c r="M378" s="15">
        <v>2</v>
      </c>
      <c r="N378" s="15">
        <v>1</v>
      </c>
      <c r="O378" s="15">
        <v>8</v>
      </c>
      <c r="P378" s="15" t="s">
        <v>23</v>
      </c>
    </row>
    <row r="379" spans="1:17" s="15" customFormat="1" x14ac:dyDescent="0.25">
      <c r="A379" s="15">
        <v>329204</v>
      </c>
      <c r="B379" s="15" t="s">
        <v>1392</v>
      </c>
      <c r="C379" s="15" t="s">
        <v>1389</v>
      </c>
      <c r="D379" s="15" t="s">
        <v>1380</v>
      </c>
      <c r="E379" s="16">
        <v>6095</v>
      </c>
      <c r="F379" s="15" t="s">
        <v>414</v>
      </c>
      <c r="G379" s="15" t="s">
        <v>1393</v>
      </c>
      <c r="H379" s="15" t="s">
        <v>22</v>
      </c>
      <c r="I379" s="17">
        <v>6001</v>
      </c>
      <c r="J379" s="15" t="s">
        <v>30</v>
      </c>
      <c r="K379" s="15">
        <v>6</v>
      </c>
      <c r="L379" s="15">
        <v>6</v>
      </c>
      <c r="M379" s="15">
        <v>4</v>
      </c>
      <c r="N379" s="15">
        <v>5</v>
      </c>
      <c r="O379" s="15">
        <v>21</v>
      </c>
      <c r="P379" s="15" t="s">
        <v>23</v>
      </c>
    </row>
    <row r="380" spans="1:17" s="15" customFormat="1" x14ac:dyDescent="0.25">
      <c r="A380" s="15">
        <v>333100</v>
      </c>
      <c r="B380" s="15" t="s">
        <v>1394</v>
      </c>
      <c r="C380" s="15" t="s">
        <v>1389</v>
      </c>
      <c r="D380" s="15" t="s">
        <v>1380</v>
      </c>
      <c r="E380" s="16">
        <v>6095</v>
      </c>
      <c r="F380" s="15" t="s">
        <v>416</v>
      </c>
      <c r="G380" s="15" t="s">
        <v>1395</v>
      </c>
      <c r="H380" s="15" t="s">
        <v>22</v>
      </c>
      <c r="I380" s="17">
        <v>6001</v>
      </c>
      <c r="J380" s="15" t="s">
        <v>30</v>
      </c>
      <c r="K380" s="15">
        <v>32</v>
      </c>
      <c r="L380" s="15">
        <v>34</v>
      </c>
      <c r="M380" s="15">
        <v>42</v>
      </c>
      <c r="N380" s="15">
        <v>35</v>
      </c>
      <c r="O380" s="15">
        <v>143</v>
      </c>
      <c r="P380" s="15" t="s">
        <v>23</v>
      </c>
    </row>
    <row r="381" spans="1:17" s="15" customFormat="1" x14ac:dyDescent="0.25">
      <c r="A381" s="15">
        <v>329211</v>
      </c>
      <c r="B381" s="15" t="s">
        <v>1396</v>
      </c>
      <c r="C381" s="15" t="s">
        <v>1389</v>
      </c>
      <c r="D381" s="15" t="s">
        <v>1380</v>
      </c>
      <c r="E381" s="16">
        <v>6095</v>
      </c>
      <c r="F381" s="15" t="s">
        <v>421</v>
      </c>
      <c r="G381" s="15" t="s">
        <v>1397</v>
      </c>
      <c r="H381" s="15" t="s">
        <v>22</v>
      </c>
      <c r="I381" s="17">
        <v>6001</v>
      </c>
      <c r="J381" s="15" t="s">
        <v>30</v>
      </c>
      <c r="K381" s="15">
        <v>94</v>
      </c>
      <c r="L381" s="15">
        <v>241</v>
      </c>
      <c r="M381" s="15">
        <v>221</v>
      </c>
      <c r="N381" s="15">
        <v>46</v>
      </c>
      <c r="O381" s="15">
        <v>602</v>
      </c>
      <c r="P381" s="15" t="s">
        <v>23</v>
      </c>
    </row>
    <row r="382" spans="1:17" s="15" customFormat="1" x14ac:dyDescent="0.25">
      <c r="A382" s="15">
        <v>329214</v>
      </c>
      <c r="B382" s="15" t="s">
        <v>1398</v>
      </c>
      <c r="C382" s="15" t="s">
        <v>1389</v>
      </c>
      <c r="D382" s="15" t="s">
        <v>1380</v>
      </c>
      <c r="E382" s="16">
        <v>6095</v>
      </c>
      <c r="F382" s="15" t="s">
        <v>421</v>
      </c>
      <c r="G382" s="15" t="s">
        <v>1399</v>
      </c>
      <c r="H382" s="15" t="s">
        <v>22</v>
      </c>
      <c r="I382" s="17">
        <v>6001</v>
      </c>
      <c r="J382" s="15" t="s">
        <v>30</v>
      </c>
      <c r="K382" s="15">
        <v>66</v>
      </c>
      <c r="L382" s="15">
        <v>88</v>
      </c>
      <c r="M382" s="15">
        <v>21</v>
      </c>
      <c r="N382" s="15">
        <v>18</v>
      </c>
      <c r="O382" s="15">
        <v>193</v>
      </c>
      <c r="P382" s="15" t="s">
        <v>23</v>
      </c>
    </row>
    <row r="383" spans="1:17" s="15" customFormat="1" x14ac:dyDescent="0.25">
      <c r="A383" s="15">
        <v>330212</v>
      </c>
      <c r="B383" s="15" t="s">
        <v>1384</v>
      </c>
      <c r="C383" s="15" t="s">
        <v>1379</v>
      </c>
      <c r="D383" s="15" t="s">
        <v>1380</v>
      </c>
      <c r="E383" s="16" t="s">
        <v>1381</v>
      </c>
      <c r="F383" s="15" t="s">
        <v>1400</v>
      </c>
      <c r="G383" s="15" t="s">
        <v>1401</v>
      </c>
      <c r="H383" s="15" t="s">
        <v>22</v>
      </c>
      <c r="I383" s="17">
        <v>6001</v>
      </c>
      <c r="J383" s="15" t="s">
        <v>30</v>
      </c>
      <c r="K383" s="15">
        <v>13</v>
      </c>
      <c r="L383" s="15">
        <v>15</v>
      </c>
      <c r="M383" s="15">
        <v>15</v>
      </c>
      <c r="N383" s="15">
        <v>12</v>
      </c>
      <c r="O383" s="15">
        <v>55</v>
      </c>
      <c r="P383" s="15" t="s">
        <v>130</v>
      </c>
    </row>
    <row r="384" spans="1:17" x14ac:dyDescent="0.25">
      <c r="A384" s="6">
        <v>333188</v>
      </c>
      <c r="B384" s="6" t="s">
        <v>1402</v>
      </c>
      <c r="C384" s="6" t="s">
        <v>1403</v>
      </c>
      <c r="D384" s="6" t="s">
        <v>18</v>
      </c>
      <c r="E384" s="7" t="s">
        <v>170</v>
      </c>
      <c r="F384" s="6" t="s">
        <v>1403</v>
      </c>
      <c r="G384" s="6" t="s">
        <v>1404</v>
      </c>
      <c r="H384" s="6" t="s">
        <v>22</v>
      </c>
      <c r="I384" s="8">
        <v>6001</v>
      </c>
      <c r="J384" s="6" t="s">
        <v>1405</v>
      </c>
      <c r="K384" s="6">
        <v>235</v>
      </c>
      <c r="L384" s="6">
        <v>1092</v>
      </c>
      <c r="M384" s="6">
        <v>482</v>
      </c>
      <c r="N384" s="6">
        <v>136</v>
      </c>
      <c r="O384" s="6">
        <v>1945</v>
      </c>
      <c r="P384" s="6" t="s">
        <v>93</v>
      </c>
      <c r="Q384" s="6"/>
    </row>
    <row r="385" spans="1:17" x14ac:dyDescent="0.25">
      <c r="A385" s="6">
        <v>333187</v>
      </c>
      <c r="B385" s="6" t="s">
        <v>1406</v>
      </c>
      <c r="C385" s="6" t="s">
        <v>1403</v>
      </c>
      <c r="D385" s="6" t="s">
        <v>18</v>
      </c>
      <c r="E385" s="7" t="s">
        <v>170</v>
      </c>
      <c r="F385" s="6" t="s">
        <v>1407</v>
      </c>
      <c r="G385" s="6" t="s">
        <v>1408</v>
      </c>
      <c r="H385" s="6" t="s">
        <v>22</v>
      </c>
      <c r="I385" s="8">
        <v>6001</v>
      </c>
      <c r="J385" s="6" t="s">
        <v>1405</v>
      </c>
      <c r="K385" s="6">
        <v>0</v>
      </c>
      <c r="L385" s="6">
        <v>392</v>
      </c>
      <c r="M385" s="6">
        <v>201</v>
      </c>
      <c r="N385" s="6">
        <v>0</v>
      </c>
      <c r="O385" s="6">
        <v>593</v>
      </c>
      <c r="P385" s="6" t="s">
        <v>23</v>
      </c>
      <c r="Q385" s="6"/>
    </row>
    <row r="386" spans="1:17" x14ac:dyDescent="0.25">
      <c r="A386" s="6">
        <v>333165</v>
      </c>
      <c r="B386" s="6" t="s">
        <v>176</v>
      </c>
      <c r="C386" s="6" t="s">
        <v>177</v>
      </c>
      <c r="D386" s="6" t="s">
        <v>18</v>
      </c>
      <c r="E386" s="7" t="s">
        <v>1409</v>
      </c>
      <c r="F386" s="6" t="s">
        <v>1410</v>
      </c>
      <c r="G386" s="6" t="s">
        <v>1411</v>
      </c>
      <c r="H386" s="6" t="s">
        <v>22</v>
      </c>
      <c r="I386" s="8">
        <v>6001</v>
      </c>
      <c r="J386" s="6" t="s">
        <v>1405</v>
      </c>
      <c r="K386" s="6">
        <v>20</v>
      </c>
      <c r="L386" s="6">
        <v>80</v>
      </c>
      <c r="M386" s="6">
        <v>28</v>
      </c>
      <c r="N386" s="6">
        <v>0</v>
      </c>
      <c r="O386" s="6">
        <v>128</v>
      </c>
      <c r="P386" s="6" t="s">
        <v>23</v>
      </c>
      <c r="Q386" s="6"/>
    </row>
    <row r="387" spans="1:17" x14ac:dyDescent="0.25">
      <c r="A387" s="6">
        <v>333553</v>
      </c>
      <c r="B387" s="6" t="s">
        <v>1412</v>
      </c>
      <c r="C387" s="6" t="s">
        <v>1403</v>
      </c>
      <c r="D387" s="6" t="s">
        <v>18</v>
      </c>
      <c r="E387" s="7" t="s">
        <v>170</v>
      </c>
      <c r="F387" s="6" t="s">
        <v>1413</v>
      </c>
      <c r="G387" s="6" t="s">
        <v>1414</v>
      </c>
      <c r="H387" s="6" t="s">
        <v>22</v>
      </c>
      <c r="I387" s="8">
        <v>6001</v>
      </c>
      <c r="J387" s="6" t="s">
        <v>1405</v>
      </c>
      <c r="K387" s="6">
        <v>237</v>
      </c>
      <c r="L387" s="6">
        <v>623</v>
      </c>
      <c r="M387" s="6">
        <v>438</v>
      </c>
      <c r="N387" s="6">
        <v>238</v>
      </c>
      <c r="O387" s="6">
        <v>1536</v>
      </c>
      <c r="P387" s="6" t="s">
        <v>23</v>
      </c>
      <c r="Q387" s="6"/>
    </row>
    <row r="388" spans="1:17" x14ac:dyDescent="0.25">
      <c r="A388" s="6">
        <v>333606</v>
      </c>
      <c r="B388" s="6" t="s">
        <v>176</v>
      </c>
      <c r="C388" s="6" t="s">
        <v>177</v>
      </c>
      <c r="D388" s="6" t="s">
        <v>18</v>
      </c>
      <c r="E388" s="7" t="s">
        <v>1409</v>
      </c>
      <c r="F388" s="6" t="s">
        <v>1415</v>
      </c>
      <c r="G388" s="6" t="s">
        <v>1416</v>
      </c>
      <c r="H388" s="6" t="s">
        <v>22</v>
      </c>
      <c r="I388" s="8">
        <v>6001</v>
      </c>
      <c r="J388" s="6" t="s">
        <v>1405</v>
      </c>
      <c r="K388" s="6">
        <v>176</v>
      </c>
      <c r="L388" s="6">
        <v>639</v>
      </c>
      <c r="M388" s="6">
        <v>296</v>
      </c>
      <c r="N388" s="6">
        <v>108</v>
      </c>
      <c r="O388" s="6">
        <v>1219</v>
      </c>
      <c r="P388" s="6" t="s">
        <v>23</v>
      </c>
      <c r="Q388" s="6"/>
    </row>
    <row r="389" spans="1:17" s="15" customFormat="1" x14ac:dyDescent="0.25">
      <c r="A389" s="15">
        <v>333158</v>
      </c>
      <c r="B389" s="15" t="s">
        <v>1417</v>
      </c>
      <c r="C389" s="15" t="s">
        <v>1418</v>
      </c>
      <c r="D389" s="15" t="s">
        <v>18</v>
      </c>
      <c r="E389" s="16" t="s">
        <v>1419</v>
      </c>
      <c r="F389" s="15" t="s">
        <v>1420</v>
      </c>
      <c r="G389" s="15" t="s">
        <v>1421</v>
      </c>
      <c r="H389" s="15" t="s">
        <v>22</v>
      </c>
      <c r="I389" s="17">
        <v>6001</v>
      </c>
      <c r="J389" s="15" t="s">
        <v>1405</v>
      </c>
      <c r="K389" s="15">
        <v>12</v>
      </c>
      <c r="L389" s="15">
        <v>158</v>
      </c>
      <c r="M389" s="15">
        <v>110</v>
      </c>
      <c r="N389" s="15">
        <v>0</v>
      </c>
      <c r="O389" s="15">
        <v>280</v>
      </c>
      <c r="P389" s="15" t="s">
        <v>23</v>
      </c>
    </row>
    <row r="390" spans="1:17" s="15" customFormat="1" x14ac:dyDescent="0.25">
      <c r="A390" s="15">
        <v>333552</v>
      </c>
      <c r="B390" s="15" t="s">
        <v>1417</v>
      </c>
      <c r="C390" s="15" t="s">
        <v>1418</v>
      </c>
      <c r="D390" s="15" t="s">
        <v>18</v>
      </c>
      <c r="E390" s="16" t="s">
        <v>1419</v>
      </c>
      <c r="F390" s="15" t="s">
        <v>1422</v>
      </c>
      <c r="G390" s="15" t="s">
        <v>1423</v>
      </c>
      <c r="H390" s="15" t="s">
        <v>22</v>
      </c>
      <c r="I390" s="17">
        <v>6001</v>
      </c>
      <c r="J390" s="15" t="s">
        <v>1405</v>
      </c>
      <c r="K390" s="15">
        <v>106</v>
      </c>
      <c r="L390" s="15">
        <v>263</v>
      </c>
      <c r="M390" s="15">
        <v>212</v>
      </c>
      <c r="N390" s="15">
        <v>74</v>
      </c>
      <c r="O390" s="15">
        <v>655</v>
      </c>
      <c r="P390" s="15" t="s">
        <v>23</v>
      </c>
    </row>
    <row r="391" spans="1:17" s="15" customFormat="1" x14ac:dyDescent="0.25">
      <c r="A391" s="15">
        <v>328809</v>
      </c>
      <c r="B391" s="15" t="s">
        <v>1424</v>
      </c>
      <c r="C391" s="15" t="s">
        <v>1425</v>
      </c>
      <c r="D391" s="15" t="s">
        <v>1426</v>
      </c>
      <c r="E391" s="16">
        <v>45206</v>
      </c>
      <c r="F391" s="15" t="s">
        <v>1427</v>
      </c>
      <c r="G391" s="15" t="s">
        <v>1428</v>
      </c>
      <c r="H391" s="15" t="s">
        <v>22</v>
      </c>
      <c r="I391" s="17">
        <v>6001</v>
      </c>
      <c r="J391" s="15" t="s">
        <v>1405</v>
      </c>
      <c r="K391" s="15">
        <v>48</v>
      </c>
      <c r="L391" s="15">
        <v>32</v>
      </c>
      <c r="M391" s="15">
        <v>32</v>
      </c>
      <c r="N391" s="15">
        <v>44</v>
      </c>
      <c r="O391" s="15">
        <v>156</v>
      </c>
      <c r="P391" s="15" t="s">
        <v>23</v>
      </c>
    </row>
    <row r="392" spans="1:17" s="15" customFormat="1" x14ac:dyDescent="0.25">
      <c r="A392" s="15">
        <v>333070</v>
      </c>
      <c r="B392" s="15" t="s">
        <v>1429</v>
      </c>
      <c r="C392" s="15" t="s">
        <v>1430</v>
      </c>
      <c r="D392" s="15" t="s">
        <v>1431</v>
      </c>
      <c r="E392" s="16">
        <v>45206</v>
      </c>
      <c r="F392" s="15" t="s">
        <v>1432</v>
      </c>
      <c r="G392" s="15" t="s">
        <v>1433</v>
      </c>
      <c r="H392" s="15" t="s">
        <v>22</v>
      </c>
      <c r="I392" s="17">
        <v>6001</v>
      </c>
      <c r="J392" s="15" t="s">
        <v>1405</v>
      </c>
      <c r="K392" s="15">
        <v>265</v>
      </c>
      <c r="L392" s="15">
        <v>136</v>
      </c>
      <c r="M392" s="15">
        <v>176</v>
      </c>
      <c r="N392" s="15">
        <v>239</v>
      </c>
      <c r="O392" s="15">
        <v>816</v>
      </c>
      <c r="P392" s="15" t="s">
        <v>23</v>
      </c>
    </row>
    <row r="393" spans="1:17" s="15" customFormat="1" x14ac:dyDescent="0.25">
      <c r="A393" s="15">
        <v>371546</v>
      </c>
      <c r="B393" s="15" t="s">
        <v>1434</v>
      </c>
      <c r="C393" s="15" t="s">
        <v>1435</v>
      </c>
      <c r="D393" s="15" t="s">
        <v>1436</v>
      </c>
      <c r="E393" s="16">
        <v>50309</v>
      </c>
      <c r="F393" s="15" t="s">
        <v>1437</v>
      </c>
      <c r="G393" s="15" t="s">
        <v>1438</v>
      </c>
      <c r="H393" s="15" t="s">
        <v>22</v>
      </c>
      <c r="I393" s="17">
        <v>6001</v>
      </c>
      <c r="J393" s="15" t="s">
        <v>1405</v>
      </c>
      <c r="K393" s="15">
        <v>0</v>
      </c>
      <c r="L393" s="15">
        <v>1</v>
      </c>
      <c r="M393" s="15">
        <v>131</v>
      </c>
      <c r="N393" s="15">
        <v>125</v>
      </c>
      <c r="O393" s="15">
        <v>257</v>
      </c>
      <c r="P393" s="15" t="s">
        <v>1439</v>
      </c>
    </row>
    <row r="394" spans="1:17" s="15" customFormat="1" x14ac:dyDescent="0.25">
      <c r="A394" s="15">
        <v>341332</v>
      </c>
      <c r="B394" s="15" t="s">
        <v>1440</v>
      </c>
      <c r="C394" s="15" t="s">
        <v>1441</v>
      </c>
      <c r="D394" s="15" t="s">
        <v>1442</v>
      </c>
      <c r="E394" s="16">
        <v>90720</v>
      </c>
      <c r="F394" s="15" t="s">
        <v>1437</v>
      </c>
      <c r="G394" s="15" t="s">
        <v>1438</v>
      </c>
      <c r="H394" s="15" t="s">
        <v>22</v>
      </c>
      <c r="I394" s="17">
        <v>6001</v>
      </c>
      <c r="J394" s="15" t="s">
        <v>1405</v>
      </c>
      <c r="K394" s="15">
        <v>0</v>
      </c>
      <c r="L394" s="15">
        <v>0</v>
      </c>
      <c r="M394" s="15">
        <v>0</v>
      </c>
      <c r="N394" s="15">
        <v>62</v>
      </c>
      <c r="O394" s="15">
        <v>62</v>
      </c>
      <c r="P394" s="15" t="s">
        <v>1443</v>
      </c>
    </row>
    <row r="395" spans="1:17" x14ac:dyDescent="0.25">
      <c r="A395" s="6">
        <v>328818</v>
      </c>
      <c r="B395" s="6" t="s">
        <v>1444</v>
      </c>
      <c r="C395" s="6" t="s">
        <v>17</v>
      </c>
      <c r="D395" s="6" t="s">
        <v>18</v>
      </c>
      <c r="E395" s="7" t="s">
        <v>19</v>
      </c>
      <c r="F395" s="6" t="s">
        <v>1445</v>
      </c>
      <c r="G395" s="6" t="s">
        <v>1446</v>
      </c>
      <c r="H395" s="6" t="s">
        <v>22</v>
      </c>
      <c r="I395" s="8">
        <v>6001</v>
      </c>
      <c r="J395" s="6" t="s">
        <v>1447</v>
      </c>
      <c r="K395" s="6">
        <v>10</v>
      </c>
      <c r="L395" s="6">
        <v>88</v>
      </c>
      <c r="M395" s="6">
        <v>61</v>
      </c>
      <c r="N395" s="6">
        <v>12</v>
      </c>
      <c r="O395" s="6">
        <v>171</v>
      </c>
      <c r="P395" s="6" t="s">
        <v>23</v>
      </c>
      <c r="Q395" s="6"/>
    </row>
    <row r="396" spans="1:17" x14ac:dyDescent="0.25">
      <c r="A396" s="6">
        <v>328819</v>
      </c>
      <c r="B396" s="6" t="s">
        <v>1448</v>
      </c>
      <c r="C396" s="6" t="s">
        <v>17</v>
      </c>
      <c r="D396" s="6" t="s">
        <v>18</v>
      </c>
      <c r="E396" s="7" t="s">
        <v>19</v>
      </c>
      <c r="F396" s="6" t="s">
        <v>1445</v>
      </c>
      <c r="G396" s="6" t="s">
        <v>1449</v>
      </c>
      <c r="H396" s="6" t="s">
        <v>22</v>
      </c>
      <c r="I396" s="8">
        <v>6001</v>
      </c>
      <c r="J396" s="6" t="s">
        <v>1447</v>
      </c>
      <c r="K396" s="6">
        <v>0</v>
      </c>
      <c r="L396" s="6">
        <v>1</v>
      </c>
      <c r="M396" s="6">
        <v>0</v>
      </c>
      <c r="N396" s="6">
        <v>0</v>
      </c>
      <c r="O396" s="6">
        <v>1</v>
      </c>
      <c r="P396" s="6" t="s">
        <v>23</v>
      </c>
      <c r="Q396" s="6"/>
    </row>
    <row r="397" spans="1:17" x14ac:dyDescent="0.25">
      <c r="A397" s="6">
        <v>328820</v>
      </c>
      <c r="B397" s="6" t="s">
        <v>1450</v>
      </c>
      <c r="C397" s="6" t="s">
        <v>17</v>
      </c>
      <c r="D397" s="6" t="s">
        <v>18</v>
      </c>
      <c r="E397" s="7" t="s">
        <v>19</v>
      </c>
      <c r="F397" s="6" t="s">
        <v>1445</v>
      </c>
      <c r="G397" s="6" t="s">
        <v>1451</v>
      </c>
      <c r="H397" s="6" t="s">
        <v>22</v>
      </c>
      <c r="I397" s="8">
        <v>6001</v>
      </c>
      <c r="J397" s="6" t="s">
        <v>1447</v>
      </c>
      <c r="K397" s="6">
        <v>39</v>
      </c>
      <c r="L397" s="6">
        <v>7</v>
      </c>
      <c r="M397" s="6">
        <v>38</v>
      </c>
      <c r="N397" s="6">
        <v>62</v>
      </c>
      <c r="O397" s="6">
        <v>146</v>
      </c>
      <c r="P397" s="6" t="s">
        <v>23</v>
      </c>
      <c r="Q397" s="6"/>
    </row>
    <row r="398" spans="1:17" s="12" customFormat="1" x14ac:dyDescent="0.25">
      <c r="A398" s="12">
        <v>187547</v>
      </c>
      <c r="B398" s="12" t="s">
        <v>1452</v>
      </c>
      <c r="C398" s="12" t="s">
        <v>1445</v>
      </c>
      <c r="D398" s="12" t="s">
        <v>18</v>
      </c>
      <c r="E398" s="13" t="s">
        <v>35</v>
      </c>
      <c r="F398" s="12" t="s">
        <v>1453</v>
      </c>
      <c r="G398" s="12" t="s">
        <v>1454</v>
      </c>
      <c r="H398" s="12" t="s">
        <v>22</v>
      </c>
      <c r="I398" s="14">
        <v>6001</v>
      </c>
      <c r="J398" s="12" t="s">
        <v>1447</v>
      </c>
      <c r="K398" s="12">
        <v>1462</v>
      </c>
      <c r="L398" s="12">
        <v>15</v>
      </c>
      <c r="M398" s="12">
        <v>62</v>
      </c>
      <c r="N398" s="12">
        <v>0</v>
      </c>
      <c r="O398" s="12">
        <v>1539</v>
      </c>
      <c r="P398" s="12" t="s">
        <v>93</v>
      </c>
    </row>
    <row r="399" spans="1:17" s="6" customFormat="1" x14ac:dyDescent="0.25">
      <c r="A399" s="6">
        <v>333306</v>
      </c>
      <c r="B399" s="6" t="s">
        <v>1455</v>
      </c>
      <c r="C399" s="6" t="s">
        <v>17</v>
      </c>
      <c r="D399" s="6" t="s">
        <v>18</v>
      </c>
      <c r="E399" s="7" t="s">
        <v>19</v>
      </c>
      <c r="F399" s="6" t="s">
        <v>1456</v>
      </c>
      <c r="G399" s="6" t="s">
        <v>1457</v>
      </c>
      <c r="H399" s="6" t="s">
        <v>22</v>
      </c>
      <c r="I399" s="8">
        <v>6001</v>
      </c>
      <c r="J399" s="6" t="s">
        <v>1447</v>
      </c>
      <c r="K399" s="6">
        <v>18</v>
      </c>
      <c r="L399" s="6">
        <v>296</v>
      </c>
      <c r="M399" s="6">
        <v>65</v>
      </c>
      <c r="N399" s="6">
        <v>11</v>
      </c>
      <c r="O399" s="6">
        <v>390</v>
      </c>
      <c r="P399" s="6" t="s">
        <v>23</v>
      </c>
    </row>
    <row r="400" spans="1:17" x14ac:dyDescent="0.25">
      <c r="A400" s="6">
        <v>178536</v>
      </c>
      <c r="B400" s="6" t="s">
        <v>1458</v>
      </c>
      <c r="C400" s="6" t="s">
        <v>1459</v>
      </c>
      <c r="D400" s="6" t="s">
        <v>18</v>
      </c>
      <c r="E400" s="7" t="s">
        <v>1460</v>
      </c>
      <c r="F400" s="6" t="s">
        <v>1461</v>
      </c>
      <c r="G400" s="6" t="s">
        <v>1462</v>
      </c>
      <c r="H400" s="6" t="s">
        <v>22</v>
      </c>
      <c r="I400" s="8">
        <v>6001</v>
      </c>
      <c r="J400" s="6" t="s">
        <v>1447</v>
      </c>
      <c r="K400" s="6">
        <v>2</v>
      </c>
      <c r="L400" s="6">
        <v>1</v>
      </c>
      <c r="M400" s="6">
        <v>1</v>
      </c>
      <c r="N400" s="6">
        <v>2</v>
      </c>
      <c r="O400" s="6">
        <v>6</v>
      </c>
      <c r="P400" s="6" t="s">
        <v>637</v>
      </c>
      <c r="Q400" s="6"/>
    </row>
    <row r="401" spans="1:16" s="6" customFormat="1" x14ac:dyDescent="0.25">
      <c r="A401" s="6">
        <v>178535</v>
      </c>
      <c r="B401" s="6" t="s">
        <v>1452</v>
      </c>
      <c r="C401" s="6" t="s">
        <v>1445</v>
      </c>
      <c r="D401" s="6" t="s">
        <v>18</v>
      </c>
      <c r="E401" s="7" t="s">
        <v>35</v>
      </c>
      <c r="F401" s="6" t="s">
        <v>1463</v>
      </c>
      <c r="G401" s="6" t="s">
        <v>1464</v>
      </c>
      <c r="H401" s="6" t="s">
        <v>22</v>
      </c>
      <c r="I401" s="8">
        <v>6001</v>
      </c>
      <c r="J401" s="6" t="s">
        <v>1447</v>
      </c>
      <c r="K401" s="6">
        <v>3</v>
      </c>
      <c r="L401" s="6">
        <v>14</v>
      </c>
      <c r="M401" s="6">
        <v>3</v>
      </c>
      <c r="N401" s="6">
        <v>2</v>
      </c>
      <c r="O401" s="6">
        <v>22</v>
      </c>
      <c r="P401" s="6" t="s">
        <v>637</v>
      </c>
    </row>
    <row r="402" spans="1:16" s="15" customFormat="1" x14ac:dyDescent="0.25">
      <c r="A402" s="15">
        <v>333342</v>
      </c>
      <c r="B402" s="15" t="s">
        <v>1465</v>
      </c>
      <c r="C402" s="15" t="s">
        <v>1466</v>
      </c>
      <c r="D402" s="15" t="s">
        <v>18</v>
      </c>
      <c r="E402" s="16" t="s">
        <v>1467</v>
      </c>
      <c r="F402" s="15" t="s">
        <v>1468</v>
      </c>
      <c r="G402" s="15" t="s">
        <v>1469</v>
      </c>
      <c r="H402" s="15" t="s">
        <v>22</v>
      </c>
      <c r="I402" s="17">
        <v>6001</v>
      </c>
      <c r="J402" s="15" t="s">
        <v>1447</v>
      </c>
      <c r="K402" s="15">
        <v>177</v>
      </c>
      <c r="L402" s="15">
        <v>76</v>
      </c>
      <c r="M402" s="15">
        <v>132</v>
      </c>
      <c r="N402" s="15">
        <v>122</v>
      </c>
      <c r="O402" s="15">
        <v>507</v>
      </c>
      <c r="P402" s="15" t="s">
        <v>23</v>
      </c>
    </row>
    <row r="403" spans="1:16" s="15" customFormat="1" x14ac:dyDescent="0.25">
      <c r="A403" s="15">
        <v>333343</v>
      </c>
      <c r="B403" s="15" t="s">
        <v>1465</v>
      </c>
      <c r="C403" s="15" t="s">
        <v>1466</v>
      </c>
      <c r="D403" s="15" t="s">
        <v>18</v>
      </c>
      <c r="E403" s="16" t="s">
        <v>1467</v>
      </c>
      <c r="F403" s="15" t="s">
        <v>1468</v>
      </c>
      <c r="G403" s="15" t="s">
        <v>1470</v>
      </c>
      <c r="H403" s="15" t="s">
        <v>22</v>
      </c>
      <c r="I403" s="17">
        <v>6001</v>
      </c>
      <c r="J403" s="15" t="s">
        <v>1447</v>
      </c>
      <c r="K403" s="15">
        <v>236</v>
      </c>
      <c r="L403" s="15">
        <v>192</v>
      </c>
      <c r="M403" s="15">
        <v>48</v>
      </c>
      <c r="N403" s="15">
        <v>0</v>
      </c>
      <c r="O403" s="15">
        <v>476</v>
      </c>
      <c r="P403" s="15" t="s">
        <v>1471</v>
      </c>
    </row>
    <row r="404" spans="1:16" s="15" customFormat="1" x14ac:dyDescent="0.25">
      <c r="A404" s="15">
        <v>333309</v>
      </c>
      <c r="B404" s="15" t="s">
        <v>1472</v>
      </c>
      <c r="C404" s="15" t="s">
        <v>1466</v>
      </c>
      <c r="D404" s="15" t="s">
        <v>18</v>
      </c>
      <c r="E404" s="16" t="s">
        <v>1467</v>
      </c>
      <c r="F404" s="15" t="s">
        <v>1473</v>
      </c>
      <c r="G404" s="15" t="s">
        <v>1474</v>
      </c>
      <c r="H404" s="15" t="s">
        <v>22</v>
      </c>
      <c r="I404" s="17">
        <v>6001</v>
      </c>
      <c r="J404" s="15" t="s">
        <v>1447</v>
      </c>
      <c r="K404" s="15">
        <v>177</v>
      </c>
      <c r="L404" s="15">
        <v>451</v>
      </c>
      <c r="M404" s="15">
        <v>244</v>
      </c>
      <c r="N404" s="15">
        <v>158</v>
      </c>
      <c r="O404" s="15">
        <v>1030</v>
      </c>
      <c r="P404" s="15" t="s">
        <v>23</v>
      </c>
    </row>
    <row r="405" spans="1:16" s="15" customFormat="1" x14ac:dyDescent="0.25">
      <c r="A405" s="15">
        <v>329175</v>
      </c>
      <c r="B405" s="15" t="s">
        <v>1465</v>
      </c>
      <c r="C405" s="15" t="s">
        <v>1466</v>
      </c>
      <c r="D405" s="15" t="s">
        <v>18</v>
      </c>
      <c r="E405" s="16" t="s">
        <v>1467</v>
      </c>
      <c r="F405" s="15" t="s">
        <v>1466</v>
      </c>
      <c r="G405" s="15" t="s">
        <v>1475</v>
      </c>
      <c r="H405" s="15" t="s">
        <v>22</v>
      </c>
      <c r="I405" s="17">
        <v>6001</v>
      </c>
      <c r="J405" s="15" t="s">
        <v>1447</v>
      </c>
      <c r="K405" s="15">
        <v>28</v>
      </c>
      <c r="L405" s="15">
        <v>67</v>
      </c>
      <c r="M405" s="15">
        <v>49</v>
      </c>
      <c r="N405" s="15">
        <v>20</v>
      </c>
      <c r="O405" s="15">
        <v>164</v>
      </c>
      <c r="P405" s="15" t="s">
        <v>23</v>
      </c>
    </row>
    <row r="406" spans="1:16" s="15" customFormat="1" x14ac:dyDescent="0.25">
      <c r="A406" s="15">
        <v>333083</v>
      </c>
      <c r="B406" s="15" t="s">
        <v>1452</v>
      </c>
      <c r="C406" s="15" t="s">
        <v>1445</v>
      </c>
      <c r="D406" s="15" t="s">
        <v>18</v>
      </c>
      <c r="E406" s="16" t="s">
        <v>35</v>
      </c>
      <c r="F406" s="15" t="s">
        <v>1466</v>
      </c>
      <c r="G406" s="15" t="s">
        <v>1476</v>
      </c>
      <c r="H406" s="15" t="s">
        <v>22</v>
      </c>
      <c r="I406" s="17">
        <v>6001</v>
      </c>
      <c r="J406" s="15" t="s">
        <v>1447</v>
      </c>
      <c r="K406" s="15">
        <v>47</v>
      </c>
      <c r="L406" s="15">
        <v>593</v>
      </c>
      <c r="M406" s="15">
        <v>584</v>
      </c>
      <c r="N406" s="15">
        <v>0</v>
      </c>
      <c r="O406" s="15">
        <v>1224</v>
      </c>
      <c r="P406" s="15" t="s">
        <v>470</v>
      </c>
    </row>
    <row r="407" spans="1:16" s="15" customFormat="1" x14ac:dyDescent="0.25">
      <c r="A407" s="15">
        <v>333314</v>
      </c>
      <c r="B407" s="15" t="s">
        <v>1477</v>
      </c>
      <c r="C407" s="15" t="s">
        <v>1466</v>
      </c>
      <c r="D407" s="15" t="s">
        <v>18</v>
      </c>
      <c r="E407" s="16" t="s">
        <v>1467</v>
      </c>
      <c r="F407" s="15" t="s">
        <v>1478</v>
      </c>
      <c r="G407" s="15" t="s">
        <v>1479</v>
      </c>
      <c r="H407" s="15" t="s">
        <v>22</v>
      </c>
      <c r="I407" s="17">
        <v>6001</v>
      </c>
      <c r="J407" s="15" t="s">
        <v>1447</v>
      </c>
      <c r="K407" s="15">
        <v>114</v>
      </c>
      <c r="L407" s="15">
        <v>67</v>
      </c>
      <c r="M407" s="15">
        <v>62</v>
      </c>
      <c r="N407" s="15">
        <v>43</v>
      </c>
      <c r="O407" s="15">
        <v>286</v>
      </c>
      <c r="P407" s="15" t="s">
        <v>23</v>
      </c>
    </row>
    <row r="408" spans="1:16" s="15" customFormat="1" x14ac:dyDescent="0.25">
      <c r="A408" s="15">
        <v>333315</v>
      </c>
      <c r="B408" s="15" t="s">
        <v>1477</v>
      </c>
      <c r="C408" s="15" t="s">
        <v>1466</v>
      </c>
      <c r="D408" s="15" t="s">
        <v>18</v>
      </c>
      <c r="E408" s="16" t="s">
        <v>1467</v>
      </c>
      <c r="F408" s="15" t="s">
        <v>1478</v>
      </c>
      <c r="G408" s="15" t="s">
        <v>1480</v>
      </c>
      <c r="H408" s="15" t="s">
        <v>22</v>
      </c>
      <c r="I408" s="17">
        <v>6001</v>
      </c>
      <c r="J408" s="15" t="s">
        <v>1447</v>
      </c>
      <c r="K408" s="15">
        <v>141</v>
      </c>
      <c r="L408" s="15">
        <v>72</v>
      </c>
      <c r="M408" s="15">
        <v>82</v>
      </c>
      <c r="N408" s="15">
        <v>59</v>
      </c>
      <c r="O408" s="15">
        <v>354</v>
      </c>
      <c r="P408" s="15" t="s">
        <v>23</v>
      </c>
    </row>
    <row r="409" spans="1:16" s="15" customFormat="1" x14ac:dyDescent="0.25">
      <c r="A409" s="15">
        <v>333316</v>
      </c>
      <c r="B409" s="15" t="s">
        <v>1481</v>
      </c>
      <c r="C409" s="15" t="s">
        <v>1466</v>
      </c>
      <c r="D409" s="15" t="s">
        <v>18</v>
      </c>
      <c r="E409" s="16" t="s">
        <v>1467</v>
      </c>
      <c r="F409" s="15" t="s">
        <v>1478</v>
      </c>
      <c r="G409" s="15" t="s">
        <v>1482</v>
      </c>
      <c r="H409" s="15" t="s">
        <v>22</v>
      </c>
      <c r="I409" s="17">
        <v>6001</v>
      </c>
      <c r="J409" s="15" t="s">
        <v>1447</v>
      </c>
      <c r="K409" s="15">
        <v>0</v>
      </c>
      <c r="L409" s="15">
        <v>404</v>
      </c>
      <c r="M409" s="15">
        <v>166</v>
      </c>
      <c r="N409" s="15">
        <v>0</v>
      </c>
      <c r="O409" s="15">
        <v>570</v>
      </c>
      <c r="P409" s="15" t="s">
        <v>23</v>
      </c>
    </row>
    <row r="410" spans="1:16" s="15" customFormat="1" x14ac:dyDescent="0.25">
      <c r="A410" s="15">
        <v>333280</v>
      </c>
      <c r="B410" s="15" t="s">
        <v>1483</v>
      </c>
      <c r="C410" s="15" t="s">
        <v>1466</v>
      </c>
      <c r="D410" s="15" t="s">
        <v>18</v>
      </c>
      <c r="E410" s="16" t="s">
        <v>1467</v>
      </c>
      <c r="F410" s="15" t="s">
        <v>1484</v>
      </c>
      <c r="G410" s="15" t="s">
        <v>1485</v>
      </c>
      <c r="H410" s="15" t="s">
        <v>22</v>
      </c>
      <c r="I410" s="17">
        <v>6001</v>
      </c>
      <c r="J410" s="15" t="s">
        <v>1447</v>
      </c>
      <c r="K410" s="15">
        <v>61</v>
      </c>
      <c r="L410" s="15">
        <v>22</v>
      </c>
      <c r="M410" s="15">
        <v>44</v>
      </c>
      <c r="N410" s="15">
        <v>40</v>
      </c>
      <c r="O410" s="15">
        <v>167</v>
      </c>
      <c r="P410" s="15" t="s">
        <v>23</v>
      </c>
    </row>
    <row r="411" spans="1:16" s="15" customFormat="1" x14ac:dyDescent="0.25">
      <c r="A411" s="15">
        <v>333278</v>
      </c>
      <c r="B411" s="15" t="s">
        <v>1483</v>
      </c>
      <c r="C411" s="15" t="s">
        <v>1466</v>
      </c>
      <c r="D411" s="15" t="s">
        <v>18</v>
      </c>
      <c r="E411" s="16" t="s">
        <v>1467</v>
      </c>
      <c r="F411" s="15" t="s">
        <v>1484</v>
      </c>
      <c r="G411" s="15" t="s">
        <v>1486</v>
      </c>
      <c r="H411" s="15" t="s">
        <v>22</v>
      </c>
      <c r="I411" s="17">
        <v>6001</v>
      </c>
      <c r="J411" s="15" t="s">
        <v>1447</v>
      </c>
      <c r="K411" s="15">
        <v>78</v>
      </c>
      <c r="L411" s="15">
        <v>30</v>
      </c>
      <c r="M411" s="15">
        <v>57</v>
      </c>
      <c r="N411" s="15">
        <v>50</v>
      </c>
      <c r="O411" s="15">
        <v>215</v>
      </c>
      <c r="P411" s="15" t="s">
        <v>23</v>
      </c>
    </row>
    <row r="412" spans="1:16" s="15" customFormat="1" x14ac:dyDescent="0.25">
      <c r="A412" s="15">
        <v>330227</v>
      </c>
      <c r="B412" s="15" t="s">
        <v>1487</v>
      </c>
      <c r="C412" s="15" t="s">
        <v>1459</v>
      </c>
      <c r="D412" s="15" t="s">
        <v>18</v>
      </c>
      <c r="E412" s="16" t="s">
        <v>1460</v>
      </c>
      <c r="F412" s="15" t="s">
        <v>1488</v>
      </c>
      <c r="G412" s="15" t="s">
        <v>1489</v>
      </c>
      <c r="H412" s="15" t="s">
        <v>22</v>
      </c>
      <c r="I412" s="17">
        <v>6001</v>
      </c>
      <c r="J412" s="15" t="s">
        <v>1447</v>
      </c>
      <c r="K412" s="15">
        <v>10</v>
      </c>
      <c r="L412" s="15">
        <v>11</v>
      </c>
      <c r="M412" s="15">
        <v>10</v>
      </c>
      <c r="N412" s="15">
        <v>7</v>
      </c>
      <c r="O412" s="15">
        <v>38</v>
      </c>
      <c r="P412" s="15" t="s">
        <v>130</v>
      </c>
    </row>
    <row r="413" spans="1:16" s="15" customFormat="1" x14ac:dyDescent="0.25">
      <c r="A413" s="15">
        <v>333283</v>
      </c>
      <c r="B413" s="15" t="s">
        <v>1490</v>
      </c>
      <c r="C413" s="15" t="s">
        <v>1466</v>
      </c>
      <c r="D413" s="15" t="s">
        <v>18</v>
      </c>
      <c r="E413" s="16" t="s">
        <v>1467</v>
      </c>
      <c r="F413" s="15" t="s">
        <v>1491</v>
      </c>
      <c r="G413" s="15" t="s">
        <v>1492</v>
      </c>
      <c r="H413" s="15" t="s">
        <v>22</v>
      </c>
      <c r="I413" s="17">
        <v>6001</v>
      </c>
      <c r="J413" s="15" t="s">
        <v>1447</v>
      </c>
      <c r="K413" s="15">
        <v>232</v>
      </c>
      <c r="L413" s="15">
        <v>111</v>
      </c>
      <c r="M413" s="15">
        <v>164</v>
      </c>
      <c r="N413" s="15">
        <v>118</v>
      </c>
      <c r="O413" s="15">
        <v>625</v>
      </c>
      <c r="P413" s="15" t="s">
        <v>23</v>
      </c>
    </row>
    <row r="414" spans="1:16" s="15" customFormat="1" x14ac:dyDescent="0.25">
      <c r="A414" s="15">
        <v>333284</v>
      </c>
      <c r="B414" s="15" t="s">
        <v>1493</v>
      </c>
      <c r="C414" s="15" t="s">
        <v>1466</v>
      </c>
      <c r="D414" s="15" t="s">
        <v>18</v>
      </c>
      <c r="E414" s="16" t="s">
        <v>1467</v>
      </c>
      <c r="F414" s="15" t="s">
        <v>1491</v>
      </c>
      <c r="G414" s="15" t="s">
        <v>1494</v>
      </c>
      <c r="H414" s="15" t="s">
        <v>22</v>
      </c>
      <c r="I414" s="17">
        <v>6001</v>
      </c>
      <c r="J414" s="15" t="s">
        <v>1447</v>
      </c>
      <c r="K414" s="15">
        <v>36</v>
      </c>
      <c r="L414" s="15">
        <v>44</v>
      </c>
      <c r="M414" s="15">
        <v>5</v>
      </c>
      <c r="N414" s="15">
        <v>0</v>
      </c>
      <c r="O414" s="15">
        <v>85</v>
      </c>
      <c r="P414" s="15" t="s">
        <v>23</v>
      </c>
    </row>
    <row r="415" spans="1:16" s="15" customFormat="1" x14ac:dyDescent="0.25">
      <c r="A415" s="15">
        <v>330243</v>
      </c>
      <c r="B415" s="15" t="s">
        <v>1495</v>
      </c>
      <c r="C415" s="15" t="s">
        <v>1445</v>
      </c>
      <c r="D415" s="15" t="s">
        <v>18</v>
      </c>
      <c r="E415" s="16" t="s">
        <v>35</v>
      </c>
      <c r="F415" s="15" t="s">
        <v>1496</v>
      </c>
      <c r="G415" s="15" t="s">
        <v>1497</v>
      </c>
      <c r="H415" s="15" t="s">
        <v>22</v>
      </c>
      <c r="I415" s="17">
        <v>6001</v>
      </c>
      <c r="J415" s="15" t="s">
        <v>1447</v>
      </c>
      <c r="K415" s="15">
        <v>72</v>
      </c>
      <c r="L415" s="15">
        <v>246</v>
      </c>
      <c r="M415" s="15">
        <v>30</v>
      </c>
      <c r="N415" s="15">
        <v>10</v>
      </c>
      <c r="O415" s="15">
        <v>358</v>
      </c>
      <c r="P415" s="15" t="s">
        <v>130</v>
      </c>
    </row>
    <row r="416" spans="1:16" s="15" customFormat="1" x14ac:dyDescent="0.25">
      <c r="A416" s="15">
        <v>333288</v>
      </c>
      <c r="B416" s="15" t="s">
        <v>1498</v>
      </c>
      <c r="C416" s="15" t="s">
        <v>1445</v>
      </c>
      <c r="D416" s="15" t="s">
        <v>18</v>
      </c>
      <c r="E416" s="16" t="s">
        <v>35</v>
      </c>
      <c r="F416" s="15" t="s">
        <v>1496</v>
      </c>
      <c r="G416" s="15" t="s">
        <v>1499</v>
      </c>
      <c r="H416" s="15" t="s">
        <v>22</v>
      </c>
      <c r="I416" s="17">
        <v>6001</v>
      </c>
      <c r="J416" s="15" t="s">
        <v>1447</v>
      </c>
      <c r="K416" s="15">
        <v>33</v>
      </c>
      <c r="L416" s="15">
        <v>131</v>
      </c>
      <c r="M416" s="15">
        <v>203</v>
      </c>
      <c r="N416" s="15">
        <v>0</v>
      </c>
      <c r="O416" s="15">
        <v>367</v>
      </c>
      <c r="P416" s="15" t="s">
        <v>470</v>
      </c>
    </row>
    <row r="417" spans="1:16" s="15" customFormat="1" x14ac:dyDescent="0.25">
      <c r="A417" s="15">
        <v>333289</v>
      </c>
      <c r="B417" s="15" t="s">
        <v>1498</v>
      </c>
      <c r="C417" s="15" t="s">
        <v>1445</v>
      </c>
      <c r="D417" s="15" t="s">
        <v>18</v>
      </c>
      <c r="E417" s="16" t="s">
        <v>35</v>
      </c>
      <c r="F417" s="15" t="s">
        <v>1496</v>
      </c>
      <c r="G417" s="15" t="s">
        <v>1500</v>
      </c>
      <c r="H417" s="15" t="s">
        <v>22</v>
      </c>
      <c r="I417" s="17">
        <v>6001</v>
      </c>
      <c r="J417" s="15" t="s">
        <v>1447</v>
      </c>
      <c r="K417" s="15">
        <v>33</v>
      </c>
      <c r="L417" s="15">
        <v>131</v>
      </c>
      <c r="M417" s="15">
        <v>199</v>
      </c>
      <c r="N417" s="15">
        <v>0</v>
      </c>
      <c r="O417" s="15">
        <v>363</v>
      </c>
      <c r="P417" s="15" t="s">
        <v>470</v>
      </c>
    </row>
    <row r="418" spans="1:16" s="15" customFormat="1" x14ac:dyDescent="0.25">
      <c r="A418" s="15">
        <v>333279</v>
      </c>
      <c r="B418" s="15" t="s">
        <v>1483</v>
      </c>
      <c r="C418" s="15" t="s">
        <v>1466</v>
      </c>
      <c r="D418" s="15" t="s">
        <v>18</v>
      </c>
      <c r="E418" s="16" t="s">
        <v>1467</v>
      </c>
      <c r="F418" s="15" t="s">
        <v>1501</v>
      </c>
      <c r="G418" s="15" t="s">
        <v>1502</v>
      </c>
      <c r="H418" s="15" t="s">
        <v>22</v>
      </c>
      <c r="I418" s="17">
        <v>6001</v>
      </c>
      <c r="J418" s="15" t="s">
        <v>1447</v>
      </c>
      <c r="K418" s="15">
        <v>0</v>
      </c>
      <c r="L418" s="15">
        <v>341</v>
      </c>
      <c r="M418" s="15">
        <v>173</v>
      </c>
      <c r="N418" s="15">
        <v>0</v>
      </c>
      <c r="O418" s="15">
        <v>514</v>
      </c>
      <c r="P418" s="15" t="s">
        <v>1272</v>
      </c>
    </row>
    <row r="419" spans="1:16" s="15" customFormat="1" x14ac:dyDescent="0.25">
      <c r="A419" s="15">
        <v>333285</v>
      </c>
      <c r="B419" s="15" t="s">
        <v>1490</v>
      </c>
      <c r="C419" s="15" t="s">
        <v>1466</v>
      </c>
      <c r="D419" s="15" t="s">
        <v>18</v>
      </c>
      <c r="E419" s="16" t="s">
        <v>1467</v>
      </c>
      <c r="F419" s="15" t="s">
        <v>1503</v>
      </c>
      <c r="G419" s="15" t="s">
        <v>1504</v>
      </c>
      <c r="H419" s="15" t="s">
        <v>22</v>
      </c>
      <c r="I419" s="17">
        <v>6001</v>
      </c>
      <c r="J419" s="15" t="s">
        <v>1447</v>
      </c>
      <c r="K419" s="15">
        <v>69</v>
      </c>
      <c r="L419" s="15">
        <v>499</v>
      </c>
      <c r="M419" s="15">
        <v>245</v>
      </c>
      <c r="N419" s="15">
        <v>0</v>
      </c>
      <c r="O419" s="15">
        <v>813</v>
      </c>
      <c r="P419" s="15" t="s">
        <v>93</v>
      </c>
    </row>
    <row r="420" spans="1:16" s="15" customFormat="1" x14ac:dyDescent="0.25">
      <c r="A420" s="15">
        <v>333003</v>
      </c>
      <c r="B420" s="15" t="s">
        <v>1505</v>
      </c>
      <c r="C420" s="15" t="s">
        <v>1445</v>
      </c>
      <c r="D420" s="15" t="s">
        <v>18</v>
      </c>
      <c r="E420" s="16" t="s">
        <v>35</v>
      </c>
      <c r="F420" s="15" t="s">
        <v>1506</v>
      </c>
      <c r="G420" s="15" t="s">
        <v>1507</v>
      </c>
      <c r="H420" s="15" t="s">
        <v>22</v>
      </c>
      <c r="I420" s="17">
        <v>6001</v>
      </c>
      <c r="J420" s="15" t="s">
        <v>1447</v>
      </c>
      <c r="K420" s="15">
        <v>1</v>
      </c>
      <c r="L420" s="15">
        <v>132</v>
      </c>
      <c r="M420" s="15">
        <v>83</v>
      </c>
      <c r="N420" s="15">
        <v>0</v>
      </c>
      <c r="O420" s="15">
        <v>216</v>
      </c>
      <c r="P420" s="15" t="s">
        <v>470</v>
      </c>
    </row>
    <row r="421" spans="1:16" s="15" customFormat="1" x14ac:dyDescent="0.25">
      <c r="A421" s="15">
        <v>328501</v>
      </c>
      <c r="B421" s="15" t="s">
        <v>1508</v>
      </c>
      <c r="C421" s="15" t="s">
        <v>17</v>
      </c>
      <c r="D421" s="15" t="s">
        <v>18</v>
      </c>
      <c r="E421" s="16" t="s">
        <v>19</v>
      </c>
      <c r="F421" s="15" t="s">
        <v>1509</v>
      </c>
      <c r="G421" s="15" t="s">
        <v>1510</v>
      </c>
      <c r="H421" s="15" t="s">
        <v>22</v>
      </c>
      <c r="I421" s="17">
        <v>6001</v>
      </c>
      <c r="J421" s="15" t="s">
        <v>1447</v>
      </c>
      <c r="K421" s="15">
        <v>36</v>
      </c>
      <c r="L421" s="15">
        <v>17</v>
      </c>
      <c r="M421" s="15">
        <v>15</v>
      </c>
      <c r="N421" s="15">
        <v>17</v>
      </c>
      <c r="O421" s="15">
        <v>85</v>
      </c>
      <c r="P421" s="15" t="s">
        <v>23</v>
      </c>
    </row>
    <row r="422" spans="1:16" s="15" customFormat="1" x14ac:dyDescent="0.25">
      <c r="A422" s="15">
        <v>328496</v>
      </c>
      <c r="B422" s="15" t="s">
        <v>1511</v>
      </c>
      <c r="C422" s="15" t="s">
        <v>17</v>
      </c>
      <c r="D422" s="15" t="s">
        <v>18</v>
      </c>
      <c r="E422" s="16" t="s">
        <v>19</v>
      </c>
      <c r="F422" s="15" t="s">
        <v>1512</v>
      </c>
      <c r="G422" s="15" t="s">
        <v>1513</v>
      </c>
      <c r="H422" s="15" t="s">
        <v>22</v>
      </c>
      <c r="I422" s="17">
        <v>6001</v>
      </c>
      <c r="J422" s="15" t="s">
        <v>1447</v>
      </c>
      <c r="K422" s="15">
        <v>3</v>
      </c>
      <c r="L422" s="15">
        <v>3</v>
      </c>
      <c r="M422" s="15">
        <v>4</v>
      </c>
      <c r="N422" s="15">
        <v>3</v>
      </c>
      <c r="O422" s="15">
        <v>13</v>
      </c>
      <c r="P422" s="15" t="s">
        <v>23</v>
      </c>
    </row>
    <row r="423" spans="1:16" s="15" customFormat="1" x14ac:dyDescent="0.25">
      <c r="A423" s="15">
        <v>328500</v>
      </c>
      <c r="B423" s="15" t="s">
        <v>1508</v>
      </c>
      <c r="C423" s="15" t="s">
        <v>17</v>
      </c>
      <c r="D423" s="15" t="s">
        <v>18</v>
      </c>
      <c r="E423" s="16" t="s">
        <v>19</v>
      </c>
      <c r="F423" s="15" t="s">
        <v>1514</v>
      </c>
      <c r="G423" s="15" t="s">
        <v>1515</v>
      </c>
      <c r="H423" s="15" t="s">
        <v>22</v>
      </c>
      <c r="I423" s="17">
        <v>6001</v>
      </c>
      <c r="J423" s="15" t="s">
        <v>1447</v>
      </c>
      <c r="K423" s="15">
        <v>6</v>
      </c>
      <c r="L423" s="15">
        <v>7</v>
      </c>
      <c r="M423" s="15">
        <v>5</v>
      </c>
      <c r="N423" s="15">
        <v>5</v>
      </c>
      <c r="O423" s="15">
        <v>23</v>
      </c>
      <c r="P423" s="15" t="s">
        <v>23</v>
      </c>
    </row>
    <row r="424" spans="1:16" s="15" customFormat="1" x14ac:dyDescent="0.25">
      <c r="A424" s="15">
        <v>328499</v>
      </c>
      <c r="B424" s="15" t="s">
        <v>1508</v>
      </c>
      <c r="C424" s="15" t="s">
        <v>17</v>
      </c>
      <c r="D424" s="15" t="s">
        <v>18</v>
      </c>
      <c r="E424" s="16" t="s">
        <v>19</v>
      </c>
      <c r="F424" s="15" t="s">
        <v>1516</v>
      </c>
      <c r="G424" s="15" t="s">
        <v>1517</v>
      </c>
      <c r="H424" s="15" t="s">
        <v>22</v>
      </c>
      <c r="I424" s="17">
        <v>6001</v>
      </c>
      <c r="J424" s="15" t="s">
        <v>1447</v>
      </c>
      <c r="K424" s="15">
        <v>31</v>
      </c>
      <c r="L424" s="15">
        <v>23</v>
      </c>
      <c r="M424" s="15">
        <v>20</v>
      </c>
      <c r="N424" s="15">
        <v>16</v>
      </c>
      <c r="O424" s="15">
        <v>90</v>
      </c>
      <c r="P424" s="15" t="s">
        <v>23</v>
      </c>
    </row>
    <row r="425" spans="1:16" s="15" customFormat="1" x14ac:dyDescent="0.25">
      <c r="A425" s="15">
        <v>336642</v>
      </c>
      <c r="B425" s="15" t="s">
        <v>16</v>
      </c>
      <c r="C425" s="15" t="s">
        <v>17</v>
      </c>
      <c r="D425" s="15" t="s">
        <v>18</v>
      </c>
      <c r="E425" s="16" t="s">
        <v>19</v>
      </c>
      <c r="F425" s="15" t="s">
        <v>1518</v>
      </c>
      <c r="G425" s="15" t="s">
        <v>1519</v>
      </c>
      <c r="H425" s="15" t="s">
        <v>22</v>
      </c>
      <c r="I425" s="17">
        <v>6001</v>
      </c>
      <c r="J425" s="15" t="s">
        <v>1447</v>
      </c>
      <c r="K425" s="15">
        <v>9</v>
      </c>
      <c r="L425" s="15">
        <v>57</v>
      </c>
      <c r="M425" s="15">
        <v>21</v>
      </c>
      <c r="N425" s="15">
        <v>5</v>
      </c>
      <c r="O425" s="15">
        <v>92</v>
      </c>
      <c r="P425" s="15" t="s">
        <v>23</v>
      </c>
    </row>
    <row r="426" spans="1:16" x14ac:dyDescent="0.25">
      <c r="A426" s="3">
        <v>242628</v>
      </c>
      <c r="B426" s="3" t="s">
        <v>850</v>
      </c>
      <c r="C426" s="3" t="s">
        <v>851</v>
      </c>
      <c r="D426" s="3" t="s">
        <v>852</v>
      </c>
      <c r="E426" s="4" t="s">
        <v>853</v>
      </c>
      <c r="F426" s="3" t="s">
        <v>1520</v>
      </c>
      <c r="G426" s="3" t="s">
        <v>1521</v>
      </c>
      <c r="H426" s="3" t="s">
        <v>22</v>
      </c>
      <c r="I426" s="5">
        <v>6001</v>
      </c>
      <c r="J426" s="3" t="s">
        <v>1522</v>
      </c>
      <c r="K426" s="3">
        <v>443</v>
      </c>
      <c r="L426" s="3">
        <v>204</v>
      </c>
      <c r="M426" s="3">
        <v>227</v>
      </c>
      <c r="N426" s="3">
        <v>870</v>
      </c>
      <c r="O426" s="3">
        <v>1744</v>
      </c>
      <c r="P426" s="3" t="s">
        <v>130</v>
      </c>
    </row>
    <row r="427" spans="1:16" x14ac:dyDescent="0.25">
      <c r="A427" s="3">
        <v>333078</v>
      </c>
      <c r="B427" s="3" t="s">
        <v>1525</v>
      </c>
      <c r="C427" s="3" t="s">
        <v>1526</v>
      </c>
      <c r="D427" s="3" t="s">
        <v>18</v>
      </c>
      <c r="E427" s="4" t="s">
        <v>1527</v>
      </c>
      <c r="F427" s="3" t="s">
        <v>1526</v>
      </c>
      <c r="G427" s="3" t="s">
        <v>1523</v>
      </c>
      <c r="H427" s="3" t="s">
        <v>22</v>
      </c>
      <c r="I427" s="5">
        <v>6001</v>
      </c>
      <c r="J427" s="3" t="s">
        <v>1522</v>
      </c>
      <c r="K427" s="3">
        <v>1114</v>
      </c>
      <c r="L427" s="3">
        <v>1371</v>
      </c>
      <c r="M427" s="3">
        <v>1018</v>
      </c>
      <c r="N427" s="3">
        <v>766</v>
      </c>
      <c r="O427" s="3">
        <v>4269</v>
      </c>
      <c r="P427" s="3" t="s">
        <v>23</v>
      </c>
    </row>
    <row r="428" spans="1:16" x14ac:dyDescent="0.25">
      <c r="A428" s="3">
        <v>333079</v>
      </c>
      <c r="B428" s="3" t="s">
        <v>1525</v>
      </c>
      <c r="C428" s="3" t="s">
        <v>1526</v>
      </c>
      <c r="D428" s="3" t="s">
        <v>18</v>
      </c>
      <c r="E428" s="4" t="s">
        <v>1527</v>
      </c>
      <c r="F428" s="3" t="s">
        <v>1526</v>
      </c>
      <c r="G428" s="3" t="s">
        <v>1524</v>
      </c>
      <c r="H428" s="3" t="s">
        <v>22</v>
      </c>
      <c r="I428" s="5">
        <v>6001</v>
      </c>
      <c r="J428" s="3" t="s">
        <v>1522</v>
      </c>
      <c r="K428" s="3">
        <v>1175</v>
      </c>
      <c r="L428" s="3">
        <v>1418</v>
      </c>
      <c r="M428" s="3">
        <v>1240</v>
      </c>
      <c r="N428" s="3">
        <v>1081</v>
      </c>
      <c r="O428" s="3">
        <v>4914</v>
      </c>
      <c r="P428" s="3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81"/>
  <sheetViews>
    <sheetView topLeftCell="A355" workbookViewId="0">
      <selection activeCell="U269" sqref="U269:U270"/>
    </sheetView>
  </sheetViews>
  <sheetFormatPr defaultRowHeight="15" x14ac:dyDescent="0.25"/>
  <cols>
    <col min="1" max="1" width="22.85546875" style="83" customWidth="1"/>
    <col min="2" max="2" width="29.140625" style="83" customWidth="1"/>
    <col min="3" max="3" width="24.85546875" style="29" customWidth="1"/>
    <col min="4" max="4" width="12.5703125" style="83" customWidth="1"/>
    <col min="5" max="10" width="9.140625" style="83"/>
    <col min="11" max="11" width="11.42578125" style="142" bestFit="1" customWidth="1"/>
    <col min="12" max="20" width="9.140625" style="83"/>
    <col min="21" max="21" width="11.85546875" style="83" customWidth="1"/>
    <col min="22" max="22" width="11.42578125" style="83" customWidth="1"/>
    <col min="23" max="16384" width="9.140625" style="83"/>
  </cols>
  <sheetData>
    <row r="1" spans="1:27" x14ac:dyDescent="0.25">
      <c r="A1" s="19"/>
      <c r="B1" s="19" t="s">
        <v>1529</v>
      </c>
      <c r="C1" s="29" t="s">
        <v>1530</v>
      </c>
      <c r="D1" s="20" t="s">
        <v>1531</v>
      </c>
      <c r="E1" s="20" t="s">
        <v>1532</v>
      </c>
      <c r="F1" s="21" t="s">
        <v>1533</v>
      </c>
      <c r="G1" s="21" t="s">
        <v>1534</v>
      </c>
      <c r="H1" s="22" t="s">
        <v>1535</v>
      </c>
      <c r="I1" s="21" t="s">
        <v>1536</v>
      </c>
      <c r="J1" s="21" t="s">
        <v>1537</v>
      </c>
      <c r="K1" s="23" t="s">
        <v>1538</v>
      </c>
      <c r="L1" s="23" t="s">
        <v>1539</v>
      </c>
      <c r="M1" s="23" t="s">
        <v>1540</v>
      </c>
      <c r="N1" s="23" t="s">
        <v>1541</v>
      </c>
      <c r="O1" s="23" t="s">
        <v>1542</v>
      </c>
      <c r="P1" s="23" t="s">
        <v>1543</v>
      </c>
      <c r="Q1" s="23" t="s">
        <v>1544</v>
      </c>
      <c r="R1" s="23" t="s">
        <v>1545</v>
      </c>
      <c r="S1" s="23" t="s">
        <v>1546</v>
      </c>
      <c r="T1" s="23" t="s">
        <v>1547</v>
      </c>
      <c r="U1" s="23" t="s">
        <v>1548</v>
      </c>
      <c r="V1" s="23" t="s">
        <v>1549</v>
      </c>
      <c r="W1" s="24" t="s">
        <v>1550</v>
      </c>
      <c r="X1" s="26"/>
      <c r="Y1" s="26"/>
      <c r="Z1" s="27"/>
      <c r="AA1" s="24"/>
    </row>
    <row r="2" spans="1:27" x14ac:dyDescent="0.25">
      <c r="A2" s="29"/>
      <c r="B2" s="29" t="s">
        <v>1552</v>
      </c>
      <c r="C2" s="29" t="s">
        <v>1553</v>
      </c>
      <c r="D2" s="30">
        <v>1090011</v>
      </c>
      <c r="E2" s="31"/>
      <c r="G2" s="24"/>
      <c r="H2" s="32" t="s">
        <v>1554</v>
      </c>
      <c r="I2" s="33"/>
      <c r="J2" s="33"/>
      <c r="K2" s="140">
        <v>10</v>
      </c>
      <c r="L2" s="33"/>
      <c r="M2" s="33"/>
      <c r="N2" s="85">
        <v>88</v>
      </c>
      <c r="O2" s="33"/>
      <c r="P2" s="33"/>
      <c r="Q2" s="85">
        <v>61</v>
      </c>
      <c r="R2" s="33"/>
      <c r="S2" s="33"/>
      <c r="T2" s="85">
        <v>12</v>
      </c>
      <c r="U2" s="138">
        <f>SUM(N2+Q2+K2+T2)*1000</f>
        <v>171000</v>
      </c>
      <c r="V2" s="25"/>
      <c r="W2" s="25"/>
      <c r="X2" s="26"/>
      <c r="Y2" s="26"/>
      <c r="Z2" s="24" t="s">
        <v>1555</v>
      </c>
      <c r="AA2" s="24"/>
    </row>
    <row r="3" spans="1:27" x14ac:dyDescent="0.25">
      <c r="A3" s="29"/>
      <c r="B3" s="29" t="s">
        <v>1552</v>
      </c>
      <c r="C3" s="29" t="s">
        <v>1557</v>
      </c>
      <c r="D3" s="30">
        <v>1090011</v>
      </c>
      <c r="E3" s="31"/>
      <c r="G3" s="24"/>
      <c r="H3" s="32" t="s">
        <v>1554</v>
      </c>
      <c r="I3" s="33"/>
      <c r="J3" s="33"/>
      <c r="K3" s="140">
        <v>0</v>
      </c>
      <c r="L3" s="33"/>
      <c r="M3" s="33"/>
      <c r="N3" s="33">
        <v>1</v>
      </c>
      <c r="O3" s="33"/>
      <c r="P3" s="33"/>
      <c r="Q3" s="33">
        <v>0</v>
      </c>
      <c r="R3" s="33"/>
      <c r="S3" s="33"/>
      <c r="T3" s="33">
        <v>0</v>
      </c>
      <c r="U3" s="24">
        <v>1000</v>
      </c>
      <c r="V3" s="25"/>
      <c r="W3" s="25"/>
      <c r="X3" s="26"/>
      <c r="Y3" s="26"/>
      <c r="Z3" s="24" t="s">
        <v>1555</v>
      </c>
      <c r="AA3" s="24"/>
    </row>
    <row r="4" spans="1:27" x14ac:dyDescent="0.25">
      <c r="A4" s="29"/>
      <c r="B4" s="29" t="s">
        <v>1552</v>
      </c>
      <c r="C4" s="29" t="s">
        <v>1559</v>
      </c>
      <c r="D4" s="30">
        <v>1090011</v>
      </c>
      <c r="E4" s="31"/>
      <c r="G4" s="24"/>
      <c r="H4" s="32" t="s">
        <v>1554</v>
      </c>
      <c r="I4" s="33">
        <v>1</v>
      </c>
      <c r="J4" s="33"/>
      <c r="K4" s="140">
        <v>39</v>
      </c>
      <c r="L4" s="33"/>
      <c r="M4" s="33"/>
      <c r="N4" s="33">
        <v>7</v>
      </c>
      <c r="O4" s="33"/>
      <c r="P4" s="33"/>
      <c r="Q4" s="33">
        <v>38</v>
      </c>
      <c r="R4" s="33"/>
      <c r="S4" s="33"/>
      <c r="T4" s="33">
        <v>62</v>
      </c>
      <c r="U4" s="24">
        <v>146000</v>
      </c>
      <c r="V4" s="25"/>
      <c r="W4" s="25"/>
      <c r="X4" s="26"/>
      <c r="Y4" s="26"/>
      <c r="Z4" s="24" t="s">
        <v>1555</v>
      </c>
      <c r="AA4" s="24"/>
    </row>
    <row r="5" spans="1:27" x14ac:dyDescent="0.25">
      <c r="A5" s="29"/>
      <c r="B5" s="29" t="s">
        <v>1561</v>
      </c>
      <c r="C5" s="29" t="s">
        <v>1562</v>
      </c>
      <c r="D5" s="30">
        <v>1090021</v>
      </c>
      <c r="E5" s="31"/>
      <c r="G5" s="24"/>
      <c r="H5" s="32" t="s">
        <v>1554</v>
      </c>
      <c r="I5" s="33">
        <v>2</v>
      </c>
      <c r="J5" s="33"/>
      <c r="K5" s="140">
        <v>8</v>
      </c>
      <c r="L5" s="33"/>
      <c r="M5" s="33"/>
      <c r="N5" s="33">
        <v>9</v>
      </c>
      <c r="O5" s="33"/>
      <c r="P5" s="33"/>
      <c r="Q5" s="33">
        <v>7</v>
      </c>
      <c r="R5" s="33"/>
      <c r="S5" s="33"/>
      <c r="T5" s="33">
        <v>7</v>
      </c>
      <c r="U5" s="24">
        <v>31000</v>
      </c>
      <c r="V5" s="25"/>
      <c r="W5" s="25"/>
      <c r="X5" s="26"/>
      <c r="Y5" s="26"/>
      <c r="Z5" s="24"/>
      <c r="AA5" s="24"/>
    </row>
    <row r="6" spans="1:27" x14ac:dyDescent="0.25">
      <c r="A6" s="29"/>
      <c r="B6" s="29" t="s">
        <v>1572</v>
      </c>
      <c r="C6" s="29" t="s">
        <v>1573</v>
      </c>
      <c r="D6" s="30">
        <v>1140025</v>
      </c>
      <c r="E6" s="31"/>
      <c r="G6" s="24"/>
      <c r="H6" s="32" t="s">
        <v>1554</v>
      </c>
      <c r="I6" s="33">
        <v>3</v>
      </c>
      <c r="J6" s="33"/>
      <c r="K6" s="141">
        <v>1</v>
      </c>
      <c r="L6" s="33"/>
      <c r="M6" s="33"/>
      <c r="N6" s="85">
        <v>1</v>
      </c>
      <c r="O6" s="33"/>
      <c r="P6" s="33"/>
      <c r="Q6" s="85">
        <v>1</v>
      </c>
      <c r="R6" s="33"/>
      <c r="S6" s="33"/>
      <c r="T6" s="85">
        <v>1</v>
      </c>
      <c r="U6" s="85">
        <v>76.650000000000006</v>
      </c>
      <c r="V6" s="25"/>
      <c r="W6" s="25"/>
      <c r="X6" s="26"/>
      <c r="Y6" s="26"/>
      <c r="Z6" s="24"/>
      <c r="AA6" s="24"/>
    </row>
    <row r="7" spans="1:27" x14ac:dyDescent="0.25">
      <c r="A7" s="29"/>
      <c r="B7" s="29" t="s">
        <v>1575</v>
      </c>
      <c r="C7" s="29" t="s">
        <v>1573</v>
      </c>
      <c r="D7" s="30">
        <v>1140027</v>
      </c>
      <c r="E7" s="31"/>
      <c r="G7" s="24"/>
      <c r="H7" s="32" t="s">
        <v>1554</v>
      </c>
      <c r="I7" s="33">
        <v>4</v>
      </c>
      <c r="J7" s="33"/>
      <c r="K7" s="141">
        <v>29</v>
      </c>
      <c r="L7" s="33"/>
      <c r="M7" s="33"/>
      <c r="N7" s="85">
        <v>22</v>
      </c>
      <c r="O7" s="33"/>
      <c r="P7" s="33"/>
      <c r="Q7" s="85">
        <v>17</v>
      </c>
      <c r="R7" s="33"/>
      <c r="S7" s="33"/>
      <c r="T7" s="85">
        <v>22</v>
      </c>
      <c r="U7" s="85">
        <v>90</v>
      </c>
      <c r="V7" s="25"/>
      <c r="W7" s="25"/>
      <c r="X7" s="26"/>
      <c r="Y7" s="26"/>
      <c r="Z7" s="24"/>
      <c r="AA7" s="24"/>
    </row>
    <row r="8" spans="1:27" x14ac:dyDescent="0.25">
      <c r="A8" s="29"/>
      <c r="B8" s="29" t="s">
        <v>1564</v>
      </c>
      <c r="C8" s="29" t="s">
        <v>1565</v>
      </c>
      <c r="D8" s="34">
        <v>2210021</v>
      </c>
      <c r="E8" s="32"/>
      <c r="G8" s="24"/>
      <c r="H8" s="32" t="s">
        <v>1554</v>
      </c>
      <c r="I8" s="33"/>
      <c r="J8" s="33"/>
      <c r="K8" s="144">
        <v>31</v>
      </c>
      <c r="L8" s="33"/>
      <c r="M8" s="33"/>
      <c r="N8" s="145">
        <v>43</v>
      </c>
      <c r="O8" s="33"/>
      <c r="P8" s="33"/>
      <c r="Q8" s="145">
        <v>48</v>
      </c>
      <c r="R8" s="33"/>
      <c r="S8" s="33"/>
      <c r="T8" s="145">
        <v>37</v>
      </c>
      <c r="U8" s="34">
        <v>159</v>
      </c>
      <c r="V8" s="25"/>
      <c r="W8" s="25"/>
      <c r="X8" s="26"/>
      <c r="Y8" s="26"/>
      <c r="Z8" s="24"/>
      <c r="AA8" s="24"/>
    </row>
    <row r="9" spans="1:27" x14ac:dyDescent="0.25">
      <c r="A9" s="29"/>
      <c r="B9" s="29" t="s">
        <v>1567</v>
      </c>
      <c r="C9" s="29" t="s">
        <v>1565</v>
      </c>
      <c r="D9" s="34">
        <v>2210021</v>
      </c>
      <c r="E9" s="32"/>
      <c r="H9" s="32" t="s">
        <v>1554</v>
      </c>
      <c r="J9" s="33"/>
      <c r="K9" s="141">
        <v>7</v>
      </c>
      <c r="N9" s="85">
        <v>6</v>
      </c>
      <c r="Q9" s="85">
        <v>5</v>
      </c>
      <c r="T9" s="85">
        <v>4</v>
      </c>
      <c r="U9" s="85">
        <v>22</v>
      </c>
    </row>
    <row r="10" spans="1:27" x14ac:dyDescent="0.25">
      <c r="A10" s="29"/>
      <c r="B10" s="29" t="s">
        <v>1567</v>
      </c>
      <c r="C10" s="29" t="s">
        <v>1569</v>
      </c>
      <c r="D10" s="34">
        <v>2210021</v>
      </c>
      <c r="E10" s="84" t="s">
        <v>1570</v>
      </c>
      <c r="H10" s="32" t="s">
        <v>1554</v>
      </c>
      <c r="J10" s="33"/>
      <c r="K10" s="141">
        <v>9</v>
      </c>
      <c r="N10" s="85">
        <v>94</v>
      </c>
      <c r="Q10" s="85">
        <v>35</v>
      </c>
      <c r="T10" s="85">
        <v>0</v>
      </c>
      <c r="U10" s="85">
        <v>138</v>
      </c>
    </row>
    <row r="11" spans="1:27" x14ac:dyDescent="0.25">
      <c r="A11" s="29"/>
      <c r="B11" s="29" t="s">
        <v>1620</v>
      </c>
      <c r="C11" s="29" t="s">
        <v>1565</v>
      </c>
      <c r="D11" s="34">
        <v>2210021</v>
      </c>
      <c r="E11" s="32"/>
      <c r="H11" s="32" t="s">
        <v>1554</v>
      </c>
      <c r="J11" s="33"/>
      <c r="K11" s="142">
        <v>9</v>
      </c>
      <c r="N11" s="83">
        <v>7</v>
      </c>
      <c r="Q11" s="83">
        <v>8</v>
      </c>
      <c r="T11" s="83">
        <v>8</v>
      </c>
      <c r="U11" s="83">
        <v>32</v>
      </c>
    </row>
    <row r="12" spans="1:27" x14ac:dyDescent="0.25">
      <c r="A12" s="29"/>
      <c r="B12" s="29" t="s">
        <v>1620</v>
      </c>
      <c r="C12" s="29" t="s">
        <v>1622</v>
      </c>
      <c r="D12" s="34">
        <v>2210021</v>
      </c>
      <c r="E12" s="32" t="s">
        <v>1570</v>
      </c>
      <c r="H12" s="32" t="s">
        <v>1554</v>
      </c>
      <c r="J12" s="33"/>
      <c r="K12" s="142">
        <v>13</v>
      </c>
      <c r="N12" s="83">
        <v>115</v>
      </c>
      <c r="Q12" s="83">
        <v>21</v>
      </c>
      <c r="T12" s="83">
        <v>0</v>
      </c>
      <c r="U12" s="83">
        <v>149</v>
      </c>
    </row>
    <row r="13" spans="1:27" x14ac:dyDescent="0.25">
      <c r="A13" s="29"/>
      <c r="B13" s="29" t="s">
        <v>1640</v>
      </c>
      <c r="C13" s="29" t="s">
        <v>1565</v>
      </c>
      <c r="D13" s="34">
        <v>2210021</v>
      </c>
      <c r="E13" s="32"/>
      <c r="H13" s="32" t="s">
        <v>1554</v>
      </c>
      <c r="J13" s="33"/>
      <c r="K13" s="142">
        <v>26</v>
      </c>
      <c r="N13" s="83">
        <v>13</v>
      </c>
      <c r="Q13" s="83">
        <v>12</v>
      </c>
      <c r="T13" s="83">
        <v>12</v>
      </c>
      <c r="U13" s="83">
        <v>63</v>
      </c>
    </row>
    <row r="14" spans="1:27" x14ac:dyDescent="0.25">
      <c r="A14" s="29"/>
      <c r="B14" s="29" t="s">
        <v>1642</v>
      </c>
      <c r="C14" s="29" t="s">
        <v>1565</v>
      </c>
      <c r="D14" s="34">
        <v>2210021</v>
      </c>
      <c r="E14" s="32"/>
      <c r="H14" s="32" t="s">
        <v>1554</v>
      </c>
      <c r="J14" s="33"/>
      <c r="K14" s="142">
        <v>1</v>
      </c>
      <c r="N14" s="83">
        <v>0</v>
      </c>
      <c r="Q14" s="83">
        <v>0</v>
      </c>
      <c r="T14" s="83">
        <v>0</v>
      </c>
      <c r="U14" s="83">
        <v>1</v>
      </c>
    </row>
    <row r="15" spans="1:27" x14ac:dyDescent="0.25">
      <c r="A15" s="29"/>
      <c r="B15" s="29" t="s">
        <v>1644</v>
      </c>
      <c r="C15" s="29" t="s">
        <v>1565</v>
      </c>
      <c r="D15" s="34">
        <v>2210021</v>
      </c>
      <c r="E15" s="32"/>
      <c r="H15" s="32" t="s">
        <v>1554</v>
      </c>
      <c r="J15" s="33"/>
      <c r="K15" s="142">
        <v>0</v>
      </c>
      <c r="N15" s="83">
        <v>1</v>
      </c>
      <c r="Q15" s="83">
        <v>0</v>
      </c>
      <c r="T15" s="83">
        <v>1</v>
      </c>
      <c r="U15" s="83">
        <v>2</v>
      </c>
    </row>
    <row r="16" spans="1:27" x14ac:dyDescent="0.25">
      <c r="A16" s="29"/>
      <c r="B16" s="29" t="s">
        <v>1644</v>
      </c>
      <c r="C16" s="29" t="s">
        <v>1565</v>
      </c>
      <c r="D16" s="34">
        <v>2210021</v>
      </c>
      <c r="E16" s="32" t="s">
        <v>1570</v>
      </c>
      <c r="H16" s="32" t="s">
        <v>1554</v>
      </c>
      <c r="J16" s="33"/>
      <c r="K16" s="142">
        <v>3</v>
      </c>
      <c r="N16" s="83">
        <v>19</v>
      </c>
      <c r="Q16" s="83">
        <v>4</v>
      </c>
      <c r="T16" s="83">
        <v>0</v>
      </c>
      <c r="U16" s="83">
        <v>26</v>
      </c>
    </row>
    <row r="17" spans="1:21" x14ac:dyDescent="0.25">
      <c r="A17" s="29"/>
      <c r="B17" s="29" t="s">
        <v>1647</v>
      </c>
      <c r="C17" s="29" t="s">
        <v>1565</v>
      </c>
      <c r="D17" s="34">
        <v>2210021</v>
      </c>
      <c r="E17" s="32"/>
      <c r="H17" s="32" t="s">
        <v>1554</v>
      </c>
      <c r="J17" s="33"/>
      <c r="K17" s="142">
        <v>28</v>
      </c>
      <c r="N17" s="83">
        <v>20</v>
      </c>
      <c r="Q17" s="83">
        <v>13</v>
      </c>
      <c r="T17" s="83">
        <v>15</v>
      </c>
      <c r="U17" s="83">
        <v>76</v>
      </c>
    </row>
    <row r="18" spans="1:21" x14ac:dyDescent="0.25">
      <c r="A18" s="29"/>
      <c r="B18" s="29" t="s">
        <v>1647</v>
      </c>
      <c r="C18" s="29" t="s">
        <v>1622</v>
      </c>
      <c r="D18" s="34">
        <v>2210021</v>
      </c>
      <c r="E18" s="32" t="s">
        <v>1570</v>
      </c>
      <c r="H18" s="32" t="s">
        <v>1554</v>
      </c>
      <c r="J18" s="33"/>
      <c r="K18" s="142">
        <v>10</v>
      </c>
      <c r="N18" s="83">
        <v>81</v>
      </c>
      <c r="Q18" s="83">
        <v>17</v>
      </c>
      <c r="T18" s="83">
        <v>0</v>
      </c>
      <c r="U18" s="83">
        <v>108</v>
      </c>
    </row>
    <row r="19" spans="1:21" x14ac:dyDescent="0.25">
      <c r="A19" s="29"/>
      <c r="B19" s="29" t="s">
        <v>1650</v>
      </c>
      <c r="C19" s="29" t="s">
        <v>1565</v>
      </c>
      <c r="D19" s="34">
        <v>2210021</v>
      </c>
      <c r="E19" s="32"/>
      <c r="H19" s="32" t="s">
        <v>1554</v>
      </c>
      <c r="J19" s="33"/>
      <c r="K19" s="142">
        <v>1</v>
      </c>
      <c r="N19" s="83">
        <v>1</v>
      </c>
      <c r="Q19" s="83">
        <v>1</v>
      </c>
      <c r="T19" s="83">
        <v>0</v>
      </c>
      <c r="U19" s="83">
        <v>3</v>
      </c>
    </row>
    <row r="20" spans="1:21" x14ac:dyDescent="0.25">
      <c r="A20" s="29"/>
      <c r="B20" s="29" t="s">
        <v>1650</v>
      </c>
      <c r="C20" s="29" t="s">
        <v>1622</v>
      </c>
      <c r="D20" s="34">
        <v>2210021</v>
      </c>
      <c r="E20" s="32"/>
      <c r="H20" s="32" t="s">
        <v>1554</v>
      </c>
      <c r="J20" s="33"/>
      <c r="K20" s="142">
        <v>1</v>
      </c>
      <c r="N20" s="83">
        <v>1</v>
      </c>
      <c r="Q20" s="83">
        <v>1</v>
      </c>
      <c r="T20" s="83">
        <v>0</v>
      </c>
      <c r="U20" s="83">
        <v>3</v>
      </c>
    </row>
    <row r="21" spans="1:21" x14ac:dyDescent="0.25">
      <c r="A21" s="29"/>
      <c r="B21" s="29" t="s">
        <v>1655</v>
      </c>
      <c r="C21" s="29" t="s">
        <v>1651</v>
      </c>
      <c r="D21" s="34">
        <v>2210021</v>
      </c>
      <c r="E21" s="32"/>
      <c r="H21" s="32" t="s">
        <v>1554</v>
      </c>
      <c r="J21" s="33"/>
      <c r="K21" s="142">
        <v>0</v>
      </c>
      <c r="N21" s="83">
        <v>1</v>
      </c>
      <c r="Q21" s="83">
        <v>0</v>
      </c>
      <c r="T21" s="83">
        <v>1</v>
      </c>
      <c r="U21" s="83">
        <v>2</v>
      </c>
    </row>
    <row r="22" spans="1:21" x14ac:dyDescent="0.25">
      <c r="A22" s="29"/>
      <c r="B22" s="29" t="s">
        <v>1658</v>
      </c>
      <c r="C22" s="29" t="s">
        <v>1651</v>
      </c>
      <c r="D22" s="34">
        <v>2210021</v>
      </c>
      <c r="E22" s="32"/>
      <c r="H22" s="32" t="s">
        <v>1554</v>
      </c>
      <c r="I22" s="83">
        <v>5</v>
      </c>
      <c r="J22" s="33"/>
      <c r="K22" s="142">
        <v>4</v>
      </c>
      <c r="N22" s="83">
        <v>4</v>
      </c>
      <c r="Q22" s="83">
        <v>4</v>
      </c>
      <c r="T22" s="83">
        <v>3</v>
      </c>
      <c r="U22" s="83">
        <v>15</v>
      </c>
    </row>
    <row r="23" spans="1:21" x14ac:dyDescent="0.25">
      <c r="A23" s="29"/>
      <c r="B23" s="29" t="s">
        <v>1577</v>
      </c>
      <c r="C23" s="29" t="s">
        <v>1578</v>
      </c>
      <c r="D23" s="30">
        <v>1161010</v>
      </c>
      <c r="E23" s="31"/>
      <c r="G23" s="24"/>
      <c r="H23" s="32" t="s">
        <v>1554</v>
      </c>
      <c r="I23" s="33"/>
      <c r="J23" s="33"/>
      <c r="K23" s="140">
        <v>12</v>
      </c>
      <c r="L23" s="33"/>
      <c r="M23" s="33"/>
      <c r="N23" s="33">
        <v>19</v>
      </c>
      <c r="O23" s="33"/>
      <c r="P23" s="33"/>
      <c r="Q23" s="33">
        <v>63</v>
      </c>
      <c r="R23" s="33"/>
      <c r="S23" s="33"/>
      <c r="T23" s="33">
        <v>57</v>
      </c>
      <c r="U23" s="24">
        <v>151</v>
      </c>
    </row>
    <row r="24" spans="1:21" x14ac:dyDescent="0.25">
      <c r="A24" s="29"/>
      <c r="B24" s="29" t="s">
        <v>1577</v>
      </c>
      <c r="C24" s="29" t="s">
        <v>1580</v>
      </c>
      <c r="D24" s="30">
        <v>1162010</v>
      </c>
      <c r="E24" s="32" t="s">
        <v>1570</v>
      </c>
      <c r="H24" s="32" t="s">
        <v>1554</v>
      </c>
      <c r="I24" s="83">
        <v>6</v>
      </c>
      <c r="J24" s="33"/>
      <c r="K24" s="141">
        <v>89</v>
      </c>
      <c r="N24" s="85">
        <v>1980</v>
      </c>
      <c r="Q24" s="85">
        <v>207</v>
      </c>
      <c r="T24" s="85">
        <v>0</v>
      </c>
      <c r="U24" s="85">
        <v>2276</v>
      </c>
    </row>
    <row r="25" spans="1:21" x14ac:dyDescent="0.25">
      <c r="A25" s="29"/>
      <c r="B25" s="29" t="s">
        <v>1582</v>
      </c>
      <c r="C25" s="29" t="s">
        <v>1583</v>
      </c>
      <c r="D25" s="30">
        <v>1162020</v>
      </c>
      <c r="E25" s="32"/>
      <c r="H25" s="32" t="s">
        <v>1554</v>
      </c>
      <c r="I25" s="83">
        <v>7</v>
      </c>
      <c r="J25" s="33"/>
      <c r="K25" s="142">
        <v>11</v>
      </c>
      <c r="N25" s="83">
        <v>13</v>
      </c>
      <c r="Q25" s="83">
        <v>10</v>
      </c>
      <c r="T25" s="83">
        <v>18</v>
      </c>
      <c r="U25" s="83">
        <v>76.650000000000006</v>
      </c>
    </row>
    <row r="26" spans="1:21" x14ac:dyDescent="0.25">
      <c r="A26" s="29"/>
      <c r="B26" s="29" t="s">
        <v>1585</v>
      </c>
      <c r="C26" s="29" t="s">
        <v>1586</v>
      </c>
      <c r="D26" s="30">
        <v>1160030</v>
      </c>
      <c r="E26" s="32"/>
      <c r="H26" s="32" t="s">
        <v>1554</v>
      </c>
      <c r="I26" s="83">
        <v>8</v>
      </c>
      <c r="J26" s="33"/>
      <c r="K26" s="142">
        <v>25</v>
      </c>
      <c r="N26" s="83">
        <v>31</v>
      </c>
      <c r="Q26" s="83">
        <v>28</v>
      </c>
      <c r="T26" s="83">
        <v>22</v>
      </c>
      <c r="U26" s="83">
        <v>106</v>
      </c>
    </row>
    <row r="27" spans="1:21" x14ac:dyDescent="0.25">
      <c r="A27" s="29"/>
      <c r="B27" s="29" t="s">
        <v>1588</v>
      </c>
      <c r="C27" s="29" t="s">
        <v>1589</v>
      </c>
      <c r="D27" s="30">
        <v>1161040</v>
      </c>
      <c r="E27" s="32"/>
      <c r="H27" s="32" t="s">
        <v>1554</v>
      </c>
      <c r="I27" s="83">
        <v>9</v>
      </c>
      <c r="J27" s="33"/>
      <c r="K27" s="142">
        <v>10</v>
      </c>
      <c r="N27" s="83">
        <v>32</v>
      </c>
      <c r="Q27" s="83">
        <v>9</v>
      </c>
      <c r="T27" s="83">
        <v>8</v>
      </c>
      <c r="U27" s="83">
        <v>76.650000000000006</v>
      </c>
    </row>
    <row r="28" spans="1:21" x14ac:dyDescent="0.25">
      <c r="A28" s="29"/>
      <c r="B28" s="29" t="s">
        <v>1591</v>
      </c>
      <c r="C28" s="29" t="s">
        <v>1592</v>
      </c>
      <c r="D28" s="30">
        <v>1161050</v>
      </c>
      <c r="E28" s="32"/>
      <c r="H28" s="32" t="s">
        <v>1554</v>
      </c>
      <c r="I28" s="83">
        <v>10</v>
      </c>
      <c r="J28" s="33"/>
      <c r="K28" s="142">
        <v>10</v>
      </c>
      <c r="N28" s="83">
        <v>9</v>
      </c>
      <c r="Q28" s="83">
        <v>5</v>
      </c>
      <c r="T28" s="83">
        <v>2</v>
      </c>
      <c r="U28" s="83">
        <v>76.650000000000006</v>
      </c>
    </row>
    <row r="29" spans="1:21" x14ac:dyDescent="0.25">
      <c r="A29" s="29"/>
      <c r="B29" s="29" t="s">
        <v>1594</v>
      </c>
      <c r="C29" s="29" t="s">
        <v>1595</v>
      </c>
      <c r="D29" s="30">
        <v>1160060</v>
      </c>
      <c r="E29" s="32"/>
      <c r="H29" s="32" t="s">
        <v>1554</v>
      </c>
      <c r="I29" s="83">
        <v>11</v>
      </c>
      <c r="J29" s="33"/>
      <c r="K29" s="142">
        <v>5</v>
      </c>
      <c r="N29" s="83">
        <v>5</v>
      </c>
      <c r="Q29" s="83">
        <v>6</v>
      </c>
      <c r="T29" s="83">
        <v>4</v>
      </c>
      <c r="U29" s="83">
        <v>76.650000000000006</v>
      </c>
    </row>
    <row r="30" spans="1:21" x14ac:dyDescent="0.25">
      <c r="A30" s="29"/>
      <c r="B30" s="29" t="s">
        <v>1597</v>
      </c>
      <c r="C30" s="29" t="s">
        <v>1598</v>
      </c>
      <c r="D30" s="30">
        <v>1162070</v>
      </c>
      <c r="E30" s="32"/>
      <c r="H30" s="32" t="s">
        <v>1554</v>
      </c>
      <c r="I30" s="83">
        <v>12</v>
      </c>
      <c r="J30" s="33"/>
      <c r="K30" s="142">
        <v>13</v>
      </c>
      <c r="N30" s="83">
        <v>17</v>
      </c>
      <c r="Q30" s="83">
        <v>11</v>
      </c>
      <c r="T30" s="83">
        <v>7</v>
      </c>
      <c r="U30" s="83">
        <v>76.650000000000006</v>
      </c>
    </row>
    <row r="31" spans="1:21" x14ac:dyDescent="0.25">
      <c r="A31" s="29"/>
      <c r="B31" s="29" t="s">
        <v>1600</v>
      </c>
      <c r="C31" s="29" t="s">
        <v>1601</v>
      </c>
      <c r="D31" s="30">
        <v>1162090</v>
      </c>
      <c r="E31" s="32"/>
      <c r="H31" s="32" t="s">
        <v>1554</v>
      </c>
      <c r="I31" s="83">
        <v>13</v>
      </c>
      <c r="J31" s="33"/>
      <c r="K31" s="142">
        <v>2</v>
      </c>
      <c r="N31" s="83">
        <v>2</v>
      </c>
      <c r="Q31" s="83">
        <v>2</v>
      </c>
      <c r="T31" s="83">
        <v>1</v>
      </c>
      <c r="U31" s="83">
        <v>76.650000000000006</v>
      </c>
    </row>
    <row r="32" spans="1:21" x14ac:dyDescent="0.25">
      <c r="A32" s="29"/>
      <c r="B32" s="29" t="s">
        <v>1603</v>
      </c>
      <c r="C32" s="29" t="s">
        <v>1604</v>
      </c>
      <c r="D32" s="30">
        <v>1160100</v>
      </c>
      <c r="E32" s="32"/>
      <c r="H32" s="32" t="s">
        <v>1554</v>
      </c>
      <c r="I32" s="83">
        <v>14</v>
      </c>
      <c r="J32" s="33"/>
      <c r="K32" s="142">
        <v>18</v>
      </c>
      <c r="N32" s="83">
        <v>17</v>
      </c>
      <c r="Q32" s="83">
        <v>18</v>
      </c>
      <c r="T32" s="83">
        <v>12</v>
      </c>
      <c r="U32" s="83">
        <v>76.650000000000006</v>
      </c>
    </row>
    <row r="33" spans="1:21" x14ac:dyDescent="0.25">
      <c r="A33" s="29"/>
      <c r="B33" s="29" t="s">
        <v>1606</v>
      </c>
      <c r="C33" s="29" t="s">
        <v>1607</v>
      </c>
      <c r="D33" s="34">
        <v>1170279</v>
      </c>
      <c r="E33" s="32"/>
      <c r="H33" s="32" t="s">
        <v>1554</v>
      </c>
      <c r="J33" s="33"/>
      <c r="K33" s="142">
        <v>197</v>
      </c>
      <c r="N33" s="83">
        <v>467</v>
      </c>
      <c r="Q33" s="83">
        <v>249</v>
      </c>
      <c r="T33" s="83">
        <v>191</v>
      </c>
      <c r="U33" s="83">
        <v>1104</v>
      </c>
    </row>
    <row r="34" spans="1:21" x14ac:dyDescent="0.25">
      <c r="A34" s="29"/>
      <c r="B34" s="29" t="s">
        <v>1606</v>
      </c>
      <c r="C34" s="29" t="s">
        <v>1607</v>
      </c>
      <c r="D34" s="34">
        <v>1170279</v>
      </c>
      <c r="E34" s="32" t="s">
        <v>1570</v>
      </c>
      <c r="H34" s="32" t="s">
        <v>1554</v>
      </c>
      <c r="J34" s="33"/>
      <c r="K34" s="142">
        <v>132</v>
      </c>
      <c r="N34" s="83">
        <v>229</v>
      </c>
      <c r="Q34" s="83">
        <v>377</v>
      </c>
      <c r="T34" s="83">
        <v>0</v>
      </c>
      <c r="U34" s="83">
        <v>738</v>
      </c>
    </row>
    <row r="35" spans="1:21" x14ac:dyDescent="0.25">
      <c r="A35" s="29"/>
      <c r="B35" s="29" t="s">
        <v>1606</v>
      </c>
      <c r="C35" s="29" t="s">
        <v>1607</v>
      </c>
      <c r="D35" s="34">
        <v>1170279</v>
      </c>
      <c r="E35" s="32"/>
      <c r="H35" s="32" t="s">
        <v>1554</v>
      </c>
      <c r="J35" s="33"/>
      <c r="K35" s="142">
        <v>526</v>
      </c>
      <c r="N35" s="83">
        <v>899</v>
      </c>
      <c r="Q35" s="83">
        <v>700</v>
      </c>
      <c r="T35" s="83">
        <v>103</v>
      </c>
      <c r="U35" s="83">
        <v>2228</v>
      </c>
    </row>
    <row r="36" spans="1:21" x14ac:dyDescent="0.25">
      <c r="A36" s="29"/>
      <c r="B36" s="29" t="s">
        <v>1606</v>
      </c>
      <c r="C36" s="29" t="s">
        <v>1607</v>
      </c>
      <c r="D36" s="34">
        <v>1170279</v>
      </c>
      <c r="E36" s="32"/>
      <c r="H36" s="32" t="s">
        <v>1554</v>
      </c>
      <c r="I36" s="83">
        <v>15</v>
      </c>
      <c r="J36" s="33"/>
      <c r="K36" s="142">
        <v>5</v>
      </c>
      <c r="N36" s="83">
        <v>36</v>
      </c>
      <c r="Q36" s="83">
        <v>18</v>
      </c>
      <c r="T36" s="83">
        <v>0</v>
      </c>
      <c r="U36" s="83">
        <v>59</v>
      </c>
    </row>
    <row r="37" spans="1:21" x14ac:dyDescent="0.25">
      <c r="A37" s="29"/>
      <c r="B37" s="29" t="s">
        <v>1611</v>
      </c>
      <c r="C37" s="29" t="s">
        <v>1612</v>
      </c>
      <c r="D37" s="34">
        <v>1170280</v>
      </c>
      <c r="E37" s="32"/>
      <c r="H37" s="32" t="s">
        <v>1554</v>
      </c>
      <c r="I37" s="83">
        <v>16</v>
      </c>
      <c r="J37" s="33"/>
      <c r="K37" s="142">
        <v>188</v>
      </c>
      <c r="N37" s="83">
        <v>157</v>
      </c>
      <c r="Q37" s="83">
        <v>152</v>
      </c>
      <c r="T37" s="83">
        <v>90</v>
      </c>
      <c r="U37" s="83">
        <v>587</v>
      </c>
    </row>
    <row r="38" spans="1:21" x14ac:dyDescent="0.25">
      <c r="A38" s="29"/>
      <c r="B38" s="29" t="s">
        <v>1614</v>
      </c>
      <c r="C38" s="29" t="s">
        <v>1615</v>
      </c>
      <c r="D38" s="34">
        <v>1240004</v>
      </c>
      <c r="E38" s="32"/>
      <c r="H38" s="32" t="s">
        <v>1554</v>
      </c>
      <c r="I38" s="83">
        <v>17</v>
      </c>
      <c r="J38" s="33"/>
      <c r="K38" s="142">
        <v>58</v>
      </c>
      <c r="N38" s="83">
        <v>97</v>
      </c>
      <c r="Q38" s="83">
        <v>70</v>
      </c>
      <c r="T38" s="83">
        <v>21</v>
      </c>
      <c r="U38" s="83">
        <v>246</v>
      </c>
    </row>
    <row r="39" spans="1:21" x14ac:dyDescent="0.25">
      <c r="A39" s="29"/>
      <c r="B39" s="29" t="s">
        <v>1617</v>
      </c>
      <c r="C39" s="29" t="s">
        <v>1618</v>
      </c>
      <c r="D39" s="34">
        <v>1300101</v>
      </c>
      <c r="E39" s="32"/>
      <c r="H39" s="32" t="s">
        <v>1554</v>
      </c>
      <c r="I39" s="83">
        <v>18</v>
      </c>
      <c r="J39" s="33"/>
      <c r="K39" s="142">
        <v>1131</v>
      </c>
      <c r="N39" s="83">
        <v>1398</v>
      </c>
      <c r="Q39" s="83">
        <v>1142</v>
      </c>
      <c r="T39" s="83">
        <v>833</v>
      </c>
      <c r="U39" s="83">
        <v>4504</v>
      </c>
    </row>
    <row r="40" spans="1:21" x14ac:dyDescent="0.25">
      <c r="A40" s="29"/>
      <c r="B40" s="29" t="s">
        <v>1623</v>
      </c>
      <c r="C40" s="29" t="s">
        <v>1624</v>
      </c>
      <c r="D40" s="24">
        <v>5980030</v>
      </c>
      <c r="E40" s="36"/>
      <c r="H40" s="32" t="s">
        <v>1625</v>
      </c>
      <c r="I40" s="83">
        <v>19</v>
      </c>
      <c r="J40" s="33"/>
      <c r="K40" s="142">
        <v>0</v>
      </c>
      <c r="N40" s="83">
        <v>0</v>
      </c>
      <c r="Q40" s="83">
        <v>0</v>
      </c>
      <c r="T40" s="83">
        <v>0</v>
      </c>
      <c r="U40" s="83">
        <v>76.650000000000006</v>
      </c>
    </row>
    <row r="41" spans="1:21" x14ac:dyDescent="0.25">
      <c r="A41" s="29"/>
      <c r="B41" s="29" t="s">
        <v>1630</v>
      </c>
      <c r="C41" s="29" t="s">
        <v>1627</v>
      </c>
      <c r="D41" s="24">
        <v>1610200</v>
      </c>
      <c r="H41" s="32" t="s">
        <v>1625</v>
      </c>
      <c r="I41" s="83">
        <v>20</v>
      </c>
      <c r="K41" s="83">
        <v>353</v>
      </c>
      <c r="N41" s="83">
        <v>310</v>
      </c>
      <c r="Q41" s="83">
        <v>215</v>
      </c>
      <c r="T41" s="83">
        <v>200</v>
      </c>
      <c r="U41" s="83">
        <v>1078</v>
      </c>
    </row>
    <row r="42" spans="1:21" x14ac:dyDescent="0.25">
      <c r="A42" s="29"/>
      <c r="B42" s="29" t="s">
        <v>1632</v>
      </c>
      <c r="C42" s="29" t="s">
        <v>1629</v>
      </c>
      <c r="D42" s="24">
        <v>1610150</v>
      </c>
      <c r="H42" s="32" t="s">
        <v>1625</v>
      </c>
      <c r="K42" s="85">
        <v>2</v>
      </c>
      <c r="N42" s="85">
        <v>1</v>
      </c>
      <c r="Q42" s="85">
        <v>0</v>
      </c>
      <c r="T42" s="85">
        <v>0</v>
      </c>
      <c r="U42" s="85">
        <v>3</v>
      </c>
    </row>
    <row r="43" spans="1:21" x14ac:dyDescent="0.25">
      <c r="A43" s="29"/>
      <c r="B43" s="29" t="s">
        <v>1632</v>
      </c>
      <c r="C43" s="29" t="s">
        <v>1631</v>
      </c>
      <c r="D43" s="24">
        <v>1610150</v>
      </c>
      <c r="H43" s="32" t="s">
        <v>1625</v>
      </c>
      <c r="K43" s="85">
        <v>1</v>
      </c>
      <c r="N43" s="85">
        <v>1</v>
      </c>
      <c r="Q43" s="85">
        <v>0</v>
      </c>
      <c r="T43" s="85">
        <v>0</v>
      </c>
      <c r="U43" s="85">
        <v>2</v>
      </c>
    </row>
    <row r="44" spans="1:21" x14ac:dyDescent="0.25">
      <c r="A44" s="29"/>
      <c r="B44" s="29" t="s">
        <v>1632</v>
      </c>
      <c r="C44" s="29" t="s">
        <v>1633</v>
      </c>
      <c r="D44" s="24">
        <v>1610150</v>
      </c>
      <c r="H44" s="32" t="s">
        <v>1625</v>
      </c>
      <c r="K44" s="85">
        <v>3</v>
      </c>
      <c r="N44" s="85">
        <v>7</v>
      </c>
      <c r="Q44" s="85">
        <v>0</v>
      </c>
      <c r="T44" s="85">
        <v>0</v>
      </c>
      <c r="U44" s="85">
        <v>10</v>
      </c>
    </row>
    <row r="45" spans="1:21" x14ac:dyDescent="0.25">
      <c r="A45" s="29"/>
      <c r="B45" s="29" t="s">
        <v>1632</v>
      </c>
      <c r="C45" s="29" t="s">
        <v>1634</v>
      </c>
      <c r="D45" s="24">
        <v>1610150</v>
      </c>
      <c r="H45" s="32" t="s">
        <v>1625</v>
      </c>
      <c r="K45" s="85">
        <v>60</v>
      </c>
      <c r="N45" s="85">
        <v>185</v>
      </c>
      <c r="Q45" s="85">
        <v>15</v>
      </c>
      <c r="T45" s="85">
        <v>0</v>
      </c>
      <c r="U45" s="85">
        <v>260</v>
      </c>
    </row>
    <row r="46" spans="1:21" x14ac:dyDescent="0.25">
      <c r="A46" s="29"/>
      <c r="B46" s="29" t="s">
        <v>1632</v>
      </c>
      <c r="C46" s="29" t="s">
        <v>1635</v>
      </c>
      <c r="D46" s="24">
        <v>1610150</v>
      </c>
      <c r="H46" s="32" t="s">
        <v>1625</v>
      </c>
      <c r="K46" s="85">
        <v>0</v>
      </c>
      <c r="N46" s="85">
        <v>0</v>
      </c>
      <c r="Q46" s="85">
        <v>0</v>
      </c>
      <c r="T46" s="85">
        <v>0</v>
      </c>
      <c r="U46" s="85">
        <v>0</v>
      </c>
    </row>
    <row r="47" spans="1:21" x14ac:dyDescent="0.25">
      <c r="A47" s="24"/>
      <c r="B47" s="29" t="s">
        <v>1632</v>
      </c>
      <c r="C47" s="29" t="s">
        <v>1636</v>
      </c>
      <c r="D47" s="24">
        <v>1610150</v>
      </c>
      <c r="H47" s="32" t="s">
        <v>1625</v>
      </c>
      <c r="K47" s="85">
        <v>28</v>
      </c>
      <c r="N47" s="85">
        <v>45</v>
      </c>
      <c r="Q47" s="85">
        <v>0</v>
      </c>
      <c r="T47" s="85">
        <v>0</v>
      </c>
      <c r="U47" s="85">
        <v>73</v>
      </c>
    </row>
    <row r="48" spans="1:21" x14ac:dyDescent="0.25">
      <c r="A48" s="29"/>
      <c r="B48" s="29" t="s">
        <v>1632</v>
      </c>
      <c r="C48" s="29" t="s">
        <v>1637</v>
      </c>
      <c r="D48" s="24">
        <v>1610150</v>
      </c>
      <c r="H48" s="32" t="s">
        <v>1625</v>
      </c>
      <c r="K48" s="83">
        <v>37</v>
      </c>
      <c r="N48" s="83">
        <v>27</v>
      </c>
      <c r="Q48" s="83">
        <v>0</v>
      </c>
      <c r="T48" s="83">
        <v>1</v>
      </c>
      <c r="U48" s="83">
        <v>65</v>
      </c>
    </row>
    <row r="49" spans="1:21" x14ac:dyDescent="0.25">
      <c r="A49" s="29"/>
      <c r="B49" s="29" t="s">
        <v>1632</v>
      </c>
      <c r="C49" s="29" t="s">
        <v>1638</v>
      </c>
      <c r="D49" s="24">
        <v>1610150</v>
      </c>
      <c r="H49" s="32" t="s">
        <v>1625</v>
      </c>
      <c r="K49" s="83">
        <v>237</v>
      </c>
      <c r="N49" s="83">
        <v>209</v>
      </c>
      <c r="Q49" s="83">
        <v>127</v>
      </c>
      <c r="T49" s="83">
        <v>127</v>
      </c>
      <c r="U49" s="83">
        <v>700</v>
      </c>
    </row>
    <row r="50" spans="1:21" x14ac:dyDescent="0.25">
      <c r="A50" s="24"/>
      <c r="B50" s="29" t="s">
        <v>1632</v>
      </c>
      <c r="C50" s="29" t="s">
        <v>1274</v>
      </c>
      <c r="D50" s="24">
        <v>1610150</v>
      </c>
      <c r="H50" s="32" t="s">
        <v>1625</v>
      </c>
      <c r="I50" s="83">
        <v>21</v>
      </c>
      <c r="K50" s="83">
        <v>0</v>
      </c>
      <c r="N50" s="83">
        <v>2</v>
      </c>
      <c r="Q50" s="83">
        <v>0</v>
      </c>
      <c r="T50" s="83">
        <v>0</v>
      </c>
      <c r="U50" s="83">
        <v>2</v>
      </c>
    </row>
    <row r="51" spans="1:21" x14ac:dyDescent="0.25">
      <c r="A51" s="24"/>
      <c r="B51" s="34" t="s">
        <v>2254</v>
      </c>
      <c r="C51" s="29" t="s">
        <v>2056</v>
      </c>
      <c r="D51" s="34">
        <v>1780003</v>
      </c>
      <c r="H51" s="83" t="s">
        <v>1554</v>
      </c>
      <c r="I51" s="83">
        <v>22</v>
      </c>
      <c r="K51" s="83"/>
      <c r="U51" s="83">
        <v>400</v>
      </c>
    </row>
    <row r="52" spans="1:21" x14ac:dyDescent="0.25">
      <c r="A52" s="24"/>
      <c r="B52" s="29" t="s">
        <v>1660</v>
      </c>
      <c r="C52" s="29" t="s">
        <v>1668</v>
      </c>
      <c r="D52" s="34">
        <v>1830005</v>
      </c>
      <c r="E52" s="84"/>
      <c r="H52" s="83" t="s">
        <v>1554</v>
      </c>
      <c r="I52" s="83">
        <v>23</v>
      </c>
      <c r="K52" s="83">
        <v>8</v>
      </c>
      <c r="N52" s="83">
        <v>35</v>
      </c>
      <c r="Q52" s="83">
        <v>13</v>
      </c>
      <c r="T52" s="83">
        <v>2</v>
      </c>
      <c r="U52" s="83">
        <v>76.650000000000006</v>
      </c>
    </row>
    <row r="53" spans="1:21" x14ac:dyDescent="0.25">
      <c r="B53" s="29" t="s">
        <v>2255</v>
      </c>
      <c r="C53" s="29" t="s">
        <v>1666</v>
      </c>
      <c r="D53" s="34">
        <v>1830050</v>
      </c>
      <c r="E53" s="84"/>
      <c r="H53" s="83" t="s">
        <v>1554</v>
      </c>
      <c r="K53" s="83">
        <v>1</v>
      </c>
      <c r="N53" s="83">
        <v>11</v>
      </c>
      <c r="Q53" s="83">
        <v>0</v>
      </c>
      <c r="T53" s="83">
        <v>0</v>
      </c>
      <c r="U53" s="83">
        <v>12</v>
      </c>
    </row>
    <row r="54" spans="1:21" x14ac:dyDescent="0.25">
      <c r="B54" s="29" t="s">
        <v>2255</v>
      </c>
      <c r="C54" s="29" t="s">
        <v>1667</v>
      </c>
      <c r="D54" s="34">
        <v>1830050</v>
      </c>
      <c r="E54" s="84"/>
      <c r="H54" s="83" t="s">
        <v>1554</v>
      </c>
      <c r="K54" s="83">
        <v>2</v>
      </c>
      <c r="N54" s="83">
        <v>12</v>
      </c>
      <c r="Q54" s="83">
        <v>0</v>
      </c>
      <c r="T54" s="83">
        <v>0</v>
      </c>
      <c r="U54" s="83">
        <v>14</v>
      </c>
    </row>
    <row r="55" spans="1:21" x14ac:dyDescent="0.25">
      <c r="A55" s="24"/>
      <c r="B55" s="29" t="s">
        <v>2255</v>
      </c>
      <c r="C55" s="29" t="s">
        <v>1661</v>
      </c>
      <c r="D55" s="34">
        <v>1830050</v>
      </c>
      <c r="E55" s="84"/>
      <c r="H55" s="83" t="s">
        <v>1554</v>
      </c>
      <c r="K55" s="83">
        <v>0</v>
      </c>
      <c r="N55" s="83">
        <v>0</v>
      </c>
      <c r="Q55" s="83">
        <v>81</v>
      </c>
      <c r="T55" s="83">
        <v>6</v>
      </c>
      <c r="U55" s="83">
        <v>87</v>
      </c>
    </row>
    <row r="56" spans="1:21" x14ac:dyDescent="0.25">
      <c r="A56" s="24"/>
      <c r="B56" s="29" t="s">
        <v>2255</v>
      </c>
      <c r="C56" s="29" t="s">
        <v>1661</v>
      </c>
      <c r="D56" s="34">
        <v>1830050</v>
      </c>
      <c r="E56" s="32"/>
      <c r="H56" s="83" t="s">
        <v>1554</v>
      </c>
      <c r="K56" s="83">
        <v>410</v>
      </c>
      <c r="N56" s="83">
        <v>243</v>
      </c>
      <c r="Q56" s="83">
        <v>0</v>
      </c>
      <c r="T56" s="83">
        <v>0</v>
      </c>
      <c r="U56" s="83">
        <v>653</v>
      </c>
    </row>
    <row r="57" spans="1:21" x14ac:dyDescent="0.25">
      <c r="B57" s="29" t="s">
        <v>2255</v>
      </c>
      <c r="C57" s="29" t="s">
        <v>1026</v>
      </c>
      <c r="D57" s="83">
        <v>1830050</v>
      </c>
      <c r="E57" s="84"/>
      <c r="H57" s="83" t="s">
        <v>1554</v>
      </c>
      <c r="K57" s="83">
        <v>52</v>
      </c>
      <c r="N57" s="83">
        <v>1359</v>
      </c>
      <c r="Q57" s="83">
        <v>771</v>
      </c>
      <c r="T57" s="83">
        <v>0</v>
      </c>
      <c r="U57" s="83">
        <v>2182</v>
      </c>
    </row>
    <row r="58" spans="1:21" x14ac:dyDescent="0.25">
      <c r="B58" s="29" t="s">
        <v>2255</v>
      </c>
      <c r="C58" s="29" t="s">
        <v>1026</v>
      </c>
      <c r="D58" s="83">
        <v>1830050</v>
      </c>
      <c r="E58" s="84"/>
      <c r="H58" s="83" t="s">
        <v>1554</v>
      </c>
      <c r="K58" s="83">
        <v>0</v>
      </c>
      <c r="N58" s="83">
        <v>0</v>
      </c>
      <c r="Q58" s="83">
        <v>1</v>
      </c>
      <c r="T58" s="83">
        <v>0</v>
      </c>
      <c r="U58" s="83">
        <v>1</v>
      </c>
    </row>
    <row r="59" spans="1:21" x14ac:dyDescent="0.25">
      <c r="B59" s="29" t="s">
        <v>2255</v>
      </c>
      <c r="C59" s="29" t="s">
        <v>1029</v>
      </c>
      <c r="D59" s="83">
        <v>1830050</v>
      </c>
      <c r="E59" s="84"/>
      <c r="H59" s="83" t="s">
        <v>1554</v>
      </c>
      <c r="I59" s="83">
        <v>24</v>
      </c>
      <c r="K59" s="83">
        <v>1</v>
      </c>
      <c r="N59" s="83">
        <v>1</v>
      </c>
      <c r="Q59" s="83">
        <v>0</v>
      </c>
      <c r="T59" s="83">
        <v>0</v>
      </c>
      <c r="U59" s="83">
        <v>2</v>
      </c>
    </row>
    <row r="60" spans="1:21" x14ac:dyDescent="0.25">
      <c r="A60" s="29"/>
      <c r="B60" s="29" t="s">
        <v>1671</v>
      </c>
      <c r="C60" s="29" t="s">
        <v>1670</v>
      </c>
      <c r="D60" s="34">
        <v>1940160</v>
      </c>
      <c r="E60" s="32"/>
      <c r="H60" s="83" t="s">
        <v>1554</v>
      </c>
      <c r="I60" s="83">
        <v>25</v>
      </c>
      <c r="K60" s="83">
        <v>183</v>
      </c>
      <c r="N60" s="83">
        <v>464</v>
      </c>
      <c r="Q60" s="83">
        <v>631</v>
      </c>
      <c r="T60" s="83">
        <v>186</v>
      </c>
      <c r="U60" s="83">
        <v>1464</v>
      </c>
    </row>
    <row r="61" spans="1:21" x14ac:dyDescent="0.25">
      <c r="A61" s="29"/>
      <c r="B61" s="29" t="s">
        <v>1674</v>
      </c>
      <c r="C61" s="29" t="s">
        <v>1673</v>
      </c>
      <c r="D61" s="34">
        <v>1940301</v>
      </c>
      <c r="E61" s="32"/>
      <c r="H61" s="83" t="s">
        <v>1554</v>
      </c>
      <c r="K61" s="83">
        <v>153</v>
      </c>
      <c r="N61" s="83">
        <v>292</v>
      </c>
      <c r="Q61" s="83">
        <v>71</v>
      </c>
      <c r="T61" s="83">
        <v>0</v>
      </c>
      <c r="U61" s="83">
        <v>516</v>
      </c>
    </row>
    <row r="62" spans="1:21" x14ac:dyDescent="0.25">
      <c r="A62" s="29"/>
      <c r="B62" s="29" t="s">
        <v>1676</v>
      </c>
      <c r="C62" s="29" t="s">
        <v>1673</v>
      </c>
      <c r="D62" s="34">
        <v>1940301</v>
      </c>
      <c r="E62" s="32" t="s">
        <v>1570</v>
      </c>
      <c r="H62" s="83" t="s">
        <v>1554</v>
      </c>
      <c r="K62" s="83">
        <v>167</v>
      </c>
      <c r="N62" s="83">
        <v>305</v>
      </c>
      <c r="Q62" s="83">
        <v>81</v>
      </c>
      <c r="T62" s="83">
        <v>12</v>
      </c>
      <c r="U62" s="83">
        <v>565</v>
      </c>
    </row>
    <row r="63" spans="1:21" x14ac:dyDescent="0.25">
      <c r="B63" s="29" t="s">
        <v>2256</v>
      </c>
      <c r="C63" s="29" t="s">
        <v>2257</v>
      </c>
      <c r="D63" s="34">
        <v>1940301</v>
      </c>
      <c r="E63" s="32"/>
      <c r="H63" s="83" t="s">
        <v>1554</v>
      </c>
      <c r="I63" s="83">
        <v>26</v>
      </c>
      <c r="K63" s="83">
        <v>13</v>
      </c>
      <c r="N63" s="83">
        <v>15</v>
      </c>
      <c r="Q63" s="83">
        <v>15</v>
      </c>
      <c r="T63" s="83">
        <v>12</v>
      </c>
      <c r="U63" s="83">
        <v>55</v>
      </c>
    </row>
    <row r="64" spans="1:21" x14ac:dyDescent="0.25">
      <c r="A64" s="29"/>
      <c r="B64" s="29" t="s">
        <v>1678</v>
      </c>
      <c r="C64" s="29" t="s">
        <v>1677</v>
      </c>
      <c r="D64" s="34">
        <v>2020022</v>
      </c>
      <c r="E64" s="32"/>
      <c r="H64" s="83" t="s">
        <v>1554</v>
      </c>
      <c r="I64" s="83">
        <v>27</v>
      </c>
      <c r="K64" s="83">
        <v>9</v>
      </c>
      <c r="N64" s="83">
        <v>7</v>
      </c>
      <c r="Q64" s="83">
        <v>6</v>
      </c>
      <c r="T64" s="83">
        <v>6</v>
      </c>
      <c r="U64" s="83">
        <v>28</v>
      </c>
    </row>
    <row r="65" spans="1:21" x14ac:dyDescent="0.25">
      <c r="A65" s="29"/>
      <c r="B65" s="29" t="s">
        <v>1681</v>
      </c>
      <c r="C65" s="29" t="s">
        <v>1680</v>
      </c>
      <c r="D65" s="34">
        <v>2020027</v>
      </c>
      <c r="E65" s="32"/>
      <c r="H65" s="83" t="s">
        <v>1554</v>
      </c>
      <c r="K65" s="83">
        <v>4</v>
      </c>
      <c r="N65" s="83">
        <v>36</v>
      </c>
      <c r="Q65" s="83">
        <v>1</v>
      </c>
      <c r="T65" s="83">
        <v>0</v>
      </c>
      <c r="U65" s="83">
        <v>41</v>
      </c>
    </row>
    <row r="66" spans="1:21" x14ac:dyDescent="0.25">
      <c r="A66" s="29"/>
      <c r="B66" s="29" t="s">
        <v>1683</v>
      </c>
      <c r="C66" s="29" t="s">
        <v>1680</v>
      </c>
      <c r="D66" s="34">
        <v>2020027</v>
      </c>
      <c r="E66" s="32" t="s">
        <v>1570</v>
      </c>
      <c r="H66" s="83" t="s">
        <v>1554</v>
      </c>
      <c r="K66" s="83">
        <v>7</v>
      </c>
      <c r="N66" s="83">
        <v>39</v>
      </c>
      <c r="Q66" s="83">
        <v>5</v>
      </c>
      <c r="T66" s="83">
        <v>4</v>
      </c>
      <c r="U66" s="83">
        <v>55</v>
      </c>
    </row>
    <row r="67" spans="1:21" x14ac:dyDescent="0.25">
      <c r="A67" s="29"/>
      <c r="B67" s="29" t="s">
        <v>1686</v>
      </c>
      <c r="C67" s="29" t="s">
        <v>1685</v>
      </c>
      <c r="D67" s="34">
        <v>2020027</v>
      </c>
      <c r="E67" s="32"/>
      <c r="H67" s="83" t="s">
        <v>1554</v>
      </c>
      <c r="K67" s="83">
        <v>7</v>
      </c>
      <c r="N67" s="83">
        <v>53</v>
      </c>
      <c r="Q67" s="83">
        <v>50</v>
      </c>
      <c r="T67" s="83">
        <v>20</v>
      </c>
      <c r="U67" s="83">
        <v>130</v>
      </c>
    </row>
    <row r="68" spans="1:21" x14ac:dyDescent="0.25">
      <c r="A68" s="29"/>
      <c r="B68" s="29" t="s">
        <v>1688</v>
      </c>
      <c r="C68" s="29" t="s">
        <v>1685</v>
      </c>
      <c r="D68" s="34">
        <v>2020027</v>
      </c>
      <c r="E68" s="32"/>
      <c r="H68" s="83" t="s">
        <v>1554</v>
      </c>
      <c r="K68" s="83">
        <v>4</v>
      </c>
      <c r="N68" s="83">
        <v>2</v>
      </c>
      <c r="Q68" s="83">
        <v>11</v>
      </c>
      <c r="T68" s="83">
        <v>28</v>
      </c>
      <c r="U68" s="83">
        <v>45</v>
      </c>
    </row>
    <row r="69" spans="1:21" x14ac:dyDescent="0.25">
      <c r="A69" s="29"/>
      <c r="B69" s="29" t="s">
        <v>1690</v>
      </c>
      <c r="C69" s="29" t="s">
        <v>1685</v>
      </c>
      <c r="D69" s="34">
        <v>2020027</v>
      </c>
      <c r="E69" s="32" t="s">
        <v>1570</v>
      </c>
      <c r="H69" s="83" t="s">
        <v>1554</v>
      </c>
      <c r="I69" s="83">
        <v>28</v>
      </c>
      <c r="K69" s="83">
        <v>37</v>
      </c>
      <c r="N69" s="83">
        <v>32</v>
      </c>
      <c r="Q69" s="83">
        <v>12</v>
      </c>
      <c r="T69" s="83">
        <v>0</v>
      </c>
      <c r="U69" s="83">
        <v>81</v>
      </c>
    </row>
    <row r="70" spans="1:21" x14ac:dyDescent="0.25">
      <c r="A70" s="29"/>
      <c r="B70" s="29" t="s">
        <v>1693</v>
      </c>
      <c r="C70" s="29" t="s">
        <v>1692</v>
      </c>
      <c r="D70" s="34">
        <v>2020034</v>
      </c>
      <c r="E70" s="32"/>
      <c r="H70" s="83" t="s">
        <v>1554</v>
      </c>
      <c r="I70" s="83">
        <v>29</v>
      </c>
      <c r="K70" s="83">
        <v>99</v>
      </c>
      <c r="N70" s="83">
        <v>118</v>
      </c>
      <c r="Q70" s="83">
        <v>100</v>
      </c>
      <c r="T70" s="83">
        <v>85</v>
      </c>
      <c r="U70" s="83">
        <v>402</v>
      </c>
    </row>
    <row r="71" spans="1:21" x14ac:dyDescent="0.25">
      <c r="A71" s="29"/>
      <c r="B71" s="29" t="s">
        <v>1696</v>
      </c>
      <c r="C71" s="29" t="s">
        <v>1695</v>
      </c>
      <c r="D71" s="34">
        <v>2020040</v>
      </c>
      <c r="E71" s="32"/>
      <c r="H71" s="83" t="s">
        <v>1554</v>
      </c>
      <c r="I71" s="83">
        <v>30</v>
      </c>
      <c r="K71" s="83">
        <v>75</v>
      </c>
      <c r="N71" s="83">
        <v>110</v>
      </c>
      <c r="Q71" s="83">
        <v>96</v>
      </c>
      <c r="T71" s="83">
        <v>82</v>
      </c>
      <c r="U71" s="83">
        <v>363</v>
      </c>
    </row>
    <row r="72" spans="1:21" x14ac:dyDescent="0.25">
      <c r="A72" s="29"/>
      <c r="B72" s="29" t="s">
        <v>1699</v>
      </c>
      <c r="C72" s="29" t="s">
        <v>1698</v>
      </c>
      <c r="D72" s="34">
        <v>2020044</v>
      </c>
      <c r="E72" s="32"/>
      <c r="H72" s="83" t="s">
        <v>1554</v>
      </c>
      <c r="I72" s="83">
        <v>31</v>
      </c>
      <c r="K72" s="83">
        <v>149</v>
      </c>
      <c r="N72" s="83">
        <v>211</v>
      </c>
      <c r="Q72" s="83">
        <v>219</v>
      </c>
      <c r="T72" s="83">
        <v>127</v>
      </c>
      <c r="U72" s="83">
        <v>706</v>
      </c>
    </row>
    <row r="73" spans="1:21" x14ac:dyDescent="0.25">
      <c r="B73" s="29" t="s">
        <v>1717</v>
      </c>
      <c r="C73" s="29" t="s">
        <v>1415</v>
      </c>
      <c r="D73" s="34">
        <v>2030055</v>
      </c>
      <c r="H73" s="83" t="s">
        <v>1554</v>
      </c>
      <c r="I73" s="83">
        <v>32</v>
      </c>
      <c r="U73" s="83">
        <v>1091</v>
      </c>
    </row>
    <row r="74" spans="1:21" x14ac:dyDescent="0.25">
      <c r="B74" s="34" t="s">
        <v>2258</v>
      </c>
      <c r="C74" s="29" t="s">
        <v>893</v>
      </c>
      <c r="D74" s="34">
        <v>2030060</v>
      </c>
      <c r="H74" s="83" t="s">
        <v>1554</v>
      </c>
      <c r="I74" s="83">
        <v>33</v>
      </c>
      <c r="K74" s="142">
        <v>1</v>
      </c>
      <c r="N74" s="83">
        <v>1</v>
      </c>
      <c r="Q74" s="83">
        <v>1</v>
      </c>
      <c r="T74" s="83">
        <v>1</v>
      </c>
      <c r="U74" s="83">
        <v>76.650000000000006</v>
      </c>
    </row>
    <row r="75" spans="1:21" x14ac:dyDescent="0.25">
      <c r="A75" s="29"/>
      <c r="B75" s="29" t="s">
        <v>1702</v>
      </c>
      <c r="C75" s="29" t="s">
        <v>1701</v>
      </c>
      <c r="D75" s="34">
        <v>2030080</v>
      </c>
      <c r="H75" s="83" t="s">
        <v>1554</v>
      </c>
      <c r="I75" s="83">
        <v>34</v>
      </c>
      <c r="U75" s="83">
        <v>781</v>
      </c>
    </row>
    <row r="76" spans="1:21" x14ac:dyDescent="0.25">
      <c r="A76" s="29"/>
      <c r="B76" s="29" t="s">
        <v>1705</v>
      </c>
      <c r="C76" s="29" t="s">
        <v>1704</v>
      </c>
      <c r="D76" s="34">
        <v>2030105</v>
      </c>
      <c r="H76" s="83" t="s">
        <v>1554</v>
      </c>
      <c r="I76" s="83">
        <v>35</v>
      </c>
      <c r="U76" s="83">
        <v>161</v>
      </c>
    </row>
    <row r="77" spans="1:21" x14ac:dyDescent="0.25">
      <c r="A77" s="29"/>
      <c r="B77" s="29" t="s">
        <v>1708</v>
      </c>
      <c r="C77" s="29" t="s">
        <v>1707</v>
      </c>
      <c r="D77" s="34">
        <v>2030120</v>
      </c>
      <c r="H77" s="83" t="s">
        <v>1554</v>
      </c>
      <c r="I77" s="83">
        <v>36</v>
      </c>
      <c r="K77" s="83"/>
      <c r="U77" s="83">
        <v>2888</v>
      </c>
    </row>
    <row r="78" spans="1:21" x14ac:dyDescent="0.25">
      <c r="B78" s="29" t="s">
        <v>1715</v>
      </c>
      <c r="C78" s="29" t="s">
        <v>1714</v>
      </c>
      <c r="D78" s="34">
        <v>2030135</v>
      </c>
      <c r="H78" s="83" t="s">
        <v>1554</v>
      </c>
      <c r="I78" s="83">
        <v>37</v>
      </c>
      <c r="K78" s="83">
        <v>16</v>
      </c>
      <c r="N78" s="83">
        <v>4</v>
      </c>
      <c r="Q78" s="83">
        <v>16</v>
      </c>
      <c r="T78" s="83">
        <v>10</v>
      </c>
      <c r="U78" s="83">
        <v>76.650000000000006</v>
      </c>
    </row>
    <row r="79" spans="1:21" x14ac:dyDescent="0.25">
      <c r="B79" s="29" t="s">
        <v>1722</v>
      </c>
      <c r="C79" s="29" t="s">
        <v>1721</v>
      </c>
      <c r="D79" s="34">
        <v>2140001</v>
      </c>
      <c r="H79" s="83" t="s">
        <v>1554</v>
      </c>
      <c r="K79" s="83">
        <v>368</v>
      </c>
      <c r="N79" s="83">
        <v>373</v>
      </c>
      <c r="Q79" s="83">
        <v>273</v>
      </c>
      <c r="T79" s="83">
        <v>193</v>
      </c>
      <c r="U79" s="83">
        <v>1207</v>
      </c>
    </row>
    <row r="80" spans="1:21" x14ac:dyDescent="0.25">
      <c r="B80" s="29" t="s">
        <v>1724</v>
      </c>
      <c r="C80" s="29" t="s">
        <v>1723</v>
      </c>
      <c r="D80" s="34">
        <v>2140001</v>
      </c>
      <c r="H80" s="83" t="s">
        <v>1554</v>
      </c>
      <c r="K80" s="83">
        <v>3</v>
      </c>
      <c r="N80" s="83">
        <v>3</v>
      </c>
      <c r="Q80" s="83">
        <v>3</v>
      </c>
      <c r="T80" s="83">
        <v>3</v>
      </c>
      <c r="U80" s="83">
        <v>12</v>
      </c>
    </row>
    <row r="81" spans="1:21" x14ac:dyDescent="0.25">
      <c r="B81" s="29" t="s">
        <v>1727</v>
      </c>
      <c r="C81" s="29" t="s">
        <v>1726</v>
      </c>
      <c r="D81" s="34">
        <v>2140001</v>
      </c>
      <c r="H81" s="83" t="s">
        <v>1554</v>
      </c>
      <c r="K81" s="83">
        <v>0</v>
      </c>
      <c r="N81" s="83">
        <v>1</v>
      </c>
      <c r="Q81" s="83">
        <v>0</v>
      </c>
      <c r="T81" s="83">
        <v>1</v>
      </c>
      <c r="U81" s="83">
        <v>2</v>
      </c>
    </row>
    <row r="82" spans="1:21" x14ac:dyDescent="0.25">
      <c r="B82" s="29" t="s">
        <v>1727</v>
      </c>
      <c r="C82" s="29" t="s">
        <v>1729</v>
      </c>
      <c r="D82" s="34">
        <v>2140001</v>
      </c>
      <c r="H82" s="83" t="s">
        <v>1554</v>
      </c>
      <c r="K82" s="83">
        <v>2</v>
      </c>
      <c r="N82" s="83">
        <v>3</v>
      </c>
      <c r="Q82" s="83">
        <v>2</v>
      </c>
      <c r="T82" s="83">
        <v>1</v>
      </c>
      <c r="U82" s="83">
        <v>8</v>
      </c>
    </row>
    <row r="83" spans="1:21" x14ac:dyDescent="0.25">
      <c r="B83" s="29" t="s">
        <v>1727</v>
      </c>
      <c r="C83" s="29" t="s">
        <v>1731</v>
      </c>
      <c r="D83" s="34">
        <v>2140001</v>
      </c>
      <c r="H83" s="83" t="s">
        <v>1554</v>
      </c>
      <c r="K83" s="83">
        <v>10</v>
      </c>
      <c r="N83" s="83">
        <v>13</v>
      </c>
      <c r="Q83" s="83">
        <v>13</v>
      </c>
      <c r="T83" s="83">
        <v>5</v>
      </c>
      <c r="U83" s="83">
        <v>41</v>
      </c>
    </row>
    <row r="84" spans="1:21" x14ac:dyDescent="0.25">
      <c r="B84" s="29" t="s">
        <v>1727</v>
      </c>
      <c r="C84" s="29" t="s">
        <v>1733</v>
      </c>
      <c r="D84" s="34">
        <v>2140001</v>
      </c>
      <c r="H84" s="83" t="s">
        <v>1554</v>
      </c>
      <c r="K84" s="83">
        <v>2</v>
      </c>
      <c r="N84" s="83">
        <v>1</v>
      </c>
      <c r="Q84" s="83">
        <v>2</v>
      </c>
      <c r="T84" s="83">
        <v>2</v>
      </c>
      <c r="U84" s="83">
        <v>7</v>
      </c>
    </row>
    <row r="85" spans="1:21" x14ac:dyDescent="0.25">
      <c r="B85" s="29" t="s">
        <v>1727</v>
      </c>
      <c r="C85" s="29" t="s">
        <v>1735</v>
      </c>
      <c r="D85" s="34">
        <v>2140001</v>
      </c>
      <c r="H85" s="83" t="s">
        <v>1554</v>
      </c>
      <c r="I85" s="83">
        <v>38</v>
      </c>
      <c r="K85" s="83">
        <v>0</v>
      </c>
      <c r="N85" s="83">
        <v>0</v>
      </c>
      <c r="Q85" s="83">
        <v>0</v>
      </c>
      <c r="T85" s="83">
        <v>1</v>
      </c>
      <c r="U85" s="83">
        <v>1</v>
      </c>
    </row>
    <row r="86" spans="1:21" x14ac:dyDescent="0.25">
      <c r="B86" s="29" t="s">
        <v>1727</v>
      </c>
      <c r="C86" s="29" t="s">
        <v>1737</v>
      </c>
      <c r="D86" s="34">
        <v>2140033</v>
      </c>
      <c r="H86" s="83" t="s">
        <v>1554</v>
      </c>
      <c r="K86" s="83">
        <v>2</v>
      </c>
      <c r="N86" s="83">
        <v>1</v>
      </c>
      <c r="Q86" s="83">
        <v>0</v>
      </c>
      <c r="T86" s="83">
        <v>1</v>
      </c>
      <c r="U86" s="83">
        <v>4</v>
      </c>
    </row>
    <row r="87" spans="1:21" x14ac:dyDescent="0.25">
      <c r="B87" s="29" t="s">
        <v>1727</v>
      </c>
      <c r="C87" s="29" t="s">
        <v>1739</v>
      </c>
      <c r="D87" s="34">
        <v>2140033</v>
      </c>
      <c r="H87" s="83" t="s">
        <v>1554</v>
      </c>
      <c r="K87" s="83">
        <v>22</v>
      </c>
      <c r="N87" s="83">
        <v>13</v>
      </c>
      <c r="Q87" s="83">
        <v>5</v>
      </c>
      <c r="T87" s="83">
        <v>5</v>
      </c>
      <c r="U87" s="83">
        <v>45</v>
      </c>
    </row>
    <row r="88" spans="1:21" x14ac:dyDescent="0.25">
      <c r="B88" s="29" t="s">
        <v>1727</v>
      </c>
      <c r="C88" s="29" t="s">
        <v>1741</v>
      </c>
      <c r="D88" s="34">
        <v>2140033</v>
      </c>
      <c r="H88" s="83" t="s">
        <v>1554</v>
      </c>
      <c r="K88" s="83">
        <v>11</v>
      </c>
      <c r="N88" s="83">
        <v>15</v>
      </c>
      <c r="Q88" s="83">
        <v>12</v>
      </c>
      <c r="T88" s="83">
        <v>12</v>
      </c>
      <c r="U88" s="83">
        <v>50</v>
      </c>
    </row>
    <row r="89" spans="1:21" x14ac:dyDescent="0.25">
      <c r="B89" s="29" t="s">
        <v>1727</v>
      </c>
      <c r="C89" s="29" t="s">
        <v>1743</v>
      </c>
      <c r="D89" s="34">
        <v>2140033</v>
      </c>
      <c r="H89" s="83" t="s">
        <v>1554</v>
      </c>
      <c r="K89" s="83">
        <v>85</v>
      </c>
      <c r="N89" s="83">
        <v>36</v>
      </c>
      <c r="Q89" s="83">
        <v>28</v>
      </c>
      <c r="T89" s="83">
        <v>26</v>
      </c>
      <c r="U89" s="83">
        <v>175</v>
      </c>
    </row>
    <row r="90" spans="1:21" x14ac:dyDescent="0.25">
      <c r="B90" s="29" t="s">
        <v>1727</v>
      </c>
      <c r="C90" s="29" t="s">
        <v>1745</v>
      </c>
      <c r="D90" s="34">
        <v>2140033</v>
      </c>
      <c r="H90" s="83" t="s">
        <v>1554</v>
      </c>
      <c r="K90" s="83">
        <v>21</v>
      </c>
      <c r="N90" s="83">
        <v>33</v>
      </c>
      <c r="Q90" s="83">
        <v>20</v>
      </c>
      <c r="T90" s="83">
        <v>11</v>
      </c>
      <c r="U90" s="83">
        <v>85</v>
      </c>
    </row>
    <row r="91" spans="1:21" x14ac:dyDescent="0.25">
      <c r="B91" s="29" t="s">
        <v>1727</v>
      </c>
      <c r="C91" s="29" t="s">
        <v>1747</v>
      </c>
      <c r="D91" s="34">
        <v>2140033</v>
      </c>
      <c r="H91" s="83" t="s">
        <v>1554</v>
      </c>
      <c r="K91" s="83">
        <v>483</v>
      </c>
      <c r="N91" s="83">
        <v>0</v>
      </c>
      <c r="Q91" s="83">
        <v>87</v>
      </c>
      <c r="T91" s="83">
        <v>86</v>
      </c>
      <c r="U91" s="83">
        <v>656</v>
      </c>
    </row>
    <row r="92" spans="1:21" x14ac:dyDescent="0.25">
      <c r="B92" s="29" t="s">
        <v>1727</v>
      </c>
      <c r="C92" s="29" t="s">
        <v>1749</v>
      </c>
      <c r="D92" s="34">
        <v>2140033</v>
      </c>
      <c r="H92" s="83" t="s">
        <v>1554</v>
      </c>
      <c r="K92" s="83">
        <v>22</v>
      </c>
      <c r="N92" s="83">
        <v>32</v>
      </c>
      <c r="Q92" s="83">
        <v>35</v>
      </c>
      <c r="T92" s="83">
        <v>41</v>
      </c>
      <c r="U92" s="83">
        <v>130</v>
      </c>
    </row>
    <row r="93" spans="1:21" x14ac:dyDescent="0.25">
      <c r="B93" s="29" t="s">
        <v>1727</v>
      </c>
      <c r="C93" s="29" t="s">
        <v>1751</v>
      </c>
      <c r="D93" s="34">
        <v>2140033</v>
      </c>
      <c r="H93" s="83" t="s">
        <v>1554</v>
      </c>
      <c r="I93" s="83">
        <v>39</v>
      </c>
      <c r="K93" s="83">
        <v>6</v>
      </c>
      <c r="N93" s="83">
        <v>5</v>
      </c>
      <c r="Q93" s="83">
        <v>7</v>
      </c>
      <c r="T93" s="83">
        <v>6</v>
      </c>
      <c r="U93" s="83">
        <v>24</v>
      </c>
    </row>
    <row r="94" spans="1:21" x14ac:dyDescent="0.25">
      <c r="B94" s="29" t="s">
        <v>1754</v>
      </c>
      <c r="C94" s="83" t="s">
        <v>254</v>
      </c>
      <c r="D94" s="34">
        <v>2140051</v>
      </c>
      <c r="H94" s="83" t="s">
        <v>1554</v>
      </c>
      <c r="I94" s="83">
        <v>40</v>
      </c>
      <c r="U94" s="83">
        <v>667</v>
      </c>
    </row>
    <row r="95" spans="1:21" x14ac:dyDescent="0.25">
      <c r="A95" s="29"/>
      <c r="B95" s="29" t="s">
        <v>1759</v>
      </c>
      <c r="C95" s="29" t="s">
        <v>1758</v>
      </c>
      <c r="D95" s="34">
        <v>2140085</v>
      </c>
      <c r="H95" s="83" t="s">
        <v>1554</v>
      </c>
      <c r="I95" s="83">
        <v>41</v>
      </c>
      <c r="K95" s="83">
        <v>75</v>
      </c>
      <c r="N95" s="83">
        <v>98</v>
      </c>
      <c r="Q95" s="83">
        <v>84</v>
      </c>
      <c r="T95" s="83">
        <v>65</v>
      </c>
      <c r="U95" s="83">
        <v>322</v>
      </c>
    </row>
    <row r="96" spans="1:21" x14ac:dyDescent="0.25">
      <c r="A96" s="29"/>
      <c r="B96" s="148" t="s">
        <v>2259</v>
      </c>
      <c r="C96" s="29" t="s">
        <v>1761</v>
      </c>
      <c r="D96" s="34">
        <v>2140010</v>
      </c>
      <c r="H96" s="83" t="s">
        <v>1554</v>
      </c>
      <c r="I96" s="83">
        <v>42</v>
      </c>
      <c r="K96" s="83">
        <v>7</v>
      </c>
      <c r="N96" s="83">
        <v>9</v>
      </c>
      <c r="Q96" s="83">
        <v>2</v>
      </c>
      <c r="T96" s="83">
        <v>10</v>
      </c>
      <c r="U96" s="83">
        <v>76.650000000000006</v>
      </c>
    </row>
    <row r="97" spans="1:21" x14ac:dyDescent="0.25">
      <c r="A97" s="29"/>
      <c r="B97" s="29" t="s">
        <v>1762</v>
      </c>
      <c r="C97" s="29" t="s">
        <v>1764</v>
      </c>
      <c r="D97" s="34">
        <v>2140020</v>
      </c>
      <c r="H97" s="83" t="s">
        <v>1554</v>
      </c>
      <c r="I97" s="83">
        <v>43</v>
      </c>
      <c r="K97" s="83">
        <v>10</v>
      </c>
      <c r="N97" s="83">
        <v>26</v>
      </c>
      <c r="Q97" s="83">
        <v>18</v>
      </c>
      <c r="T97" s="83">
        <v>4</v>
      </c>
      <c r="U97" s="83">
        <v>76.650000000000006</v>
      </c>
    </row>
    <row r="98" spans="1:21" x14ac:dyDescent="0.25">
      <c r="A98" s="29"/>
      <c r="B98" s="29" t="s">
        <v>1765</v>
      </c>
      <c r="C98" s="29" t="s">
        <v>1767</v>
      </c>
      <c r="D98" s="34">
        <v>2140022</v>
      </c>
      <c r="H98" s="83" t="s">
        <v>1554</v>
      </c>
      <c r="I98" s="83">
        <v>44</v>
      </c>
      <c r="K98" s="83">
        <v>8</v>
      </c>
      <c r="N98" s="83">
        <v>26</v>
      </c>
      <c r="Q98" s="83">
        <v>2</v>
      </c>
      <c r="T98" s="83">
        <v>2</v>
      </c>
      <c r="U98" s="83">
        <v>76.650000000000006</v>
      </c>
    </row>
    <row r="99" spans="1:21" x14ac:dyDescent="0.25">
      <c r="A99" s="29"/>
      <c r="B99" s="29" t="s">
        <v>1768</v>
      </c>
      <c r="C99" s="29" t="s">
        <v>1770</v>
      </c>
      <c r="D99" s="34">
        <v>2140024</v>
      </c>
      <c r="H99" s="83" t="s">
        <v>1554</v>
      </c>
      <c r="I99" s="83">
        <v>45</v>
      </c>
      <c r="K99" s="83">
        <v>2</v>
      </c>
      <c r="N99" s="83">
        <v>38</v>
      </c>
      <c r="Q99" s="83">
        <v>12</v>
      </c>
      <c r="T99" s="83">
        <v>0</v>
      </c>
      <c r="U99" s="83">
        <v>76.650000000000006</v>
      </c>
    </row>
    <row r="100" spans="1:21" x14ac:dyDescent="0.25">
      <c r="A100" s="29"/>
      <c r="B100" s="29" t="s">
        <v>1771</v>
      </c>
      <c r="C100" s="29" t="s">
        <v>1773</v>
      </c>
      <c r="D100" s="34">
        <v>2140028</v>
      </c>
      <c r="H100" s="83" t="s">
        <v>1554</v>
      </c>
      <c r="K100" s="83">
        <v>0</v>
      </c>
      <c r="N100" s="83">
        <v>0</v>
      </c>
      <c r="Q100" s="83">
        <v>1</v>
      </c>
      <c r="T100" s="83">
        <v>3</v>
      </c>
      <c r="U100" s="83">
        <v>4</v>
      </c>
    </row>
    <row r="101" spans="1:21" x14ac:dyDescent="0.25">
      <c r="A101" s="29"/>
      <c r="B101" s="29" t="s">
        <v>1774</v>
      </c>
      <c r="C101" s="29" t="s">
        <v>1773</v>
      </c>
      <c r="D101" s="34">
        <v>2140028</v>
      </c>
      <c r="H101" s="83" t="s">
        <v>1554</v>
      </c>
      <c r="I101" s="83">
        <v>46</v>
      </c>
      <c r="K101" s="83">
        <v>2</v>
      </c>
      <c r="N101" s="83">
        <v>2</v>
      </c>
      <c r="Q101" s="83">
        <v>1</v>
      </c>
      <c r="T101" s="83">
        <v>0</v>
      </c>
      <c r="U101" s="83">
        <v>76.650000000000006</v>
      </c>
    </row>
    <row r="102" spans="1:21" x14ac:dyDescent="0.25">
      <c r="A102" s="29"/>
      <c r="B102" s="29" t="s">
        <v>1777</v>
      </c>
      <c r="C102" s="29" t="s">
        <v>1776</v>
      </c>
      <c r="D102" s="34">
        <v>2140030</v>
      </c>
      <c r="H102" s="83" t="s">
        <v>1554</v>
      </c>
      <c r="I102" s="83">
        <v>47</v>
      </c>
      <c r="K102" s="83">
        <v>10</v>
      </c>
      <c r="N102" s="83">
        <v>50</v>
      </c>
      <c r="Q102" s="83">
        <v>18</v>
      </c>
      <c r="T102" s="83">
        <v>2</v>
      </c>
      <c r="U102" s="83">
        <v>80</v>
      </c>
    </row>
    <row r="103" spans="1:21" x14ac:dyDescent="0.25">
      <c r="A103" s="29"/>
      <c r="B103" s="29" t="s">
        <v>1779</v>
      </c>
      <c r="C103" s="29" t="s">
        <v>1778</v>
      </c>
      <c r="D103" s="34">
        <v>2140032</v>
      </c>
      <c r="H103" s="83" t="s">
        <v>1554</v>
      </c>
      <c r="I103" s="83">
        <v>48</v>
      </c>
      <c r="K103" s="83">
        <v>61</v>
      </c>
      <c r="N103" s="83">
        <v>96</v>
      </c>
      <c r="Q103" s="83">
        <v>63</v>
      </c>
      <c r="T103" s="83">
        <v>45</v>
      </c>
      <c r="U103" s="83">
        <v>265</v>
      </c>
    </row>
    <row r="104" spans="1:21" x14ac:dyDescent="0.25">
      <c r="A104" s="29"/>
      <c r="B104" s="29" t="s">
        <v>1784</v>
      </c>
      <c r="C104" s="29" t="s">
        <v>1783</v>
      </c>
      <c r="D104" s="34">
        <v>2140034</v>
      </c>
      <c r="H104" s="83" t="s">
        <v>1554</v>
      </c>
      <c r="I104" s="83">
        <v>49</v>
      </c>
      <c r="K104" s="83">
        <v>11</v>
      </c>
      <c r="N104" s="83">
        <v>42</v>
      </c>
      <c r="Q104" s="83">
        <v>9</v>
      </c>
      <c r="T104" s="83">
        <v>7</v>
      </c>
      <c r="U104" s="83">
        <v>76.650000000000006</v>
      </c>
    </row>
    <row r="105" spans="1:21" x14ac:dyDescent="0.25">
      <c r="A105" s="29"/>
      <c r="B105" s="24" t="s">
        <v>217</v>
      </c>
      <c r="C105" s="29" t="s">
        <v>1786</v>
      </c>
      <c r="D105" s="34">
        <v>2140036</v>
      </c>
      <c r="H105" s="83" t="s">
        <v>1554</v>
      </c>
      <c r="I105" s="83">
        <v>50</v>
      </c>
      <c r="K105" s="83">
        <v>15</v>
      </c>
      <c r="N105" s="83">
        <v>69</v>
      </c>
      <c r="Q105" s="83">
        <v>40</v>
      </c>
      <c r="T105" s="83">
        <v>15</v>
      </c>
      <c r="U105" s="83">
        <v>139</v>
      </c>
    </row>
    <row r="106" spans="1:21" x14ac:dyDescent="0.25">
      <c r="A106" s="29"/>
      <c r="B106" s="29" t="s">
        <v>1789</v>
      </c>
      <c r="C106" s="29" t="s">
        <v>1788</v>
      </c>
      <c r="D106" s="34">
        <v>2140056</v>
      </c>
      <c r="H106" s="83" t="s">
        <v>1554</v>
      </c>
      <c r="K106" s="83">
        <v>44</v>
      </c>
      <c r="N106" s="83">
        <v>48</v>
      </c>
      <c r="Q106" s="83">
        <v>38</v>
      </c>
      <c r="T106" s="83">
        <v>30</v>
      </c>
      <c r="U106" s="83">
        <v>160</v>
      </c>
    </row>
    <row r="107" spans="1:21" x14ac:dyDescent="0.25">
      <c r="A107" s="29"/>
      <c r="B107" s="29" t="s">
        <v>1789</v>
      </c>
      <c r="C107" s="29" t="s">
        <v>1791</v>
      </c>
      <c r="D107" s="34">
        <v>2140056</v>
      </c>
      <c r="H107" s="83" t="s">
        <v>1554</v>
      </c>
      <c r="K107" s="83">
        <v>3</v>
      </c>
      <c r="N107" s="83">
        <v>1</v>
      </c>
      <c r="Q107" s="83">
        <v>0</v>
      </c>
      <c r="T107" s="83">
        <v>1</v>
      </c>
      <c r="U107" s="83">
        <v>5</v>
      </c>
    </row>
    <row r="108" spans="1:21" x14ac:dyDescent="0.25">
      <c r="B108" s="29" t="s">
        <v>1794</v>
      </c>
      <c r="C108" s="83" t="s">
        <v>256</v>
      </c>
      <c r="D108" s="34">
        <v>2140056</v>
      </c>
      <c r="H108" s="83" t="s">
        <v>1554</v>
      </c>
      <c r="U108" s="83">
        <v>1387</v>
      </c>
    </row>
    <row r="109" spans="1:21" x14ac:dyDescent="0.25">
      <c r="A109" s="29"/>
      <c r="B109" s="29" t="s">
        <v>1799</v>
      </c>
      <c r="C109" s="29" t="s">
        <v>2252</v>
      </c>
      <c r="D109" s="34">
        <v>2140056</v>
      </c>
      <c r="H109" s="83" t="s">
        <v>1554</v>
      </c>
      <c r="I109" s="83">
        <v>51</v>
      </c>
      <c r="U109" s="83">
        <v>906</v>
      </c>
    </row>
    <row r="110" spans="1:21" x14ac:dyDescent="0.25">
      <c r="A110" s="29"/>
      <c r="B110" s="29" t="s">
        <v>1802</v>
      </c>
      <c r="C110" s="29" t="s">
        <v>1801</v>
      </c>
      <c r="D110" s="34">
        <v>2140080</v>
      </c>
      <c r="H110" s="83" t="s">
        <v>1554</v>
      </c>
      <c r="I110" s="83">
        <v>52</v>
      </c>
      <c r="K110" s="83">
        <v>25</v>
      </c>
      <c r="N110" s="83">
        <v>78</v>
      </c>
      <c r="Q110" s="83">
        <v>71</v>
      </c>
      <c r="T110" s="83">
        <v>75</v>
      </c>
      <c r="U110" s="83">
        <v>249</v>
      </c>
    </row>
    <row r="111" spans="1:21" x14ac:dyDescent="0.25">
      <c r="A111" s="29"/>
      <c r="B111" s="29" t="s">
        <v>1805</v>
      </c>
      <c r="C111" s="29" t="s">
        <v>1804</v>
      </c>
      <c r="D111" s="34">
        <v>2200015</v>
      </c>
      <c r="H111" s="83" t="s">
        <v>1554</v>
      </c>
      <c r="I111" s="83">
        <v>53</v>
      </c>
      <c r="K111" s="83">
        <v>20</v>
      </c>
      <c r="N111" s="83">
        <v>26</v>
      </c>
      <c r="Q111" s="83">
        <v>20</v>
      </c>
      <c r="T111" s="83">
        <v>20</v>
      </c>
      <c r="U111" s="83">
        <v>86</v>
      </c>
    </row>
    <row r="112" spans="1:21" x14ac:dyDescent="0.25">
      <c r="A112" s="29"/>
      <c r="B112" s="29" t="s">
        <v>1565</v>
      </c>
      <c r="C112" s="29" t="s">
        <v>2051</v>
      </c>
      <c r="D112" s="34">
        <v>2210016</v>
      </c>
      <c r="H112" s="83" t="s">
        <v>1554</v>
      </c>
      <c r="K112" s="83">
        <v>1</v>
      </c>
      <c r="N112" s="83">
        <v>14</v>
      </c>
      <c r="Q112" s="83">
        <v>27</v>
      </c>
      <c r="T112" s="83">
        <v>27</v>
      </c>
      <c r="U112" s="83">
        <v>69</v>
      </c>
    </row>
    <row r="113" spans="1:21" x14ac:dyDescent="0.25">
      <c r="B113" s="29" t="s">
        <v>1565</v>
      </c>
      <c r="C113" s="83" t="s">
        <v>1037</v>
      </c>
      <c r="D113" s="34">
        <v>2210016</v>
      </c>
      <c r="H113" s="83" t="s">
        <v>1554</v>
      </c>
      <c r="K113" s="83">
        <v>0</v>
      </c>
      <c r="N113" s="83">
        <v>2</v>
      </c>
      <c r="Q113" s="83">
        <v>2</v>
      </c>
      <c r="T113" s="83">
        <v>1</v>
      </c>
      <c r="U113" s="83">
        <v>5</v>
      </c>
    </row>
    <row r="114" spans="1:21" x14ac:dyDescent="0.25">
      <c r="B114" s="29" t="s">
        <v>1565</v>
      </c>
      <c r="C114" s="83" t="s">
        <v>2253</v>
      </c>
      <c r="D114" s="34">
        <v>2210016</v>
      </c>
      <c r="H114" s="83" t="s">
        <v>1554</v>
      </c>
      <c r="I114" s="83">
        <v>54</v>
      </c>
      <c r="U114" s="83">
        <v>53</v>
      </c>
    </row>
    <row r="115" spans="1:21" x14ac:dyDescent="0.25">
      <c r="B115" s="29" t="s">
        <v>1807</v>
      </c>
      <c r="C115" s="83" t="s">
        <v>1528</v>
      </c>
      <c r="D115" s="34">
        <v>2280080</v>
      </c>
      <c r="H115" s="83" t="s">
        <v>1554</v>
      </c>
      <c r="I115" s="83">
        <v>55</v>
      </c>
      <c r="U115" s="83">
        <v>115</v>
      </c>
    </row>
    <row r="116" spans="1:21" x14ac:dyDescent="0.25">
      <c r="A116" s="29"/>
      <c r="B116" s="29" t="s">
        <v>1810</v>
      </c>
      <c r="C116" s="29" t="s">
        <v>1809</v>
      </c>
      <c r="D116" s="34">
        <v>2280100</v>
      </c>
      <c r="H116" s="83" t="s">
        <v>1554</v>
      </c>
      <c r="K116" s="83">
        <v>378</v>
      </c>
      <c r="N116" s="83">
        <v>521</v>
      </c>
      <c r="Q116" s="83">
        <v>420</v>
      </c>
      <c r="T116" s="83">
        <v>215</v>
      </c>
      <c r="U116" s="83">
        <v>1534</v>
      </c>
    </row>
    <row r="117" spans="1:21" x14ac:dyDescent="0.25">
      <c r="A117" s="29"/>
      <c r="B117" s="29" t="s">
        <v>1810</v>
      </c>
      <c r="C117" s="29" t="s">
        <v>1809</v>
      </c>
      <c r="D117" s="34">
        <v>2280100</v>
      </c>
      <c r="H117" s="83" t="s">
        <v>1554</v>
      </c>
      <c r="I117" s="83">
        <v>56</v>
      </c>
      <c r="K117" s="83">
        <v>376</v>
      </c>
      <c r="N117" s="83">
        <v>539</v>
      </c>
      <c r="Q117" s="83">
        <v>353</v>
      </c>
      <c r="T117" s="83">
        <v>179</v>
      </c>
      <c r="U117" s="83">
        <v>1447</v>
      </c>
    </row>
    <row r="118" spans="1:21" x14ac:dyDescent="0.25">
      <c r="B118" s="29" t="s">
        <v>1812</v>
      </c>
      <c r="C118" s="83" t="s">
        <v>271</v>
      </c>
      <c r="D118" s="34">
        <v>2280150</v>
      </c>
      <c r="H118" s="83" t="s">
        <v>1554</v>
      </c>
      <c r="I118" s="83">
        <v>57</v>
      </c>
      <c r="U118" s="83">
        <v>223</v>
      </c>
    </row>
    <row r="119" spans="1:21" x14ac:dyDescent="0.25">
      <c r="A119" s="29"/>
      <c r="B119" s="29" t="s">
        <v>1815</v>
      </c>
      <c r="C119" s="29" t="s">
        <v>1814</v>
      </c>
      <c r="D119" s="34">
        <v>2280200</v>
      </c>
      <c r="H119" s="83" t="s">
        <v>1554</v>
      </c>
      <c r="I119" s="83">
        <v>58</v>
      </c>
      <c r="K119" s="83">
        <v>14</v>
      </c>
      <c r="N119" s="83">
        <v>131</v>
      </c>
      <c r="Q119" s="83">
        <v>116</v>
      </c>
      <c r="T119" s="83">
        <v>17</v>
      </c>
      <c r="U119" s="83">
        <v>278</v>
      </c>
    </row>
    <row r="120" spans="1:21" x14ac:dyDescent="0.25">
      <c r="A120" s="29"/>
      <c r="B120" s="24"/>
      <c r="C120" s="29" t="s">
        <v>1817</v>
      </c>
      <c r="D120" s="80">
        <v>2810335</v>
      </c>
      <c r="H120" s="83" t="s">
        <v>1554</v>
      </c>
      <c r="I120" s="83">
        <v>59</v>
      </c>
      <c r="K120" s="85"/>
      <c r="N120" s="85"/>
      <c r="Q120" s="85"/>
      <c r="T120" s="85"/>
      <c r="U120" s="85">
        <v>76.650000000000006</v>
      </c>
    </row>
    <row r="121" spans="1:21" x14ac:dyDescent="0.25">
      <c r="A121" s="29"/>
      <c r="B121" s="29" t="s">
        <v>1820</v>
      </c>
      <c r="C121" s="29" t="s">
        <v>1819</v>
      </c>
      <c r="D121" s="80">
        <v>2810365</v>
      </c>
      <c r="H121" s="83" t="s">
        <v>1554</v>
      </c>
      <c r="I121" s="83">
        <v>60</v>
      </c>
      <c r="K121" s="83">
        <v>2</v>
      </c>
      <c r="N121" s="83">
        <v>1</v>
      </c>
      <c r="Q121" s="83">
        <v>1</v>
      </c>
      <c r="T121" s="83">
        <v>2</v>
      </c>
      <c r="U121" s="83">
        <v>76.650000000000006</v>
      </c>
    </row>
    <row r="122" spans="1:21" x14ac:dyDescent="0.25">
      <c r="A122" s="29"/>
      <c r="B122" s="29" t="s">
        <v>1823</v>
      </c>
      <c r="C122" s="29" t="s">
        <v>1822</v>
      </c>
      <c r="D122" s="34">
        <v>2840001</v>
      </c>
      <c r="H122" s="83" t="s">
        <v>1554</v>
      </c>
      <c r="K122" s="83">
        <v>17</v>
      </c>
      <c r="N122" s="83">
        <v>11</v>
      </c>
      <c r="Q122" s="83">
        <v>11</v>
      </c>
      <c r="T122" s="83">
        <v>11</v>
      </c>
      <c r="U122" s="83">
        <v>76.650000000000006</v>
      </c>
    </row>
    <row r="123" spans="1:21" x14ac:dyDescent="0.25">
      <c r="A123" s="29"/>
      <c r="B123" s="29" t="s">
        <v>1823</v>
      </c>
      <c r="C123" s="29" t="s">
        <v>1825</v>
      </c>
      <c r="D123" s="34">
        <v>2840001</v>
      </c>
      <c r="H123" s="83" t="s">
        <v>1554</v>
      </c>
      <c r="I123" s="83">
        <v>61</v>
      </c>
      <c r="K123" s="83">
        <v>1</v>
      </c>
      <c r="N123" s="83">
        <v>103</v>
      </c>
      <c r="Q123" s="83">
        <v>9</v>
      </c>
      <c r="T123" s="83">
        <v>0</v>
      </c>
      <c r="U123" s="83">
        <v>113</v>
      </c>
    </row>
    <row r="124" spans="1:21" x14ac:dyDescent="0.25">
      <c r="A124" s="29"/>
      <c r="B124" s="29" t="s">
        <v>1828</v>
      </c>
      <c r="C124" s="29" t="s">
        <v>1827</v>
      </c>
      <c r="D124" s="34">
        <v>3290027</v>
      </c>
      <c r="H124" s="83" t="s">
        <v>1554</v>
      </c>
      <c r="K124" s="83">
        <v>0</v>
      </c>
      <c r="N124" s="83">
        <v>0</v>
      </c>
      <c r="Q124" s="83">
        <v>0</v>
      </c>
      <c r="T124" s="83">
        <v>0</v>
      </c>
      <c r="U124" s="83">
        <v>0</v>
      </c>
    </row>
    <row r="125" spans="1:21" x14ac:dyDescent="0.25">
      <c r="A125" s="29"/>
      <c r="B125" s="29" t="s">
        <v>1831</v>
      </c>
      <c r="C125" s="29" t="s">
        <v>1830</v>
      </c>
      <c r="D125" s="34">
        <v>3290027</v>
      </c>
      <c r="H125" s="83" t="s">
        <v>1554</v>
      </c>
      <c r="K125" s="83">
        <v>92</v>
      </c>
      <c r="N125" s="83">
        <v>225</v>
      </c>
      <c r="Q125" s="83">
        <v>321</v>
      </c>
      <c r="T125" s="83">
        <v>192</v>
      </c>
      <c r="U125" s="83">
        <v>830</v>
      </c>
    </row>
    <row r="126" spans="1:21" x14ac:dyDescent="0.25">
      <c r="B126" s="29" t="s">
        <v>1831</v>
      </c>
      <c r="C126" s="83" t="s">
        <v>293</v>
      </c>
      <c r="D126" s="34">
        <v>3290027</v>
      </c>
      <c r="H126" s="83" t="s">
        <v>1554</v>
      </c>
      <c r="U126" s="83">
        <v>30</v>
      </c>
    </row>
    <row r="127" spans="1:21" x14ac:dyDescent="0.25">
      <c r="B127" s="29" t="s">
        <v>1836</v>
      </c>
      <c r="C127" s="83" t="s">
        <v>296</v>
      </c>
      <c r="D127" s="34">
        <v>3290027</v>
      </c>
      <c r="H127" s="83" t="s">
        <v>1554</v>
      </c>
      <c r="I127" s="83">
        <v>62</v>
      </c>
      <c r="U127" s="83">
        <v>10</v>
      </c>
    </row>
    <row r="128" spans="1:21" x14ac:dyDescent="0.25">
      <c r="B128" s="29" t="s">
        <v>1838</v>
      </c>
      <c r="C128" s="83" t="s">
        <v>299</v>
      </c>
      <c r="D128" s="34">
        <v>3290065</v>
      </c>
      <c r="H128" s="83" t="s">
        <v>1554</v>
      </c>
      <c r="I128" s="83">
        <v>63</v>
      </c>
      <c r="U128" s="83">
        <v>147</v>
      </c>
    </row>
    <row r="129" spans="1:21" x14ac:dyDescent="0.25">
      <c r="A129" s="29"/>
      <c r="B129" s="29" t="s">
        <v>1843</v>
      </c>
      <c r="C129" s="29" t="s">
        <v>1842</v>
      </c>
      <c r="D129" s="34">
        <v>3360151</v>
      </c>
      <c r="H129" s="83" t="s">
        <v>1554</v>
      </c>
      <c r="I129" s="83">
        <v>64</v>
      </c>
      <c r="K129" s="83">
        <v>265</v>
      </c>
      <c r="N129" s="83">
        <v>136</v>
      </c>
      <c r="Q129" s="83">
        <v>176</v>
      </c>
      <c r="T129" s="83">
        <v>239</v>
      </c>
      <c r="U129" s="83">
        <v>816</v>
      </c>
    </row>
    <row r="130" spans="1:21" x14ac:dyDescent="0.25">
      <c r="A130" s="29"/>
      <c r="B130" s="29" t="s">
        <v>1846</v>
      </c>
      <c r="C130" s="29" t="s">
        <v>1845</v>
      </c>
      <c r="D130" s="34">
        <v>3360154</v>
      </c>
      <c r="H130" s="83" t="s">
        <v>1554</v>
      </c>
      <c r="I130" s="83">
        <v>65</v>
      </c>
      <c r="K130" s="83">
        <v>48</v>
      </c>
      <c r="N130" s="83">
        <v>32</v>
      </c>
      <c r="Q130" s="83">
        <v>32</v>
      </c>
      <c r="T130" s="83">
        <v>44</v>
      </c>
      <c r="U130" s="83">
        <v>156</v>
      </c>
    </row>
    <row r="131" spans="1:21" x14ac:dyDescent="0.25">
      <c r="A131" s="29"/>
      <c r="B131" s="29" t="s">
        <v>1849</v>
      </c>
      <c r="C131" s="29" t="s">
        <v>1848</v>
      </c>
      <c r="D131" s="34">
        <v>3360174</v>
      </c>
      <c r="H131" s="83" t="s">
        <v>1554</v>
      </c>
      <c r="I131" s="83">
        <v>66</v>
      </c>
      <c r="K131" s="83">
        <v>8</v>
      </c>
      <c r="N131" s="83">
        <v>10</v>
      </c>
      <c r="Q131" s="83">
        <v>11</v>
      </c>
      <c r="T131" s="83">
        <v>12</v>
      </c>
      <c r="U131" s="83">
        <v>76.650000000000006</v>
      </c>
    </row>
    <row r="132" spans="1:21" x14ac:dyDescent="0.25">
      <c r="A132" s="29"/>
      <c r="B132" s="29" t="s">
        <v>1852</v>
      </c>
      <c r="C132" s="29" t="s">
        <v>1851</v>
      </c>
      <c r="D132" s="34">
        <v>3360190</v>
      </c>
      <c r="H132" s="83" t="s">
        <v>1554</v>
      </c>
      <c r="I132" s="83">
        <v>67</v>
      </c>
      <c r="K132" s="83">
        <v>1</v>
      </c>
      <c r="N132" s="83">
        <v>1</v>
      </c>
      <c r="Q132" s="83">
        <v>2</v>
      </c>
      <c r="T132" s="83">
        <v>1</v>
      </c>
      <c r="U132" s="83">
        <v>76.650000000000006</v>
      </c>
    </row>
    <row r="133" spans="1:21" x14ac:dyDescent="0.25">
      <c r="A133" s="29"/>
      <c r="B133" s="83" t="s">
        <v>1854</v>
      </c>
      <c r="C133" s="29" t="s">
        <v>1853</v>
      </c>
      <c r="D133" s="34">
        <v>3360205</v>
      </c>
      <c r="H133" s="83" t="s">
        <v>1554</v>
      </c>
      <c r="K133" s="83">
        <v>47</v>
      </c>
      <c r="N133" s="83">
        <v>60</v>
      </c>
      <c r="Q133" s="83">
        <v>49</v>
      </c>
      <c r="T133" s="83">
        <v>38</v>
      </c>
      <c r="U133" s="83">
        <v>194</v>
      </c>
    </row>
    <row r="134" spans="1:21" x14ac:dyDescent="0.25">
      <c r="A134" s="29"/>
      <c r="B134" s="83" t="s">
        <v>1855</v>
      </c>
      <c r="C134" s="29" t="s">
        <v>1853</v>
      </c>
      <c r="D134" s="34">
        <v>3360205</v>
      </c>
      <c r="H134" s="83" t="s">
        <v>1554</v>
      </c>
      <c r="K134" s="83">
        <v>0</v>
      </c>
      <c r="N134" s="83">
        <v>0</v>
      </c>
      <c r="Q134" s="83">
        <v>6</v>
      </c>
      <c r="T134" s="83">
        <v>9</v>
      </c>
      <c r="U134" s="83">
        <v>15</v>
      </c>
    </row>
    <row r="135" spans="1:21" x14ac:dyDescent="0.25">
      <c r="A135" s="29"/>
      <c r="B135" s="83" t="s">
        <v>1856</v>
      </c>
      <c r="C135" s="29" t="s">
        <v>1853</v>
      </c>
      <c r="D135" s="34">
        <v>3360205</v>
      </c>
      <c r="H135" s="83" t="s">
        <v>1554</v>
      </c>
      <c r="K135" s="83">
        <v>0</v>
      </c>
      <c r="N135" s="83">
        <v>0</v>
      </c>
      <c r="Q135" s="83">
        <v>0</v>
      </c>
      <c r="T135" s="83">
        <v>0</v>
      </c>
      <c r="U135" s="83">
        <v>0</v>
      </c>
    </row>
    <row r="136" spans="1:21" x14ac:dyDescent="0.25">
      <c r="A136" s="29"/>
      <c r="B136" s="83" t="s">
        <v>1856</v>
      </c>
      <c r="C136" s="29" t="s">
        <v>1853</v>
      </c>
      <c r="D136" s="34">
        <v>3360205</v>
      </c>
      <c r="H136" s="83" t="s">
        <v>1554</v>
      </c>
      <c r="I136" s="83">
        <v>68</v>
      </c>
      <c r="K136" s="83">
        <v>3</v>
      </c>
      <c r="N136" s="83">
        <v>2</v>
      </c>
      <c r="Q136" s="83">
        <v>2</v>
      </c>
      <c r="T136" s="83">
        <v>2</v>
      </c>
      <c r="U136" s="83">
        <v>9</v>
      </c>
    </row>
    <row r="137" spans="1:21" x14ac:dyDescent="0.25">
      <c r="B137" s="29" t="s">
        <v>1860</v>
      </c>
      <c r="C137" s="29" t="s">
        <v>1859</v>
      </c>
      <c r="D137" s="34">
        <v>3360500</v>
      </c>
      <c r="H137" s="83" t="s">
        <v>1554</v>
      </c>
      <c r="K137" s="85">
        <v>1114</v>
      </c>
      <c r="N137" s="85">
        <v>1371</v>
      </c>
      <c r="Q137" s="85">
        <v>1018</v>
      </c>
      <c r="T137" s="85">
        <v>766</v>
      </c>
      <c r="U137" s="85">
        <v>4269</v>
      </c>
    </row>
    <row r="138" spans="1:21" x14ac:dyDescent="0.25">
      <c r="B138" s="29" t="s">
        <v>1860</v>
      </c>
      <c r="C138" s="29" t="s">
        <v>1859</v>
      </c>
      <c r="D138" s="34">
        <v>3360500</v>
      </c>
      <c r="H138" s="83" t="s">
        <v>1554</v>
      </c>
      <c r="K138" s="85">
        <v>1175</v>
      </c>
      <c r="N138" s="85">
        <v>1418</v>
      </c>
      <c r="Q138" s="85">
        <v>1240</v>
      </c>
      <c r="T138" s="85">
        <v>1081</v>
      </c>
      <c r="U138" s="85">
        <v>4914</v>
      </c>
    </row>
    <row r="139" spans="1:21" x14ac:dyDescent="0.25">
      <c r="B139" s="29" t="s">
        <v>1860</v>
      </c>
      <c r="C139" s="29" t="s">
        <v>1859</v>
      </c>
      <c r="D139" s="34">
        <v>3360500</v>
      </c>
      <c r="H139" s="83" t="s">
        <v>1554</v>
      </c>
      <c r="I139" s="83">
        <v>69</v>
      </c>
      <c r="K139" s="85">
        <v>22</v>
      </c>
      <c r="N139" s="85">
        <v>31</v>
      </c>
      <c r="Q139" s="85">
        <v>0</v>
      </c>
      <c r="T139" s="85">
        <v>3</v>
      </c>
      <c r="U139" s="85">
        <v>56</v>
      </c>
    </row>
    <row r="140" spans="1:21" x14ac:dyDescent="0.25">
      <c r="A140" s="29"/>
      <c r="B140" s="83" t="s">
        <v>338</v>
      </c>
      <c r="C140" s="29" t="s">
        <v>1865</v>
      </c>
      <c r="D140" s="34">
        <v>3820018</v>
      </c>
      <c r="H140" s="83" t="s">
        <v>1554</v>
      </c>
      <c r="I140" s="83">
        <v>70</v>
      </c>
      <c r="K140" s="83">
        <v>18</v>
      </c>
      <c r="N140" s="83">
        <v>19</v>
      </c>
      <c r="Q140" s="83">
        <v>18</v>
      </c>
      <c r="T140" s="83">
        <v>15</v>
      </c>
      <c r="U140" s="83">
        <v>76.650000000000006</v>
      </c>
    </row>
    <row r="141" spans="1:21" x14ac:dyDescent="0.25">
      <c r="A141" s="29"/>
      <c r="B141" s="81" t="s">
        <v>2250</v>
      </c>
      <c r="C141" s="29" t="s">
        <v>1868</v>
      </c>
      <c r="D141" s="81">
        <v>3890106</v>
      </c>
      <c r="H141" s="83" t="s">
        <v>1554</v>
      </c>
      <c r="I141" s="83">
        <v>71</v>
      </c>
      <c r="K141" s="85"/>
      <c r="N141" s="85"/>
      <c r="Q141" s="85"/>
      <c r="T141" s="85"/>
      <c r="U141" s="85">
        <v>76.650000000000006</v>
      </c>
    </row>
    <row r="142" spans="1:21" x14ac:dyDescent="0.25">
      <c r="A142" s="29"/>
      <c r="B142" s="83" t="s">
        <v>944</v>
      </c>
      <c r="C142" s="29" t="s">
        <v>1870</v>
      </c>
      <c r="D142" s="34">
        <v>3900020</v>
      </c>
      <c r="H142" s="83" t="s">
        <v>1554</v>
      </c>
      <c r="K142" s="83">
        <v>115</v>
      </c>
      <c r="N142" s="83">
        <v>48</v>
      </c>
      <c r="Q142" s="83">
        <v>96</v>
      </c>
      <c r="T142" s="83">
        <v>53</v>
      </c>
      <c r="U142" s="83">
        <v>312</v>
      </c>
    </row>
    <row r="143" spans="1:21" x14ac:dyDescent="0.25">
      <c r="A143" s="29"/>
      <c r="B143" s="83" t="s">
        <v>944</v>
      </c>
      <c r="C143" s="29" t="s">
        <v>1870</v>
      </c>
      <c r="D143" s="34">
        <v>3900020</v>
      </c>
      <c r="H143" s="83" t="s">
        <v>1554</v>
      </c>
      <c r="I143" s="83">
        <v>72</v>
      </c>
      <c r="K143" s="83">
        <v>111</v>
      </c>
      <c r="N143" s="83">
        <v>52</v>
      </c>
      <c r="Q143" s="83">
        <v>85</v>
      </c>
      <c r="T143" s="83">
        <v>60</v>
      </c>
      <c r="U143" s="83">
        <v>308</v>
      </c>
    </row>
    <row r="144" spans="1:21" x14ac:dyDescent="0.25">
      <c r="B144" s="29" t="s">
        <v>1874</v>
      </c>
      <c r="C144" s="83" t="s">
        <v>1422</v>
      </c>
      <c r="D144" s="34">
        <v>3900025</v>
      </c>
      <c r="H144" s="83" t="s">
        <v>1554</v>
      </c>
      <c r="I144" s="83">
        <v>73</v>
      </c>
      <c r="U144" s="83">
        <v>375</v>
      </c>
    </row>
    <row r="145" spans="1:21" x14ac:dyDescent="0.25">
      <c r="A145" s="29"/>
      <c r="B145" s="24" t="s">
        <v>2250</v>
      </c>
      <c r="C145" s="29" t="s">
        <v>1876</v>
      </c>
      <c r="D145" s="24">
        <v>3410030</v>
      </c>
      <c r="H145" s="83" t="s">
        <v>1554</v>
      </c>
      <c r="I145" s="83">
        <v>74</v>
      </c>
      <c r="K145" s="83"/>
      <c r="U145" s="83">
        <v>76.650000000000006</v>
      </c>
    </row>
    <row r="146" spans="1:21" x14ac:dyDescent="0.25">
      <c r="B146" s="29" t="s">
        <v>1879</v>
      </c>
      <c r="C146" s="83" t="s">
        <v>370</v>
      </c>
      <c r="D146" s="34">
        <v>3900038</v>
      </c>
      <c r="H146" s="83" t="s">
        <v>1554</v>
      </c>
      <c r="I146" s="83">
        <v>75</v>
      </c>
      <c r="U146" s="83">
        <v>76.650000000000006</v>
      </c>
    </row>
    <row r="147" spans="1:21" x14ac:dyDescent="0.25">
      <c r="A147" s="29"/>
      <c r="B147" s="83" t="s">
        <v>1434</v>
      </c>
      <c r="C147" s="29" t="s">
        <v>1883</v>
      </c>
      <c r="D147" s="34">
        <v>3900060</v>
      </c>
      <c r="H147" s="83" t="s">
        <v>1554</v>
      </c>
      <c r="K147" s="83">
        <v>0</v>
      </c>
      <c r="N147" s="83">
        <v>0</v>
      </c>
      <c r="Q147" s="83">
        <v>0</v>
      </c>
      <c r="T147" s="83">
        <v>62</v>
      </c>
      <c r="U147" s="83">
        <v>62</v>
      </c>
    </row>
    <row r="148" spans="1:21" x14ac:dyDescent="0.25">
      <c r="A148" s="29"/>
      <c r="B148" s="83" t="s">
        <v>1440</v>
      </c>
      <c r="C148" s="29" t="s">
        <v>1883</v>
      </c>
      <c r="D148" s="34">
        <v>3900060</v>
      </c>
      <c r="H148" s="83" t="s">
        <v>1554</v>
      </c>
      <c r="I148" s="83">
        <v>76</v>
      </c>
      <c r="K148" s="83">
        <v>0</v>
      </c>
      <c r="N148" s="83">
        <v>1</v>
      </c>
      <c r="Q148" s="83">
        <v>131</v>
      </c>
      <c r="T148" s="83">
        <v>125</v>
      </c>
      <c r="U148" s="83">
        <v>257</v>
      </c>
    </row>
    <row r="149" spans="1:21" x14ac:dyDescent="0.25">
      <c r="B149" s="83" t="s">
        <v>1465</v>
      </c>
      <c r="C149" s="83" t="s">
        <v>1466</v>
      </c>
      <c r="D149" s="34">
        <v>3970034</v>
      </c>
      <c r="H149" s="83" t="s">
        <v>1554</v>
      </c>
      <c r="I149" s="83">
        <v>77</v>
      </c>
      <c r="K149" s="142">
        <v>28</v>
      </c>
      <c r="N149" s="83">
        <v>67</v>
      </c>
      <c r="Q149" s="83">
        <v>49</v>
      </c>
      <c r="T149" s="83">
        <v>20</v>
      </c>
      <c r="U149" s="83">
        <v>164</v>
      </c>
    </row>
    <row r="150" spans="1:21" x14ac:dyDescent="0.25">
      <c r="B150" s="83" t="s">
        <v>461</v>
      </c>
      <c r="C150" s="83" t="s">
        <v>462</v>
      </c>
      <c r="D150" s="34">
        <v>3970100</v>
      </c>
      <c r="H150" s="83" t="s">
        <v>1554</v>
      </c>
      <c r="U150" s="83">
        <v>464</v>
      </c>
    </row>
    <row r="151" spans="1:21" x14ac:dyDescent="0.25">
      <c r="B151" s="83" t="s">
        <v>380</v>
      </c>
      <c r="C151" s="83" t="s">
        <v>452</v>
      </c>
      <c r="D151" s="34">
        <v>3970100</v>
      </c>
      <c r="H151" s="83" t="s">
        <v>1554</v>
      </c>
      <c r="U151" s="83">
        <v>1222</v>
      </c>
    </row>
    <row r="152" spans="1:21" x14ac:dyDescent="0.25">
      <c r="B152" s="83" t="s">
        <v>935</v>
      </c>
      <c r="C152" s="83" t="s">
        <v>937</v>
      </c>
      <c r="D152" s="34">
        <v>3970100</v>
      </c>
      <c r="H152" s="83" t="s">
        <v>1554</v>
      </c>
      <c r="I152" s="83">
        <v>78</v>
      </c>
      <c r="K152" s="142">
        <v>250</v>
      </c>
      <c r="N152" s="83">
        <v>215</v>
      </c>
      <c r="Q152" s="83">
        <v>181</v>
      </c>
      <c r="T152" s="83">
        <v>163</v>
      </c>
      <c r="U152" s="83">
        <v>809</v>
      </c>
    </row>
    <row r="153" spans="1:21" x14ac:dyDescent="0.25">
      <c r="A153" s="29"/>
      <c r="B153" s="83" t="s">
        <v>372</v>
      </c>
      <c r="C153" s="29" t="s">
        <v>1886</v>
      </c>
      <c r="D153" s="34">
        <v>3970101</v>
      </c>
      <c r="H153" s="83" t="s">
        <v>1554</v>
      </c>
      <c r="I153" s="83">
        <v>79</v>
      </c>
      <c r="K153" s="83">
        <v>23</v>
      </c>
      <c r="N153" s="83">
        <v>216</v>
      </c>
      <c r="Q153" s="83">
        <v>38</v>
      </c>
      <c r="T153" s="83">
        <v>5</v>
      </c>
      <c r="U153" s="83">
        <v>282</v>
      </c>
    </row>
    <row r="154" spans="1:21" x14ac:dyDescent="0.25">
      <c r="A154" s="29"/>
      <c r="B154" s="83" t="s">
        <v>376</v>
      </c>
      <c r="C154" s="29" t="s">
        <v>1889</v>
      </c>
      <c r="D154" s="34">
        <v>3971111</v>
      </c>
      <c r="H154" s="83" t="s">
        <v>1554</v>
      </c>
      <c r="I154" s="83">
        <v>80</v>
      </c>
      <c r="K154" s="83">
        <v>52</v>
      </c>
      <c r="N154" s="83">
        <v>30</v>
      </c>
      <c r="Q154" s="83">
        <v>51</v>
      </c>
      <c r="T154" s="83">
        <v>101</v>
      </c>
      <c r="U154" s="83">
        <v>234</v>
      </c>
    </row>
    <row r="155" spans="1:21" x14ac:dyDescent="0.25">
      <c r="B155" s="83" t="s">
        <v>454</v>
      </c>
      <c r="C155" s="83" t="s">
        <v>464</v>
      </c>
      <c r="D155" s="34">
        <v>3970117</v>
      </c>
      <c r="H155" s="83" t="s">
        <v>1554</v>
      </c>
      <c r="I155" s="83">
        <v>81</v>
      </c>
      <c r="U155" s="83">
        <v>1753</v>
      </c>
    </row>
    <row r="156" spans="1:21" x14ac:dyDescent="0.25">
      <c r="A156" s="29"/>
      <c r="B156" s="29" t="s">
        <v>2260</v>
      </c>
      <c r="C156" s="29" t="s">
        <v>1895</v>
      </c>
      <c r="D156" s="34">
        <v>3970145</v>
      </c>
      <c r="E156" s="32"/>
      <c r="H156" s="83" t="s">
        <v>1554</v>
      </c>
      <c r="I156" s="83">
        <v>82</v>
      </c>
      <c r="K156" s="85">
        <v>2</v>
      </c>
      <c r="N156" s="85">
        <v>3</v>
      </c>
      <c r="Q156" s="85">
        <v>2</v>
      </c>
      <c r="T156" s="85">
        <v>2</v>
      </c>
      <c r="U156" s="85">
        <v>76.650000000000006</v>
      </c>
    </row>
    <row r="157" spans="1:21" x14ac:dyDescent="0.25">
      <c r="A157" s="29"/>
      <c r="B157" s="29" t="s">
        <v>1899</v>
      </c>
      <c r="C157" s="29" t="s">
        <v>1898</v>
      </c>
      <c r="D157" s="34">
        <v>3970147</v>
      </c>
      <c r="E157" s="32"/>
      <c r="H157" s="83" t="s">
        <v>1554</v>
      </c>
      <c r="I157" s="83">
        <v>83</v>
      </c>
      <c r="K157" s="85"/>
      <c r="N157" s="85"/>
      <c r="Q157" s="85"/>
      <c r="T157" s="85"/>
      <c r="U157" s="85">
        <v>76.650000000000006</v>
      </c>
    </row>
    <row r="158" spans="1:21" x14ac:dyDescent="0.25">
      <c r="A158" s="29"/>
      <c r="B158" s="83" t="s">
        <v>405</v>
      </c>
      <c r="C158" s="29" t="s">
        <v>1901</v>
      </c>
      <c r="D158" s="34">
        <v>3970139</v>
      </c>
      <c r="E158" s="32"/>
      <c r="H158" s="83" t="s">
        <v>1554</v>
      </c>
      <c r="K158" s="83">
        <v>0</v>
      </c>
      <c r="N158" s="83">
        <v>3</v>
      </c>
      <c r="Q158" s="83">
        <v>3</v>
      </c>
      <c r="T158" s="83">
        <v>3</v>
      </c>
      <c r="U158" s="83">
        <v>9</v>
      </c>
    </row>
    <row r="159" spans="1:21" x14ac:dyDescent="0.25">
      <c r="A159" s="29"/>
      <c r="B159" s="83" t="s">
        <v>409</v>
      </c>
      <c r="C159" s="29" t="s">
        <v>1901</v>
      </c>
      <c r="D159" s="34">
        <v>3970139</v>
      </c>
      <c r="E159" s="32"/>
      <c r="H159" s="83" t="s">
        <v>1554</v>
      </c>
      <c r="I159" s="83">
        <v>84</v>
      </c>
      <c r="K159" s="83">
        <v>2</v>
      </c>
      <c r="N159" s="83">
        <v>1</v>
      </c>
      <c r="Q159" s="83">
        <v>0</v>
      </c>
      <c r="T159" s="83">
        <v>0</v>
      </c>
      <c r="U159" s="83">
        <v>76.650000000000006</v>
      </c>
    </row>
    <row r="160" spans="1:21" x14ac:dyDescent="0.25">
      <c r="A160" s="29"/>
      <c r="B160" s="83" t="s">
        <v>380</v>
      </c>
      <c r="C160" s="29" t="s">
        <v>1903</v>
      </c>
      <c r="D160" s="34">
        <v>3970124</v>
      </c>
      <c r="E160" s="32"/>
      <c r="H160" s="83" t="s">
        <v>1554</v>
      </c>
      <c r="K160" s="83">
        <v>3</v>
      </c>
      <c r="N160" s="83">
        <v>4</v>
      </c>
      <c r="Q160" s="83">
        <v>11</v>
      </c>
      <c r="T160" s="83">
        <v>11</v>
      </c>
      <c r="U160" s="83">
        <v>29</v>
      </c>
    </row>
    <row r="161" spans="1:21" x14ac:dyDescent="0.25">
      <c r="A161" s="29"/>
      <c r="B161" s="83" t="s">
        <v>380</v>
      </c>
      <c r="C161" s="29" t="s">
        <v>1903</v>
      </c>
      <c r="D161" s="34">
        <v>3970124</v>
      </c>
      <c r="E161" s="32"/>
      <c r="H161" s="83" t="s">
        <v>1554</v>
      </c>
      <c r="K161" s="83">
        <v>1</v>
      </c>
      <c r="N161" s="83">
        <v>116</v>
      </c>
      <c r="Q161" s="83">
        <v>74</v>
      </c>
      <c r="T161" s="83">
        <v>0</v>
      </c>
      <c r="U161" s="83">
        <v>191</v>
      </c>
    </row>
    <row r="162" spans="1:21" x14ac:dyDescent="0.25">
      <c r="B162" s="83" t="s">
        <v>439</v>
      </c>
      <c r="C162" s="83" t="s">
        <v>441</v>
      </c>
      <c r="D162" s="34">
        <v>3970124</v>
      </c>
      <c r="E162" s="32" t="s">
        <v>1570</v>
      </c>
      <c r="H162" s="83" t="s">
        <v>1554</v>
      </c>
      <c r="K162" s="83">
        <v>45</v>
      </c>
      <c r="N162" s="83">
        <v>54</v>
      </c>
      <c r="Q162" s="83">
        <v>60</v>
      </c>
      <c r="T162" s="83">
        <v>0</v>
      </c>
      <c r="U162" s="83">
        <v>159</v>
      </c>
    </row>
    <row r="163" spans="1:21" x14ac:dyDescent="0.25">
      <c r="B163" s="83" t="s">
        <v>1388</v>
      </c>
      <c r="C163" s="83" t="s">
        <v>1390</v>
      </c>
      <c r="D163" s="34">
        <v>3970124</v>
      </c>
      <c r="E163" s="32"/>
      <c r="H163" s="83" t="s">
        <v>1554</v>
      </c>
      <c r="K163" s="83">
        <v>3</v>
      </c>
      <c r="N163" s="83">
        <v>2</v>
      </c>
      <c r="Q163" s="83">
        <v>2</v>
      </c>
      <c r="T163" s="83">
        <v>1</v>
      </c>
      <c r="U163" s="83">
        <v>8</v>
      </c>
    </row>
    <row r="164" spans="1:21" x14ac:dyDescent="0.25">
      <c r="B164" s="83" t="s">
        <v>411</v>
      </c>
      <c r="C164" s="83" t="s">
        <v>414</v>
      </c>
      <c r="D164" s="34">
        <v>3970124</v>
      </c>
      <c r="E164" s="32"/>
      <c r="H164" s="83" t="s">
        <v>1554</v>
      </c>
      <c r="K164" s="83">
        <v>0</v>
      </c>
      <c r="N164" s="83">
        <v>1</v>
      </c>
      <c r="Q164" s="83">
        <v>0</v>
      </c>
      <c r="T164" s="83">
        <v>0</v>
      </c>
      <c r="U164" s="83">
        <v>1</v>
      </c>
    </row>
    <row r="165" spans="1:21" x14ac:dyDescent="0.25">
      <c r="B165" s="83" t="s">
        <v>1392</v>
      </c>
      <c r="C165" s="83" t="s">
        <v>414</v>
      </c>
      <c r="D165" s="34">
        <v>3970124</v>
      </c>
      <c r="E165" s="32"/>
      <c r="H165" s="83" t="s">
        <v>1554</v>
      </c>
      <c r="K165" s="83">
        <v>6</v>
      </c>
      <c r="N165" s="83">
        <v>6</v>
      </c>
      <c r="Q165" s="83">
        <v>4</v>
      </c>
      <c r="T165" s="83">
        <v>5</v>
      </c>
      <c r="U165" s="83">
        <v>21</v>
      </c>
    </row>
    <row r="166" spans="1:21" x14ac:dyDescent="0.25">
      <c r="B166" s="83" t="s">
        <v>1394</v>
      </c>
      <c r="C166" s="83" t="s">
        <v>416</v>
      </c>
      <c r="D166" s="34">
        <v>3970124</v>
      </c>
      <c r="E166" s="32"/>
      <c r="H166" s="83" t="s">
        <v>1554</v>
      </c>
      <c r="K166" s="83">
        <v>32</v>
      </c>
      <c r="N166" s="83">
        <v>34</v>
      </c>
      <c r="Q166" s="83">
        <v>42</v>
      </c>
      <c r="T166" s="83">
        <v>35</v>
      </c>
      <c r="U166" s="83">
        <v>143</v>
      </c>
    </row>
    <row r="167" spans="1:21" x14ac:dyDescent="0.25">
      <c r="B167" s="83" t="s">
        <v>411</v>
      </c>
      <c r="C167" s="83" t="s">
        <v>416</v>
      </c>
      <c r="D167" s="34">
        <v>3970124</v>
      </c>
      <c r="E167" s="32"/>
      <c r="H167" s="83" t="s">
        <v>1554</v>
      </c>
      <c r="K167" s="83">
        <v>2</v>
      </c>
      <c r="N167" s="83">
        <v>2</v>
      </c>
      <c r="Q167" s="83">
        <v>1</v>
      </c>
      <c r="T167" s="83">
        <v>3</v>
      </c>
      <c r="U167" s="83">
        <v>8</v>
      </c>
    </row>
    <row r="168" spans="1:21" x14ac:dyDescent="0.25">
      <c r="B168" s="83" t="s">
        <v>418</v>
      </c>
      <c r="C168" s="83" t="s">
        <v>416</v>
      </c>
      <c r="D168" s="34">
        <v>3970124</v>
      </c>
      <c r="E168" s="32"/>
      <c r="H168" s="83" t="s">
        <v>1554</v>
      </c>
      <c r="K168" s="83">
        <v>1</v>
      </c>
      <c r="N168" s="83">
        <v>1</v>
      </c>
      <c r="Q168" s="83">
        <v>2</v>
      </c>
      <c r="T168" s="83">
        <v>4</v>
      </c>
      <c r="U168" s="83">
        <v>8</v>
      </c>
    </row>
    <row r="169" spans="1:21" x14ac:dyDescent="0.25">
      <c r="B169" s="83" t="s">
        <v>398</v>
      </c>
      <c r="C169" s="83" t="s">
        <v>443</v>
      </c>
      <c r="D169" s="34">
        <v>3970124</v>
      </c>
      <c r="E169" s="32"/>
      <c r="H169" s="83" t="s">
        <v>1554</v>
      </c>
      <c r="K169" s="83">
        <v>36</v>
      </c>
      <c r="N169" s="83">
        <v>53</v>
      </c>
      <c r="Q169" s="83">
        <v>41</v>
      </c>
      <c r="T169" s="83">
        <v>0</v>
      </c>
      <c r="U169" s="83">
        <v>130</v>
      </c>
    </row>
    <row r="170" spans="1:21" x14ac:dyDescent="0.25">
      <c r="B170" s="83" t="s">
        <v>420</v>
      </c>
      <c r="C170" s="83" t="s">
        <v>421</v>
      </c>
      <c r="D170" s="34">
        <v>3970124</v>
      </c>
      <c r="E170" s="32"/>
      <c r="H170" s="83" t="s">
        <v>1554</v>
      </c>
      <c r="K170" s="83">
        <v>0</v>
      </c>
      <c r="N170" s="83">
        <v>0</v>
      </c>
      <c r="Q170" s="83">
        <v>1</v>
      </c>
      <c r="T170" s="83">
        <v>2</v>
      </c>
      <c r="U170" s="83">
        <v>3</v>
      </c>
    </row>
    <row r="171" spans="1:21" x14ac:dyDescent="0.25">
      <c r="B171" s="83" t="s">
        <v>423</v>
      </c>
      <c r="C171" s="83" t="s">
        <v>421</v>
      </c>
      <c r="D171" s="34">
        <v>3970124</v>
      </c>
      <c r="E171" s="32"/>
      <c r="H171" s="83" t="s">
        <v>1554</v>
      </c>
      <c r="K171" s="83">
        <v>2</v>
      </c>
      <c r="N171" s="83">
        <v>1</v>
      </c>
      <c r="Q171" s="83">
        <v>2</v>
      </c>
      <c r="T171" s="83">
        <v>2</v>
      </c>
      <c r="U171" s="83">
        <v>7</v>
      </c>
    </row>
    <row r="172" spans="1:21" x14ac:dyDescent="0.25">
      <c r="B172" s="83" t="s">
        <v>426</v>
      </c>
      <c r="C172" s="83" t="s">
        <v>421</v>
      </c>
      <c r="D172" s="34">
        <v>3970124</v>
      </c>
      <c r="E172" s="32"/>
      <c r="H172" s="83" t="s">
        <v>1554</v>
      </c>
      <c r="K172" s="83">
        <v>1</v>
      </c>
      <c r="N172" s="83">
        <v>2</v>
      </c>
      <c r="Q172" s="83">
        <v>2</v>
      </c>
      <c r="T172" s="83">
        <v>2</v>
      </c>
      <c r="U172" s="83">
        <v>7</v>
      </c>
    </row>
    <row r="173" spans="1:21" x14ac:dyDescent="0.25">
      <c r="B173" s="83" t="s">
        <v>429</v>
      </c>
      <c r="C173" s="83" t="s">
        <v>421</v>
      </c>
      <c r="D173" s="34">
        <v>3970124</v>
      </c>
      <c r="E173" s="32"/>
      <c r="H173" s="83" t="s">
        <v>1554</v>
      </c>
      <c r="K173" s="83">
        <v>1</v>
      </c>
      <c r="N173" s="83">
        <v>0</v>
      </c>
      <c r="Q173" s="83">
        <v>0</v>
      </c>
      <c r="T173" s="83">
        <v>1</v>
      </c>
      <c r="U173" s="83">
        <v>2</v>
      </c>
    </row>
    <row r="174" spans="1:21" x14ac:dyDescent="0.25">
      <c r="B174" s="83" t="s">
        <v>432</v>
      </c>
      <c r="C174" s="83" t="s">
        <v>421</v>
      </c>
      <c r="D174" s="34">
        <v>3970124</v>
      </c>
      <c r="E174" s="32"/>
      <c r="H174" s="83" t="s">
        <v>1554</v>
      </c>
      <c r="K174" s="83">
        <v>0</v>
      </c>
      <c r="N174" s="83">
        <v>32</v>
      </c>
      <c r="Q174" s="83">
        <v>37</v>
      </c>
      <c r="T174" s="83">
        <v>33</v>
      </c>
      <c r="U174" s="83">
        <v>102</v>
      </c>
    </row>
    <row r="175" spans="1:21" x14ac:dyDescent="0.25">
      <c r="B175" s="83" t="s">
        <v>436</v>
      </c>
      <c r="C175" s="83" t="s">
        <v>437</v>
      </c>
      <c r="D175" s="34">
        <v>3970124</v>
      </c>
      <c r="E175" s="32" t="s">
        <v>1570</v>
      </c>
      <c r="H175" s="83" t="s">
        <v>1554</v>
      </c>
      <c r="K175" s="83">
        <v>24</v>
      </c>
      <c r="N175" s="83">
        <v>35</v>
      </c>
      <c r="Q175" s="83">
        <v>29</v>
      </c>
      <c r="T175" s="83">
        <v>0</v>
      </c>
      <c r="U175" s="83">
        <v>88</v>
      </c>
    </row>
    <row r="176" spans="1:21" x14ac:dyDescent="0.25">
      <c r="B176" s="83" t="s">
        <v>445</v>
      </c>
      <c r="C176" s="83" t="s">
        <v>446</v>
      </c>
      <c r="D176" s="34">
        <v>3970124</v>
      </c>
      <c r="E176" s="32" t="s">
        <v>1570</v>
      </c>
      <c r="H176" s="83" t="s">
        <v>1554</v>
      </c>
      <c r="K176" s="83">
        <v>30</v>
      </c>
      <c r="N176" s="83">
        <v>43</v>
      </c>
      <c r="Q176" s="83">
        <v>34</v>
      </c>
      <c r="T176" s="83">
        <v>0</v>
      </c>
      <c r="U176" s="83">
        <v>107</v>
      </c>
    </row>
    <row r="177" spans="1:21" x14ac:dyDescent="0.25">
      <c r="B177" s="83" t="s">
        <v>482</v>
      </c>
      <c r="C177" s="83" t="s">
        <v>421</v>
      </c>
      <c r="D177" s="34">
        <v>3970124</v>
      </c>
      <c r="E177" s="32"/>
      <c r="H177" s="83" t="s">
        <v>1554</v>
      </c>
      <c r="K177" s="83">
        <v>12</v>
      </c>
      <c r="N177" s="83">
        <v>13</v>
      </c>
      <c r="Q177" s="83">
        <v>11</v>
      </c>
      <c r="T177" s="83">
        <v>11</v>
      </c>
      <c r="U177" s="83">
        <v>47</v>
      </c>
    </row>
    <row r="178" spans="1:21" x14ac:dyDescent="0.25">
      <c r="B178" s="83" t="s">
        <v>499</v>
      </c>
      <c r="C178" s="83" t="s">
        <v>421</v>
      </c>
      <c r="D178" s="34">
        <v>3970124</v>
      </c>
      <c r="E178" s="32"/>
      <c r="H178" s="83" t="s">
        <v>1554</v>
      </c>
      <c r="K178" s="83">
        <v>55</v>
      </c>
      <c r="N178" s="83">
        <v>74</v>
      </c>
      <c r="Q178" s="83">
        <v>45</v>
      </c>
      <c r="T178" s="83">
        <v>33</v>
      </c>
      <c r="U178" s="83">
        <v>207</v>
      </c>
    </row>
    <row r="179" spans="1:21" x14ac:dyDescent="0.25">
      <c r="B179" s="83" t="s">
        <v>1396</v>
      </c>
      <c r="C179" s="83" t="s">
        <v>421</v>
      </c>
      <c r="D179" s="34">
        <v>3970124</v>
      </c>
      <c r="E179" s="32"/>
      <c r="H179" s="83" t="s">
        <v>1554</v>
      </c>
      <c r="K179" s="83">
        <v>94</v>
      </c>
      <c r="N179" s="83">
        <v>241</v>
      </c>
      <c r="Q179" s="83">
        <v>221</v>
      </c>
      <c r="T179" s="83">
        <v>46</v>
      </c>
      <c r="U179" s="83">
        <v>602</v>
      </c>
    </row>
    <row r="180" spans="1:21" x14ac:dyDescent="0.25">
      <c r="B180" s="83" t="s">
        <v>1398</v>
      </c>
      <c r="C180" s="83" t="s">
        <v>421</v>
      </c>
      <c r="D180" s="34">
        <v>3970124</v>
      </c>
      <c r="E180" s="32"/>
      <c r="H180" s="83" t="s">
        <v>1554</v>
      </c>
      <c r="K180" s="83">
        <v>66</v>
      </c>
      <c r="N180" s="83">
        <v>88</v>
      </c>
      <c r="Q180" s="83">
        <v>21</v>
      </c>
      <c r="T180" s="83">
        <v>18</v>
      </c>
      <c r="U180" s="83">
        <v>193</v>
      </c>
    </row>
    <row r="181" spans="1:21" x14ac:dyDescent="0.25">
      <c r="A181" s="29"/>
      <c r="B181" s="83" t="s">
        <v>386</v>
      </c>
      <c r="C181" s="29" t="s">
        <v>1907</v>
      </c>
      <c r="D181" s="34">
        <v>3970124</v>
      </c>
      <c r="E181" s="32"/>
      <c r="H181" s="83" t="s">
        <v>1554</v>
      </c>
      <c r="K181" s="83">
        <v>0</v>
      </c>
      <c r="N181" s="83">
        <v>25</v>
      </c>
      <c r="Q181" s="83">
        <v>8</v>
      </c>
      <c r="T181" s="83">
        <v>17</v>
      </c>
      <c r="U181" s="83">
        <v>50</v>
      </c>
    </row>
    <row r="182" spans="1:21" x14ac:dyDescent="0.25">
      <c r="A182" s="29"/>
      <c r="B182" s="83" t="s">
        <v>391</v>
      </c>
      <c r="C182" s="29" t="s">
        <v>1907</v>
      </c>
      <c r="D182" s="34">
        <v>3970124</v>
      </c>
      <c r="E182" s="32"/>
      <c r="H182" s="83" t="s">
        <v>1554</v>
      </c>
      <c r="K182" s="83">
        <v>53</v>
      </c>
      <c r="N182" s="83">
        <v>52</v>
      </c>
      <c r="Q182" s="83">
        <v>42</v>
      </c>
      <c r="T182" s="83">
        <v>55</v>
      </c>
      <c r="U182" s="83">
        <v>202</v>
      </c>
    </row>
    <row r="183" spans="1:21" x14ac:dyDescent="0.25">
      <c r="A183" s="29"/>
      <c r="B183" s="83" t="s">
        <v>395</v>
      </c>
      <c r="C183" s="29" t="s">
        <v>1907</v>
      </c>
      <c r="D183" s="34">
        <v>3970124</v>
      </c>
      <c r="E183" s="32"/>
      <c r="H183" s="83" t="s">
        <v>1554</v>
      </c>
      <c r="K183" s="83">
        <v>36</v>
      </c>
      <c r="N183" s="83">
        <v>0</v>
      </c>
      <c r="Q183" s="83">
        <v>0</v>
      </c>
      <c r="T183" s="83">
        <v>0</v>
      </c>
      <c r="U183" s="83">
        <v>36</v>
      </c>
    </row>
    <row r="184" spans="1:21" x14ac:dyDescent="0.25">
      <c r="A184" s="29"/>
      <c r="B184" s="83" t="s">
        <v>397</v>
      </c>
      <c r="C184" s="29" t="s">
        <v>1907</v>
      </c>
      <c r="D184" s="34">
        <v>3970124</v>
      </c>
      <c r="E184" s="84"/>
      <c r="H184" s="83" t="s">
        <v>1554</v>
      </c>
      <c r="K184" s="83">
        <v>42</v>
      </c>
      <c r="N184" s="83">
        <v>57</v>
      </c>
      <c r="Q184" s="83">
        <v>0</v>
      </c>
      <c r="T184" s="83">
        <v>0</v>
      </c>
      <c r="U184" s="83">
        <v>99</v>
      </c>
    </row>
    <row r="185" spans="1:21" x14ac:dyDescent="0.25">
      <c r="A185" s="29"/>
      <c r="B185" s="83" t="s">
        <v>398</v>
      </c>
      <c r="C185" s="29" t="s">
        <v>1907</v>
      </c>
      <c r="D185" s="34">
        <v>3970124</v>
      </c>
      <c r="E185" s="84"/>
      <c r="H185" s="83" t="s">
        <v>1554</v>
      </c>
      <c r="K185" s="83">
        <v>0</v>
      </c>
      <c r="N185" s="83">
        <v>1</v>
      </c>
      <c r="Q185" s="83">
        <v>0</v>
      </c>
      <c r="T185" s="83">
        <v>2</v>
      </c>
      <c r="U185" s="83">
        <v>3</v>
      </c>
    </row>
    <row r="186" spans="1:21" x14ac:dyDescent="0.25">
      <c r="A186" s="29"/>
      <c r="B186" s="83" t="s">
        <v>403</v>
      </c>
      <c r="C186" s="29" t="s">
        <v>1907</v>
      </c>
      <c r="D186" s="34">
        <v>3970124</v>
      </c>
      <c r="E186" s="84"/>
      <c r="H186" s="83" t="s">
        <v>1554</v>
      </c>
      <c r="K186" s="83">
        <v>44</v>
      </c>
      <c r="N186" s="83">
        <v>74</v>
      </c>
      <c r="Q186" s="83">
        <v>332</v>
      </c>
      <c r="T186" s="83">
        <v>396</v>
      </c>
      <c r="U186" s="83">
        <v>846</v>
      </c>
    </row>
    <row r="187" spans="1:21" x14ac:dyDescent="0.25">
      <c r="B187" s="83" t="s">
        <v>448</v>
      </c>
      <c r="C187" s="83" t="s">
        <v>449</v>
      </c>
      <c r="D187" s="34">
        <v>3970124</v>
      </c>
      <c r="E187" s="84" t="s">
        <v>1570</v>
      </c>
      <c r="H187" s="83" t="s">
        <v>1554</v>
      </c>
      <c r="K187" s="83">
        <v>8</v>
      </c>
      <c r="N187" s="83">
        <v>9</v>
      </c>
      <c r="Q187" s="83">
        <v>9</v>
      </c>
      <c r="T187" s="83">
        <v>0</v>
      </c>
      <c r="U187" s="83">
        <v>26</v>
      </c>
    </row>
    <row r="188" spans="1:21" x14ac:dyDescent="0.25">
      <c r="B188" s="83" t="s">
        <v>458</v>
      </c>
      <c r="C188" s="83" t="s">
        <v>459</v>
      </c>
      <c r="D188" s="34">
        <v>3970124</v>
      </c>
      <c r="E188" s="84" t="s">
        <v>1570</v>
      </c>
      <c r="H188" s="83" t="s">
        <v>1554</v>
      </c>
      <c r="K188" s="83">
        <v>36</v>
      </c>
      <c r="N188" s="83">
        <v>31</v>
      </c>
      <c r="Q188" s="83">
        <v>45</v>
      </c>
      <c r="T188" s="83">
        <v>0</v>
      </c>
      <c r="U188" s="83">
        <v>112</v>
      </c>
    </row>
    <row r="189" spans="1:21" x14ac:dyDescent="0.25">
      <c r="B189" s="83" t="s">
        <v>466</v>
      </c>
      <c r="C189" s="83" t="s">
        <v>468</v>
      </c>
      <c r="D189" s="34">
        <v>3970124</v>
      </c>
      <c r="E189" s="84"/>
      <c r="H189" s="83" t="s">
        <v>1554</v>
      </c>
      <c r="K189" s="83">
        <v>0</v>
      </c>
      <c r="N189" s="83">
        <v>0</v>
      </c>
      <c r="Q189" s="83">
        <v>0</v>
      </c>
      <c r="T189" s="83">
        <v>0</v>
      </c>
      <c r="U189" s="83">
        <v>0</v>
      </c>
    </row>
    <row r="190" spans="1:21" x14ac:dyDescent="0.25">
      <c r="B190" s="83" t="s">
        <v>398</v>
      </c>
      <c r="C190" s="83" t="s">
        <v>468</v>
      </c>
      <c r="D190" s="34">
        <v>3970124</v>
      </c>
      <c r="E190" s="84"/>
      <c r="H190" s="83" t="s">
        <v>1554</v>
      </c>
      <c r="K190" s="83">
        <v>0</v>
      </c>
      <c r="N190" s="83">
        <v>0</v>
      </c>
      <c r="Q190" s="83">
        <v>0</v>
      </c>
      <c r="T190" s="83">
        <v>0</v>
      </c>
      <c r="U190" s="83">
        <v>0</v>
      </c>
    </row>
    <row r="191" spans="1:21" x14ac:dyDescent="0.25">
      <c r="B191" s="83" t="s">
        <v>471</v>
      </c>
      <c r="C191" s="83" t="s">
        <v>472</v>
      </c>
      <c r="D191" s="34">
        <v>3970124</v>
      </c>
      <c r="E191" s="84"/>
      <c r="H191" s="83" t="s">
        <v>1554</v>
      </c>
      <c r="K191" s="83">
        <v>0</v>
      </c>
      <c r="N191" s="83">
        <v>1</v>
      </c>
      <c r="Q191" s="83">
        <v>0</v>
      </c>
      <c r="T191" s="83">
        <v>1</v>
      </c>
      <c r="U191" s="83">
        <v>2</v>
      </c>
    </row>
    <row r="192" spans="1:21" x14ac:dyDescent="0.25">
      <c r="B192" s="83" t="s">
        <v>475</v>
      </c>
      <c r="C192" s="83" t="s">
        <v>472</v>
      </c>
      <c r="D192" s="34">
        <v>3970124</v>
      </c>
      <c r="E192" s="84"/>
      <c r="H192" s="83" t="s">
        <v>1554</v>
      </c>
      <c r="K192" s="83">
        <v>2</v>
      </c>
      <c r="N192" s="83">
        <v>0</v>
      </c>
      <c r="Q192" s="83">
        <v>0</v>
      </c>
      <c r="T192" s="83">
        <v>0</v>
      </c>
      <c r="U192" s="83">
        <v>2</v>
      </c>
    </row>
    <row r="193" spans="1:21" x14ac:dyDescent="0.25">
      <c r="B193" s="83" t="s">
        <v>477</v>
      </c>
      <c r="C193" s="83" t="s">
        <v>478</v>
      </c>
      <c r="D193" s="34">
        <v>3970124</v>
      </c>
      <c r="E193" s="84"/>
      <c r="H193" s="83" t="s">
        <v>1554</v>
      </c>
      <c r="K193" s="83">
        <v>0</v>
      </c>
      <c r="N193" s="83">
        <v>0</v>
      </c>
      <c r="Q193" s="83">
        <v>0</v>
      </c>
      <c r="T193" s="83">
        <v>0</v>
      </c>
      <c r="U193" s="83">
        <v>0</v>
      </c>
    </row>
    <row r="194" spans="1:21" x14ac:dyDescent="0.25">
      <c r="B194" s="83" t="s">
        <v>398</v>
      </c>
      <c r="C194" s="83" t="s">
        <v>478</v>
      </c>
      <c r="D194" s="34">
        <v>3970124</v>
      </c>
      <c r="E194" s="84"/>
      <c r="H194" s="83" t="s">
        <v>1554</v>
      </c>
      <c r="K194" s="83">
        <v>0</v>
      </c>
      <c r="N194" s="83">
        <v>0</v>
      </c>
      <c r="Q194" s="83">
        <v>0</v>
      </c>
      <c r="T194" s="83">
        <v>0</v>
      </c>
      <c r="U194" s="83">
        <v>0</v>
      </c>
    </row>
    <row r="195" spans="1:21" x14ac:dyDescent="0.25">
      <c r="B195" s="83" t="s">
        <v>484</v>
      </c>
      <c r="C195" s="83" t="s">
        <v>486</v>
      </c>
      <c r="D195" s="34">
        <v>3970124</v>
      </c>
      <c r="E195" s="84"/>
      <c r="H195" s="83" t="s">
        <v>1554</v>
      </c>
      <c r="K195" s="83">
        <v>0</v>
      </c>
      <c r="N195" s="83">
        <v>2</v>
      </c>
      <c r="Q195" s="83">
        <v>2</v>
      </c>
      <c r="T195" s="83">
        <v>0</v>
      </c>
      <c r="U195" s="83">
        <v>4</v>
      </c>
    </row>
    <row r="196" spans="1:21" x14ac:dyDescent="0.25">
      <c r="B196" s="83" t="s">
        <v>488</v>
      </c>
      <c r="C196" s="83" t="s">
        <v>489</v>
      </c>
      <c r="D196" s="34">
        <v>3970124</v>
      </c>
      <c r="E196" s="84"/>
      <c r="H196" s="83" t="s">
        <v>1554</v>
      </c>
      <c r="K196" s="83">
        <v>0</v>
      </c>
      <c r="N196" s="83">
        <v>0</v>
      </c>
      <c r="Q196" s="83">
        <v>0</v>
      </c>
      <c r="T196" s="83">
        <v>0</v>
      </c>
      <c r="U196" s="83">
        <v>0</v>
      </c>
    </row>
    <row r="197" spans="1:21" x14ac:dyDescent="0.25">
      <c r="B197" s="83" t="s">
        <v>398</v>
      </c>
      <c r="C197" s="83" t="s">
        <v>489</v>
      </c>
      <c r="D197" s="34">
        <v>3970124</v>
      </c>
      <c r="E197" s="84"/>
      <c r="H197" s="83" t="s">
        <v>1554</v>
      </c>
      <c r="K197" s="83">
        <v>0</v>
      </c>
      <c r="N197" s="83">
        <v>0</v>
      </c>
      <c r="Q197" s="83">
        <v>0</v>
      </c>
      <c r="T197" s="83">
        <v>0</v>
      </c>
      <c r="U197" s="83">
        <v>0</v>
      </c>
    </row>
    <row r="198" spans="1:21" x14ac:dyDescent="0.25">
      <c r="B198" s="83" t="s">
        <v>398</v>
      </c>
      <c r="C198" s="83" t="s">
        <v>489</v>
      </c>
      <c r="D198" s="34">
        <v>3970124</v>
      </c>
      <c r="E198" s="84"/>
      <c r="H198" s="83" t="s">
        <v>1554</v>
      </c>
      <c r="K198" s="83">
        <v>11</v>
      </c>
      <c r="N198" s="83">
        <v>18</v>
      </c>
      <c r="Q198" s="83">
        <v>14</v>
      </c>
      <c r="T198" s="83">
        <v>14</v>
      </c>
      <c r="U198" s="83">
        <v>57</v>
      </c>
    </row>
    <row r="199" spans="1:21" x14ac:dyDescent="0.25">
      <c r="B199" s="83" t="s">
        <v>493</v>
      </c>
      <c r="C199" s="83" t="s">
        <v>489</v>
      </c>
      <c r="D199" s="34">
        <v>3970124</v>
      </c>
      <c r="E199" s="84"/>
      <c r="H199" s="83" t="s">
        <v>1554</v>
      </c>
      <c r="K199" s="83">
        <v>19</v>
      </c>
      <c r="N199" s="83">
        <v>18</v>
      </c>
      <c r="Q199" s="83">
        <v>15</v>
      </c>
      <c r="T199" s="83">
        <v>12</v>
      </c>
      <c r="U199" s="83">
        <v>64</v>
      </c>
    </row>
    <row r="200" spans="1:21" x14ac:dyDescent="0.25">
      <c r="B200" s="83" t="s">
        <v>398</v>
      </c>
      <c r="C200" s="83" t="s">
        <v>497</v>
      </c>
      <c r="D200" s="34">
        <v>3970124</v>
      </c>
      <c r="E200" s="84"/>
      <c r="H200" s="83" t="s">
        <v>1554</v>
      </c>
      <c r="K200" s="83">
        <v>0</v>
      </c>
      <c r="N200" s="83">
        <v>0</v>
      </c>
      <c r="Q200" s="83">
        <v>0</v>
      </c>
      <c r="T200" s="83">
        <v>0</v>
      </c>
      <c r="U200" s="83">
        <v>0</v>
      </c>
    </row>
    <row r="201" spans="1:21" x14ac:dyDescent="0.25">
      <c r="B201" s="83" t="s">
        <v>471</v>
      </c>
      <c r="C201" s="83" t="s">
        <v>503</v>
      </c>
      <c r="D201" s="34">
        <v>3970124</v>
      </c>
      <c r="E201" s="84"/>
      <c r="H201" s="83" t="s">
        <v>1554</v>
      </c>
      <c r="K201" s="83">
        <v>0</v>
      </c>
      <c r="N201" s="83">
        <v>0</v>
      </c>
      <c r="Q201" s="83">
        <v>0</v>
      </c>
      <c r="T201" s="83">
        <v>0</v>
      </c>
      <c r="U201" s="83">
        <v>0</v>
      </c>
    </row>
    <row r="202" spans="1:21" x14ac:dyDescent="0.25">
      <c r="B202" s="83" t="s">
        <v>767</v>
      </c>
      <c r="C202" s="83" t="s">
        <v>388</v>
      </c>
      <c r="D202" s="34">
        <v>3970124</v>
      </c>
      <c r="E202" s="84"/>
      <c r="H202" s="83" t="s">
        <v>1554</v>
      </c>
      <c r="K202" s="83">
        <v>0</v>
      </c>
      <c r="N202" s="83">
        <v>46</v>
      </c>
      <c r="Q202" s="83">
        <v>36</v>
      </c>
      <c r="T202" s="83">
        <v>20</v>
      </c>
      <c r="U202" s="83">
        <v>102</v>
      </c>
    </row>
    <row r="203" spans="1:21" x14ac:dyDescent="0.25">
      <c r="B203" s="83" t="s">
        <v>799</v>
      </c>
      <c r="C203" s="83" t="s">
        <v>388</v>
      </c>
      <c r="D203" s="34">
        <v>3970124</v>
      </c>
      <c r="E203" s="84"/>
      <c r="H203" s="83" t="s">
        <v>1554</v>
      </c>
      <c r="K203" s="83">
        <v>0</v>
      </c>
      <c r="N203" s="83">
        <v>0</v>
      </c>
      <c r="Q203" s="83">
        <v>1</v>
      </c>
      <c r="T203" s="83">
        <v>0</v>
      </c>
      <c r="U203" s="83">
        <v>1</v>
      </c>
    </row>
    <row r="204" spans="1:21" x14ac:dyDescent="0.25">
      <c r="B204" s="83" t="s">
        <v>1178</v>
      </c>
      <c r="C204" s="83" t="s">
        <v>1180</v>
      </c>
      <c r="D204" s="34">
        <v>3970124</v>
      </c>
      <c r="E204" s="84"/>
      <c r="H204" s="83" t="s">
        <v>1554</v>
      </c>
      <c r="K204" s="83">
        <v>11</v>
      </c>
      <c r="N204" s="83">
        <v>13</v>
      </c>
      <c r="Q204" s="83">
        <v>13</v>
      </c>
      <c r="T204" s="83">
        <v>9</v>
      </c>
      <c r="U204" s="83">
        <v>46</v>
      </c>
    </row>
    <row r="205" spans="1:21" x14ac:dyDescent="0.25">
      <c r="B205" s="83" t="s">
        <v>1311</v>
      </c>
      <c r="C205" s="83" t="s">
        <v>1315</v>
      </c>
      <c r="D205" s="34">
        <v>3970124</v>
      </c>
      <c r="E205" s="84"/>
      <c r="H205" s="83" t="s">
        <v>1554</v>
      </c>
      <c r="K205" s="83">
        <v>73</v>
      </c>
      <c r="N205" s="83">
        <v>26</v>
      </c>
      <c r="Q205" s="83">
        <v>43</v>
      </c>
      <c r="T205" s="83">
        <v>5</v>
      </c>
      <c r="U205" s="83">
        <v>147</v>
      </c>
    </row>
    <row r="206" spans="1:21" x14ac:dyDescent="0.25">
      <c r="B206" s="83" t="s">
        <v>799</v>
      </c>
      <c r="C206" s="83" t="s">
        <v>388</v>
      </c>
      <c r="D206" s="34">
        <v>3970124</v>
      </c>
      <c r="E206" s="84"/>
      <c r="H206" s="83" t="s">
        <v>1554</v>
      </c>
      <c r="K206" s="83">
        <v>0</v>
      </c>
      <c r="N206" s="83">
        <v>0</v>
      </c>
      <c r="Q206" s="83">
        <v>1</v>
      </c>
      <c r="T206" s="83">
        <v>0</v>
      </c>
      <c r="U206" s="83">
        <v>1</v>
      </c>
    </row>
    <row r="207" spans="1:21" x14ac:dyDescent="0.25">
      <c r="B207" s="83" t="s">
        <v>803</v>
      </c>
      <c r="C207" s="83" t="s">
        <v>497</v>
      </c>
      <c r="D207" s="34">
        <v>3970124</v>
      </c>
      <c r="E207" s="84"/>
      <c r="H207" s="83" t="s">
        <v>1554</v>
      </c>
      <c r="K207" s="83">
        <v>0</v>
      </c>
      <c r="N207" s="83">
        <v>0</v>
      </c>
      <c r="Q207" s="83">
        <v>1</v>
      </c>
      <c r="T207" s="83">
        <v>0</v>
      </c>
      <c r="U207" s="83">
        <v>1</v>
      </c>
    </row>
    <row r="208" spans="1:21" x14ac:dyDescent="0.25">
      <c r="A208" s="29"/>
      <c r="B208" s="29" t="s">
        <v>1919</v>
      </c>
      <c r="C208" s="29" t="s">
        <v>1907</v>
      </c>
      <c r="D208" s="34">
        <v>3970124</v>
      </c>
      <c r="E208" s="32"/>
      <c r="H208" s="83" t="s">
        <v>1554</v>
      </c>
      <c r="I208" s="83">
        <v>85</v>
      </c>
      <c r="K208" s="83"/>
      <c r="U208" s="83">
        <v>76.650000000000006</v>
      </c>
    </row>
    <row r="209" spans="1:21" x14ac:dyDescent="0.25">
      <c r="A209" s="24"/>
      <c r="B209" s="83" t="s">
        <v>1289</v>
      </c>
      <c r="C209" s="24" t="s">
        <v>1916</v>
      </c>
      <c r="D209" s="34">
        <v>3970055</v>
      </c>
      <c r="H209" s="83" t="s">
        <v>1554</v>
      </c>
      <c r="K209" s="83">
        <v>8</v>
      </c>
      <c r="N209" s="83">
        <v>8</v>
      </c>
      <c r="Q209" s="83">
        <v>7</v>
      </c>
      <c r="T209" s="83">
        <v>8</v>
      </c>
      <c r="U209" s="83">
        <v>76.650000000000006</v>
      </c>
    </row>
    <row r="210" spans="1:21" x14ac:dyDescent="0.25">
      <c r="B210" s="83" t="s">
        <v>958</v>
      </c>
      <c r="C210" s="83" t="s">
        <v>962</v>
      </c>
      <c r="D210" s="34">
        <v>3970055</v>
      </c>
      <c r="H210" s="83" t="s">
        <v>1554</v>
      </c>
      <c r="K210" s="83">
        <v>10</v>
      </c>
      <c r="N210" s="83">
        <v>17</v>
      </c>
      <c r="Q210" s="83">
        <v>15</v>
      </c>
      <c r="T210" s="83">
        <v>12</v>
      </c>
      <c r="U210" s="83">
        <v>54</v>
      </c>
    </row>
    <row r="211" spans="1:21" x14ac:dyDescent="0.25">
      <c r="B211" s="83" t="s">
        <v>958</v>
      </c>
      <c r="C211" s="83" t="s">
        <v>966</v>
      </c>
      <c r="D211" s="34">
        <v>3970055</v>
      </c>
      <c r="H211" s="83" t="s">
        <v>1554</v>
      </c>
      <c r="I211" s="83">
        <v>86</v>
      </c>
      <c r="U211" s="83">
        <v>2525</v>
      </c>
    </row>
    <row r="212" spans="1:21" x14ac:dyDescent="0.25">
      <c r="B212" s="83" t="s">
        <v>514</v>
      </c>
      <c r="C212" s="83" t="s">
        <v>515</v>
      </c>
      <c r="D212" s="83">
        <v>4370010</v>
      </c>
      <c r="H212" s="83" t="s">
        <v>1554</v>
      </c>
      <c r="I212" s="83">
        <v>87</v>
      </c>
      <c r="K212" s="83">
        <v>44</v>
      </c>
      <c r="N212" s="83">
        <v>69</v>
      </c>
      <c r="Q212" s="83">
        <v>35</v>
      </c>
      <c r="T212" s="83">
        <v>19</v>
      </c>
      <c r="U212" s="83">
        <v>167</v>
      </c>
    </row>
    <row r="213" spans="1:21" x14ac:dyDescent="0.25">
      <c r="B213" s="83" t="s">
        <v>505</v>
      </c>
      <c r="C213" s="83" t="s">
        <v>508</v>
      </c>
      <c r="D213" s="83">
        <v>4370020</v>
      </c>
      <c r="H213" s="83" t="s">
        <v>1554</v>
      </c>
      <c r="I213" s="83">
        <v>88</v>
      </c>
      <c r="K213" s="83">
        <v>31</v>
      </c>
      <c r="N213" s="83">
        <v>89</v>
      </c>
      <c r="Q213" s="83">
        <v>53</v>
      </c>
      <c r="T213" s="83">
        <v>21</v>
      </c>
      <c r="U213" s="83">
        <v>194</v>
      </c>
    </row>
    <row r="214" spans="1:21" x14ac:dyDescent="0.25">
      <c r="B214" s="83" t="s">
        <v>517</v>
      </c>
      <c r="C214" s="83" t="s">
        <v>518</v>
      </c>
      <c r="D214" s="83">
        <v>4370030</v>
      </c>
      <c r="H214" s="83" t="s">
        <v>1554</v>
      </c>
      <c r="I214" s="83">
        <v>89</v>
      </c>
      <c r="K214" s="83">
        <v>9</v>
      </c>
      <c r="N214" s="83">
        <v>23</v>
      </c>
      <c r="Q214" s="83">
        <v>49</v>
      </c>
      <c r="T214" s="83">
        <v>19</v>
      </c>
      <c r="U214" s="83">
        <v>100</v>
      </c>
    </row>
    <row r="215" spans="1:21" x14ac:dyDescent="0.25">
      <c r="B215" s="83" t="s">
        <v>510</v>
      </c>
      <c r="C215" s="83" t="s">
        <v>512</v>
      </c>
      <c r="D215" s="83">
        <v>4370040</v>
      </c>
      <c r="H215" s="83" t="s">
        <v>1554</v>
      </c>
      <c r="I215" s="83">
        <v>90</v>
      </c>
      <c r="K215" s="83">
        <v>29</v>
      </c>
      <c r="N215" s="83">
        <v>104</v>
      </c>
      <c r="Q215" s="83">
        <v>51</v>
      </c>
      <c r="T215" s="83">
        <v>12</v>
      </c>
      <c r="U215" s="83">
        <v>196</v>
      </c>
    </row>
    <row r="216" spans="1:21" x14ac:dyDescent="0.25">
      <c r="B216" s="83" t="s">
        <v>1322</v>
      </c>
      <c r="C216" s="83" t="s">
        <v>1326</v>
      </c>
      <c r="D216" s="34">
        <v>4370050</v>
      </c>
      <c r="H216" s="83" t="s">
        <v>1554</v>
      </c>
      <c r="I216" s="83">
        <v>91</v>
      </c>
      <c r="K216" s="83">
        <v>12</v>
      </c>
      <c r="N216" s="83">
        <v>70</v>
      </c>
      <c r="Q216" s="83">
        <v>23</v>
      </c>
      <c r="T216" s="83">
        <v>17</v>
      </c>
      <c r="U216" s="83">
        <v>122</v>
      </c>
    </row>
    <row r="217" spans="1:21" x14ac:dyDescent="0.25">
      <c r="A217" s="29"/>
      <c r="B217" s="29" t="s">
        <v>1922</v>
      </c>
      <c r="C217" s="29" t="s">
        <v>1921</v>
      </c>
      <c r="D217" s="34">
        <v>4380007</v>
      </c>
      <c r="H217" s="83" t="s">
        <v>1554</v>
      </c>
      <c r="I217" s="83">
        <v>92</v>
      </c>
      <c r="K217" s="83">
        <v>4</v>
      </c>
      <c r="N217" s="83">
        <v>6</v>
      </c>
      <c r="Q217" s="83">
        <v>6</v>
      </c>
      <c r="T217" s="83">
        <v>5</v>
      </c>
      <c r="U217" s="83">
        <v>76.650000000000006</v>
      </c>
    </row>
    <row r="218" spans="1:21" x14ac:dyDescent="0.25">
      <c r="A218" s="29"/>
      <c r="B218" s="29" t="s">
        <v>1925</v>
      </c>
      <c r="C218" s="29" t="s">
        <v>1924</v>
      </c>
      <c r="D218" s="34">
        <v>4320150</v>
      </c>
      <c r="H218" s="83" t="s">
        <v>1554</v>
      </c>
      <c r="K218" s="83">
        <v>114</v>
      </c>
      <c r="N218" s="83">
        <v>67</v>
      </c>
      <c r="Q218" s="83">
        <v>62</v>
      </c>
      <c r="T218" s="83">
        <v>43</v>
      </c>
      <c r="U218" s="83">
        <v>286</v>
      </c>
    </row>
    <row r="219" spans="1:21" x14ac:dyDescent="0.25">
      <c r="A219" s="29"/>
      <c r="B219" s="29" t="s">
        <v>1925</v>
      </c>
      <c r="C219" s="29" t="s">
        <v>1924</v>
      </c>
      <c r="D219" s="34">
        <v>4320150</v>
      </c>
      <c r="H219" s="83" t="s">
        <v>1554</v>
      </c>
      <c r="I219" s="83">
        <v>93</v>
      </c>
      <c r="K219" s="83">
        <v>141</v>
      </c>
      <c r="N219" s="83">
        <v>72</v>
      </c>
      <c r="Q219" s="83">
        <v>82</v>
      </c>
      <c r="T219" s="83">
        <v>59</v>
      </c>
      <c r="U219" s="83">
        <v>354</v>
      </c>
    </row>
    <row r="220" spans="1:21" x14ac:dyDescent="0.25">
      <c r="A220" s="29"/>
      <c r="B220" s="29" t="s">
        <v>1930</v>
      </c>
      <c r="C220" s="29" t="s">
        <v>1929</v>
      </c>
      <c r="D220" s="34">
        <v>4500009</v>
      </c>
      <c r="H220" s="83" t="s">
        <v>1554</v>
      </c>
      <c r="I220" s="83">
        <v>94</v>
      </c>
      <c r="K220" s="142">
        <v>6</v>
      </c>
      <c r="N220" s="83">
        <v>7</v>
      </c>
      <c r="Q220" s="83">
        <v>12</v>
      </c>
      <c r="T220" s="83">
        <v>62</v>
      </c>
      <c r="U220" s="83">
        <v>87</v>
      </c>
    </row>
    <row r="221" spans="1:21" x14ac:dyDescent="0.25">
      <c r="B221" s="29"/>
      <c r="C221" s="29" t="s">
        <v>1932</v>
      </c>
      <c r="D221" s="34">
        <v>4500021</v>
      </c>
      <c r="H221" s="83" t="s">
        <v>1554</v>
      </c>
      <c r="I221" s="83">
        <v>95</v>
      </c>
      <c r="U221" s="83">
        <v>100</v>
      </c>
    </row>
    <row r="222" spans="1:21" x14ac:dyDescent="0.25">
      <c r="B222" s="29" t="s">
        <v>1934</v>
      </c>
      <c r="C222" s="83" t="s">
        <v>552</v>
      </c>
      <c r="D222" s="34">
        <v>4500022</v>
      </c>
      <c r="H222" s="83" t="s">
        <v>1554</v>
      </c>
      <c r="I222" s="83">
        <v>96</v>
      </c>
      <c r="U222" s="83">
        <v>136</v>
      </c>
    </row>
    <row r="223" spans="1:21" x14ac:dyDescent="0.25">
      <c r="A223" s="29"/>
      <c r="B223" s="29" t="s">
        <v>1938</v>
      </c>
      <c r="C223" s="29" t="s">
        <v>1937</v>
      </c>
      <c r="D223" s="34">
        <v>4500029</v>
      </c>
      <c r="H223" s="83" t="s">
        <v>1554</v>
      </c>
      <c r="I223" s="83">
        <v>97</v>
      </c>
      <c r="K223" s="83">
        <v>14</v>
      </c>
      <c r="N223" s="83">
        <v>61</v>
      </c>
      <c r="Q223" s="83">
        <v>23</v>
      </c>
      <c r="T223" s="83">
        <v>9</v>
      </c>
      <c r="U223" s="83">
        <v>107</v>
      </c>
    </row>
    <row r="224" spans="1:21" x14ac:dyDescent="0.25">
      <c r="A224" s="29"/>
      <c r="B224" s="29" t="s">
        <v>1941</v>
      </c>
      <c r="C224" s="29" t="s">
        <v>1940</v>
      </c>
      <c r="D224" s="34">
        <v>4500035</v>
      </c>
      <c r="H224" s="83" t="s">
        <v>1554</v>
      </c>
      <c r="I224" s="83">
        <v>98</v>
      </c>
      <c r="K224" s="83">
        <v>17</v>
      </c>
      <c r="N224" s="83">
        <v>11</v>
      </c>
      <c r="Q224" s="83">
        <v>8</v>
      </c>
      <c r="T224" s="83">
        <v>15</v>
      </c>
      <c r="U224" s="83">
        <v>76.650000000000006</v>
      </c>
    </row>
    <row r="225" spans="1:21" x14ac:dyDescent="0.25">
      <c r="A225" s="29"/>
      <c r="B225" s="29" t="s">
        <v>1944</v>
      </c>
      <c r="C225" s="29" t="s">
        <v>1943</v>
      </c>
      <c r="D225" s="34">
        <v>4500040</v>
      </c>
      <c r="H225" s="83" t="s">
        <v>1554</v>
      </c>
      <c r="I225" s="83">
        <v>99</v>
      </c>
      <c r="K225" s="83">
        <v>15</v>
      </c>
      <c r="N225" s="83">
        <v>90</v>
      </c>
      <c r="Q225" s="83">
        <v>45</v>
      </c>
      <c r="T225" s="83">
        <v>3</v>
      </c>
      <c r="U225" s="83">
        <v>153</v>
      </c>
    </row>
    <row r="226" spans="1:21" x14ac:dyDescent="0.25">
      <c r="A226" s="29"/>
      <c r="B226" s="29" t="s">
        <v>1871</v>
      </c>
      <c r="C226" s="29" t="s">
        <v>1946</v>
      </c>
      <c r="D226" s="34">
        <v>4500059</v>
      </c>
      <c r="H226" s="83" t="s">
        <v>1554</v>
      </c>
      <c r="I226" s="83">
        <v>100</v>
      </c>
      <c r="K226" s="83">
        <v>187</v>
      </c>
      <c r="N226" s="83">
        <v>102</v>
      </c>
      <c r="Q226" s="83">
        <v>145</v>
      </c>
      <c r="T226" s="83">
        <v>137</v>
      </c>
      <c r="U226" s="83">
        <v>571</v>
      </c>
    </row>
    <row r="227" spans="1:21" x14ac:dyDescent="0.25">
      <c r="A227" s="29"/>
      <c r="B227" s="29" t="s">
        <v>1949</v>
      </c>
      <c r="C227" s="29" t="s">
        <v>1948</v>
      </c>
      <c r="D227" s="24">
        <v>4520015</v>
      </c>
      <c r="H227" s="83" t="s">
        <v>1554</v>
      </c>
      <c r="K227" s="83">
        <v>58</v>
      </c>
      <c r="N227" s="83">
        <v>48</v>
      </c>
      <c r="Q227" s="83">
        <v>50</v>
      </c>
      <c r="T227" s="83">
        <v>53</v>
      </c>
      <c r="U227" s="83">
        <v>209</v>
      </c>
    </row>
    <row r="228" spans="1:21" x14ac:dyDescent="0.25">
      <c r="B228" s="29" t="s">
        <v>1951</v>
      </c>
      <c r="C228" s="83" t="s">
        <v>602</v>
      </c>
      <c r="D228" s="24">
        <v>4520015</v>
      </c>
      <c r="H228" s="83" t="s">
        <v>1554</v>
      </c>
      <c r="I228" s="83">
        <v>101</v>
      </c>
      <c r="U228" s="83">
        <v>1028</v>
      </c>
    </row>
    <row r="229" spans="1:21" x14ac:dyDescent="0.25">
      <c r="A229" s="29"/>
      <c r="B229" s="29" t="s">
        <v>1956</v>
      </c>
      <c r="C229" s="29" t="s">
        <v>1955</v>
      </c>
      <c r="D229" s="24">
        <v>4520012</v>
      </c>
      <c r="H229" s="83" t="s">
        <v>1554</v>
      </c>
      <c r="I229" s="83">
        <v>102</v>
      </c>
      <c r="K229" s="83">
        <v>3</v>
      </c>
      <c r="N229" s="83">
        <v>3</v>
      </c>
      <c r="Q229" s="83">
        <v>2</v>
      </c>
      <c r="T229" s="83">
        <v>3</v>
      </c>
      <c r="U229" s="83">
        <v>76.650000000000006</v>
      </c>
    </row>
    <row r="230" spans="1:21" x14ac:dyDescent="0.25">
      <c r="A230" s="29"/>
      <c r="B230" s="29" t="s">
        <v>1959</v>
      </c>
      <c r="C230" s="29" t="s">
        <v>1958</v>
      </c>
      <c r="D230" s="24">
        <v>4520018</v>
      </c>
      <c r="H230" s="83" t="s">
        <v>1554</v>
      </c>
      <c r="I230" s="83">
        <v>103</v>
      </c>
      <c r="K230" s="83">
        <v>67</v>
      </c>
      <c r="N230" s="83">
        <v>15</v>
      </c>
      <c r="Q230" s="83">
        <v>11</v>
      </c>
      <c r="T230" s="83">
        <v>23</v>
      </c>
      <c r="U230" s="83">
        <v>116</v>
      </c>
    </row>
    <row r="231" spans="1:21" x14ac:dyDescent="0.25">
      <c r="A231" s="29"/>
      <c r="B231" s="29" t="s">
        <v>1962</v>
      </c>
      <c r="C231" s="29" t="s">
        <v>1961</v>
      </c>
      <c r="D231" s="24">
        <v>4520020</v>
      </c>
      <c r="H231" s="83" t="s">
        <v>1554</v>
      </c>
      <c r="I231" s="83">
        <v>104</v>
      </c>
      <c r="K231" s="83">
        <v>52</v>
      </c>
      <c r="N231" s="83">
        <v>49</v>
      </c>
      <c r="Q231" s="83">
        <v>118</v>
      </c>
      <c r="T231" s="83">
        <v>44</v>
      </c>
      <c r="U231" s="83">
        <v>263</v>
      </c>
    </row>
    <row r="232" spans="1:21" x14ac:dyDescent="0.25">
      <c r="A232" s="29"/>
      <c r="B232" s="29" t="s">
        <v>1965</v>
      </c>
      <c r="C232" s="29" t="s">
        <v>1964</v>
      </c>
      <c r="D232" s="24">
        <v>4520046</v>
      </c>
      <c r="H232" s="83" t="s">
        <v>1554</v>
      </c>
      <c r="I232" s="83">
        <v>105</v>
      </c>
      <c r="K232" s="83">
        <v>17</v>
      </c>
      <c r="N232" s="83">
        <v>20</v>
      </c>
      <c r="Q232" s="83">
        <v>18</v>
      </c>
      <c r="T232" s="83">
        <v>18</v>
      </c>
      <c r="U232" s="83">
        <v>76.650000000000006</v>
      </c>
    </row>
    <row r="233" spans="1:21" x14ac:dyDescent="0.25">
      <c r="A233" s="29"/>
      <c r="B233" s="24" t="s">
        <v>1373</v>
      </c>
      <c r="C233" s="29" t="s">
        <v>1967</v>
      </c>
      <c r="D233" s="24">
        <v>4520054</v>
      </c>
      <c r="H233" s="83" t="s">
        <v>1554</v>
      </c>
      <c r="K233" s="83">
        <v>1</v>
      </c>
      <c r="N233" s="83">
        <v>2</v>
      </c>
      <c r="Q233" s="83">
        <v>2</v>
      </c>
      <c r="T233" s="83">
        <v>2</v>
      </c>
      <c r="U233" s="83">
        <v>7</v>
      </c>
    </row>
    <row r="234" spans="1:21" x14ac:dyDescent="0.25">
      <c r="A234" s="29"/>
      <c r="B234" s="83" t="s">
        <v>1092</v>
      </c>
      <c r="C234" s="29" t="s">
        <v>1967</v>
      </c>
      <c r="D234" s="24">
        <v>4520054</v>
      </c>
      <c r="H234" s="83" t="s">
        <v>1554</v>
      </c>
      <c r="K234" s="83">
        <v>118</v>
      </c>
      <c r="N234" s="83">
        <v>114</v>
      </c>
      <c r="Q234" s="83">
        <v>101</v>
      </c>
      <c r="T234" s="83">
        <v>193</v>
      </c>
      <c r="U234" s="83">
        <v>526</v>
      </c>
    </row>
    <row r="235" spans="1:21" x14ac:dyDescent="0.25">
      <c r="A235" s="29"/>
      <c r="B235" s="83" t="s">
        <v>1092</v>
      </c>
      <c r="C235" s="29" t="s">
        <v>1967</v>
      </c>
      <c r="D235" s="24">
        <v>4520054</v>
      </c>
      <c r="H235" s="83" t="s">
        <v>1554</v>
      </c>
      <c r="K235" s="83">
        <v>124</v>
      </c>
      <c r="N235" s="83">
        <v>119</v>
      </c>
      <c r="Q235" s="83">
        <v>105</v>
      </c>
      <c r="T235" s="83">
        <v>202</v>
      </c>
      <c r="U235" s="83">
        <v>550</v>
      </c>
    </row>
    <row r="236" spans="1:21" x14ac:dyDescent="0.25">
      <c r="A236" s="29"/>
      <c r="B236" s="83" t="s">
        <v>1095</v>
      </c>
      <c r="C236" s="29" t="s">
        <v>1967</v>
      </c>
      <c r="D236" s="24">
        <v>4520054</v>
      </c>
      <c r="H236" s="83" t="s">
        <v>1554</v>
      </c>
      <c r="K236" s="83">
        <v>0</v>
      </c>
      <c r="N236" s="83">
        <v>0</v>
      </c>
      <c r="Q236" s="83">
        <v>0</v>
      </c>
      <c r="T236" s="83">
        <v>0</v>
      </c>
      <c r="U236" s="83">
        <v>0</v>
      </c>
    </row>
    <row r="237" spans="1:21" x14ac:dyDescent="0.25">
      <c r="A237" s="29"/>
      <c r="B237" s="83" t="s">
        <v>1097</v>
      </c>
      <c r="C237" s="29" t="s">
        <v>1967</v>
      </c>
      <c r="D237" s="24">
        <v>4520054</v>
      </c>
      <c r="H237" s="83" t="s">
        <v>1554</v>
      </c>
      <c r="K237" s="83">
        <v>6</v>
      </c>
      <c r="N237" s="83">
        <v>6</v>
      </c>
      <c r="Q237" s="83">
        <v>7</v>
      </c>
      <c r="T237" s="83">
        <v>5</v>
      </c>
      <c r="U237" s="83">
        <v>24</v>
      </c>
    </row>
    <row r="238" spans="1:21" x14ac:dyDescent="0.25">
      <c r="A238" s="29"/>
      <c r="B238" s="29" t="s">
        <v>1969</v>
      </c>
      <c r="C238" s="29" t="s">
        <v>1967</v>
      </c>
      <c r="D238" s="24">
        <v>4520054</v>
      </c>
      <c r="H238" s="83" t="s">
        <v>1554</v>
      </c>
      <c r="I238" s="83">
        <v>106</v>
      </c>
      <c r="K238" s="85"/>
      <c r="N238" s="85"/>
      <c r="Q238" s="85"/>
      <c r="T238" s="85"/>
      <c r="U238" s="85"/>
    </row>
    <row r="239" spans="1:21" x14ac:dyDescent="0.25">
      <c r="A239" s="29"/>
      <c r="B239" s="83" t="s">
        <v>563</v>
      </c>
      <c r="C239" s="29" t="s">
        <v>1971</v>
      </c>
      <c r="D239" s="24">
        <v>4520395</v>
      </c>
      <c r="H239" s="83" t="s">
        <v>1554</v>
      </c>
      <c r="K239" s="83">
        <v>2</v>
      </c>
      <c r="N239" s="83">
        <v>3</v>
      </c>
      <c r="Q239" s="83">
        <v>2</v>
      </c>
      <c r="T239" s="83">
        <v>9</v>
      </c>
      <c r="U239" s="83">
        <v>16</v>
      </c>
    </row>
    <row r="240" spans="1:21" x14ac:dyDescent="0.25">
      <c r="A240" s="29"/>
      <c r="B240" s="83" t="s">
        <v>125</v>
      </c>
      <c r="C240" s="29" t="s">
        <v>1971</v>
      </c>
      <c r="D240" s="24">
        <v>4520395</v>
      </c>
      <c r="H240" s="83" t="s">
        <v>1554</v>
      </c>
      <c r="K240" s="83">
        <v>2</v>
      </c>
      <c r="N240" s="83">
        <v>2</v>
      </c>
      <c r="Q240" s="83">
        <v>1</v>
      </c>
      <c r="T240" s="83">
        <v>1</v>
      </c>
      <c r="U240" s="83">
        <v>6</v>
      </c>
    </row>
    <row r="241" spans="1:21" x14ac:dyDescent="0.25">
      <c r="A241" s="29"/>
      <c r="B241" s="83" t="s">
        <v>570</v>
      </c>
      <c r="C241" s="29" t="s">
        <v>1971</v>
      </c>
      <c r="D241" s="24">
        <v>4520395</v>
      </c>
      <c r="H241" s="83" t="s">
        <v>1554</v>
      </c>
      <c r="K241" s="83">
        <v>7</v>
      </c>
      <c r="N241" s="83">
        <v>9</v>
      </c>
      <c r="Q241" s="83">
        <v>8</v>
      </c>
      <c r="T241" s="83">
        <v>8</v>
      </c>
      <c r="U241" s="83">
        <v>32</v>
      </c>
    </row>
    <row r="242" spans="1:21" x14ac:dyDescent="0.25">
      <c r="A242" s="29"/>
      <c r="B242" s="83" t="s">
        <v>125</v>
      </c>
      <c r="C242" s="29" t="s">
        <v>1971</v>
      </c>
      <c r="D242" s="24">
        <v>4520395</v>
      </c>
      <c r="H242" s="83" t="s">
        <v>1554</v>
      </c>
      <c r="K242" s="83">
        <v>0</v>
      </c>
      <c r="N242" s="83">
        <v>1</v>
      </c>
      <c r="Q242" s="83">
        <v>0</v>
      </c>
      <c r="T242" s="83">
        <v>0</v>
      </c>
      <c r="U242" s="83">
        <v>1</v>
      </c>
    </row>
    <row r="243" spans="1:21" x14ac:dyDescent="0.25">
      <c r="A243" s="29"/>
      <c r="B243" s="83" t="s">
        <v>125</v>
      </c>
      <c r="C243" s="29" t="s">
        <v>1971</v>
      </c>
      <c r="D243" s="24">
        <v>4520395</v>
      </c>
      <c r="H243" s="83" t="s">
        <v>1554</v>
      </c>
      <c r="K243" s="83">
        <v>10</v>
      </c>
      <c r="N243" s="83">
        <v>8</v>
      </c>
      <c r="Q243" s="83">
        <v>27</v>
      </c>
      <c r="T243" s="83">
        <v>16</v>
      </c>
      <c r="U243" s="83">
        <v>61</v>
      </c>
    </row>
    <row r="244" spans="1:21" x14ac:dyDescent="0.25">
      <c r="A244" s="29"/>
      <c r="B244" s="83" t="s">
        <v>125</v>
      </c>
      <c r="C244" s="29" t="s">
        <v>1971</v>
      </c>
      <c r="D244" s="24">
        <v>4520395</v>
      </c>
      <c r="H244" s="83" t="s">
        <v>1554</v>
      </c>
      <c r="I244" s="83">
        <v>107</v>
      </c>
      <c r="K244" s="83">
        <v>0</v>
      </c>
      <c r="N244" s="83">
        <v>1</v>
      </c>
      <c r="Q244" s="83">
        <v>0</v>
      </c>
      <c r="T244" s="83">
        <v>0</v>
      </c>
      <c r="U244" s="83">
        <v>1</v>
      </c>
    </row>
    <row r="245" spans="1:21" x14ac:dyDescent="0.25">
      <c r="A245" s="29"/>
      <c r="B245" s="83" t="s">
        <v>607</v>
      </c>
      <c r="C245" s="29" t="s">
        <v>1977</v>
      </c>
      <c r="D245" s="24">
        <v>4520427</v>
      </c>
      <c r="H245" s="83" t="s">
        <v>1554</v>
      </c>
      <c r="K245" s="83">
        <v>24</v>
      </c>
      <c r="N245" s="83">
        <v>24</v>
      </c>
      <c r="Q245" s="83">
        <v>26</v>
      </c>
      <c r="T245" s="83">
        <v>21</v>
      </c>
      <c r="U245" s="83">
        <v>95</v>
      </c>
    </row>
    <row r="246" spans="1:21" x14ac:dyDescent="0.25">
      <c r="A246" s="29"/>
      <c r="B246" s="83" t="s">
        <v>611</v>
      </c>
      <c r="C246" s="29" t="s">
        <v>1977</v>
      </c>
      <c r="D246" s="24">
        <v>4520427</v>
      </c>
      <c r="H246" s="83" t="s">
        <v>1554</v>
      </c>
      <c r="K246" s="83">
        <v>12</v>
      </c>
      <c r="N246" s="83">
        <v>18</v>
      </c>
      <c r="Q246" s="83">
        <v>15</v>
      </c>
      <c r="T246" s="83">
        <v>10</v>
      </c>
      <c r="U246" s="83">
        <v>55</v>
      </c>
    </row>
    <row r="247" spans="1:21" x14ac:dyDescent="0.25">
      <c r="A247" s="29"/>
      <c r="B247" s="83" t="s">
        <v>614</v>
      </c>
      <c r="C247" s="29" t="s">
        <v>1977</v>
      </c>
      <c r="D247" s="24">
        <v>4520427</v>
      </c>
      <c r="H247" s="83" t="s">
        <v>1554</v>
      </c>
      <c r="K247" s="83">
        <v>1</v>
      </c>
      <c r="N247" s="83">
        <v>1</v>
      </c>
      <c r="Q247" s="83">
        <v>0</v>
      </c>
      <c r="T247" s="83">
        <v>1</v>
      </c>
      <c r="U247" s="83">
        <v>3</v>
      </c>
    </row>
    <row r="248" spans="1:21" x14ac:dyDescent="0.25">
      <c r="A248" s="29"/>
      <c r="B248" s="83" t="s">
        <v>880</v>
      </c>
      <c r="C248" s="29" t="s">
        <v>1977</v>
      </c>
      <c r="D248" s="24">
        <v>4520427</v>
      </c>
      <c r="H248" s="83" t="s">
        <v>1554</v>
      </c>
      <c r="K248" s="83">
        <v>3</v>
      </c>
      <c r="N248" s="83">
        <v>3</v>
      </c>
      <c r="Q248" s="83">
        <v>3</v>
      </c>
      <c r="T248" s="83">
        <v>3</v>
      </c>
      <c r="U248" s="83">
        <v>12</v>
      </c>
    </row>
    <row r="249" spans="1:21" x14ac:dyDescent="0.25">
      <c r="A249" s="29"/>
      <c r="B249" s="83" t="s">
        <v>906</v>
      </c>
      <c r="C249" s="29" t="s">
        <v>1977</v>
      </c>
      <c r="D249" s="24">
        <v>4520427</v>
      </c>
      <c r="E249" s="83" t="s">
        <v>1570</v>
      </c>
      <c r="H249" s="83" t="s">
        <v>1554</v>
      </c>
      <c r="K249" s="83">
        <v>172</v>
      </c>
      <c r="N249" s="83">
        <v>250</v>
      </c>
      <c r="Q249" s="83">
        <v>15</v>
      </c>
      <c r="T249" s="83">
        <v>0</v>
      </c>
      <c r="U249" s="83">
        <v>437</v>
      </c>
    </row>
    <row r="250" spans="1:21" x14ac:dyDescent="0.25">
      <c r="A250" s="29"/>
      <c r="B250" s="83" t="s">
        <v>1085</v>
      </c>
      <c r="C250" s="29" t="s">
        <v>1977</v>
      </c>
      <c r="D250" s="24">
        <v>4520427</v>
      </c>
      <c r="H250" s="83" t="s">
        <v>1554</v>
      </c>
      <c r="I250" s="83">
        <v>108</v>
      </c>
      <c r="K250" s="83">
        <v>15</v>
      </c>
      <c r="N250" s="83">
        <v>15</v>
      </c>
      <c r="Q250" s="83">
        <v>17</v>
      </c>
      <c r="T250" s="83">
        <v>16</v>
      </c>
      <c r="U250" s="83">
        <v>63</v>
      </c>
    </row>
    <row r="251" spans="1:21" x14ac:dyDescent="0.25">
      <c r="A251" s="29"/>
      <c r="B251" s="29" t="s">
        <v>1980</v>
      </c>
      <c r="C251" s="29" t="s">
        <v>1979</v>
      </c>
      <c r="D251" s="24">
        <v>4520590</v>
      </c>
      <c r="H251" s="83" t="s">
        <v>1554</v>
      </c>
      <c r="I251" s="83">
        <v>109</v>
      </c>
      <c r="U251" s="83">
        <v>157</v>
      </c>
    </row>
    <row r="252" spans="1:21" x14ac:dyDescent="0.25">
      <c r="B252" s="29" t="s">
        <v>1983</v>
      </c>
      <c r="C252" s="83" t="s">
        <v>605</v>
      </c>
      <c r="D252" s="24">
        <v>4520652</v>
      </c>
      <c r="H252" s="83" t="s">
        <v>1554</v>
      </c>
      <c r="I252" s="83">
        <v>110</v>
      </c>
      <c r="U252" s="83">
        <v>3346</v>
      </c>
    </row>
    <row r="253" spans="1:21" x14ac:dyDescent="0.25">
      <c r="A253" s="29"/>
      <c r="B253" s="29" t="s">
        <v>1987</v>
      </c>
      <c r="C253" s="29" t="s">
        <v>1986</v>
      </c>
      <c r="D253" s="24">
        <v>4520490</v>
      </c>
      <c r="H253" s="83" t="s">
        <v>1554</v>
      </c>
      <c r="I253" s="83">
        <v>111</v>
      </c>
      <c r="K253" s="83">
        <v>10</v>
      </c>
      <c r="N253" s="83">
        <v>11</v>
      </c>
      <c r="Q253" s="83">
        <v>10</v>
      </c>
      <c r="T253" s="83">
        <v>7</v>
      </c>
      <c r="U253" s="83">
        <v>76.650000000000006</v>
      </c>
    </row>
    <row r="254" spans="1:21" x14ac:dyDescent="0.25">
      <c r="A254" s="29"/>
      <c r="B254" s="29" t="s">
        <v>1990</v>
      </c>
      <c r="C254" s="29" t="s">
        <v>1989</v>
      </c>
      <c r="D254" s="24">
        <v>4520510</v>
      </c>
      <c r="H254" s="83" t="s">
        <v>1554</v>
      </c>
      <c r="K254" s="83">
        <v>232</v>
      </c>
      <c r="N254" s="83">
        <v>111</v>
      </c>
      <c r="Q254" s="83">
        <v>164</v>
      </c>
      <c r="T254" s="83">
        <v>118</v>
      </c>
      <c r="U254" s="83">
        <v>625</v>
      </c>
    </row>
    <row r="255" spans="1:21" x14ac:dyDescent="0.25">
      <c r="A255" s="29"/>
      <c r="B255" s="29" t="s">
        <v>1877</v>
      </c>
      <c r="C255" s="29" t="s">
        <v>1989</v>
      </c>
      <c r="D255" s="24">
        <v>4520510</v>
      </c>
      <c r="H255" s="83" t="s">
        <v>1554</v>
      </c>
      <c r="K255" s="83">
        <v>36</v>
      </c>
      <c r="N255" s="83">
        <v>44</v>
      </c>
      <c r="Q255" s="83">
        <v>5</v>
      </c>
      <c r="T255" s="83">
        <v>0</v>
      </c>
      <c r="U255" s="83">
        <v>85</v>
      </c>
    </row>
    <row r="256" spans="1:21" x14ac:dyDescent="0.25">
      <c r="A256" s="29"/>
      <c r="B256" s="83" t="s">
        <v>1503</v>
      </c>
      <c r="C256" s="29" t="s">
        <v>1989</v>
      </c>
      <c r="D256" s="24">
        <v>4520510</v>
      </c>
      <c r="E256" s="83" t="s">
        <v>1570</v>
      </c>
      <c r="H256" s="83" t="s">
        <v>1554</v>
      </c>
      <c r="I256" s="83">
        <v>112</v>
      </c>
      <c r="K256" s="83">
        <v>69</v>
      </c>
      <c r="N256" s="83">
        <v>499</v>
      </c>
      <c r="Q256" s="83">
        <v>245</v>
      </c>
      <c r="T256" s="83">
        <v>0</v>
      </c>
      <c r="U256" s="83">
        <v>813</v>
      </c>
    </row>
    <row r="257" spans="1:21" x14ac:dyDescent="0.25">
      <c r="A257" s="29"/>
      <c r="B257" s="29" t="s">
        <v>1994</v>
      </c>
      <c r="C257" s="29" t="s">
        <v>1993</v>
      </c>
      <c r="D257" s="24">
        <v>4540005</v>
      </c>
      <c r="H257" s="83" t="s">
        <v>1554</v>
      </c>
      <c r="K257" s="83">
        <v>2</v>
      </c>
      <c r="N257" s="83">
        <v>1</v>
      </c>
      <c r="Q257" s="83">
        <v>2</v>
      </c>
      <c r="T257" s="83">
        <v>2</v>
      </c>
      <c r="U257" s="83">
        <v>7</v>
      </c>
    </row>
    <row r="258" spans="1:21" x14ac:dyDescent="0.25">
      <c r="A258" s="29"/>
      <c r="B258" s="29" t="s">
        <v>1997</v>
      </c>
      <c r="C258" s="29" t="s">
        <v>1996</v>
      </c>
      <c r="D258" s="24">
        <v>4540005</v>
      </c>
      <c r="H258" s="83" t="s">
        <v>1554</v>
      </c>
      <c r="I258" s="83">
        <v>113</v>
      </c>
      <c r="K258" s="83">
        <v>48</v>
      </c>
      <c r="N258" s="83">
        <v>27</v>
      </c>
      <c r="Q258" s="83">
        <v>42</v>
      </c>
      <c r="T258" s="83">
        <v>34</v>
      </c>
      <c r="U258" s="83">
        <v>151</v>
      </c>
    </row>
    <row r="259" spans="1:21" x14ac:dyDescent="0.25">
      <c r="A259" s="29"/>
      <c r="B259" s="29" t="s">
        <v>2246</v>
      </c>
      <c r="C259" s="29" t="s">
        <v>1999</v>
      </c>
      <c r="D259" s="24">
        <v>4540006</v>
      </c>
      <c r="H259" s="83" t="s">
        <v>1554</v>
      </c>
      <c r="K259" s="85">
        <v>10</v>
      </c>
      <c r="N259" s="85">
        <v>67</v>
      </c>
      <c r="Q259" s="85">
        <v>21</v>
      </c>
      <c r="T259" s="85">
        <v>0</v>
      </c>
      <c r="U259" s="85">
        <v>98</v>
      </c>
    </row>
    <row r="260" spans="1:21" x14ac:dyDescent="0.25">
      <c r="A260" s="29"/>
      <c r="B260" s="29" t="s">
        <v>2247</v>
      </c>
      <c r="C260" s="29" t="s">
        <v>1999</v>
      </c>
      <c r="D260" s="24">
        <v>4540006</v>
      </c>
      <c r="H260" s="83" t="s">
        <v>1554</v>
      </c>
      <c r="I260" s="83">
        <v>114</v>
      </c>
      <c r="K260" s="85">
        <v>24</v>
      </c>
      <c r="N260" s="85">
        <v>76</v>
      </c>
      <c r="Q260" s="85">
        <v>31</v>
      </c>
      <c r="T260" s="85">
        <v>29</v>
      </c>
      <c r="U260" s="85">
        <v>160</v>
      </c>
    </row>
    <row r="261" spans="1:21" x14ac:dyDescent="0.25">
      <c r="A261" s="29"/>
      <c r="B261" s="29" t="s">
        <v>2004</v>
      </c>
      <c r="C261" s="29" t="s">
        <v>2003</v>
      </c>
      <c r="D261" s="24">
        <v>4540011</v>
      </c>
      <c r="H261" s="83" t="s">
        <v>1554</v>
      </c>
      <c r="I261" s="83">
        <v>115</v>
      </c>
      <c r="K261" s="83">
        <v>2</v>
      </c>
      <c r="N261" s="83">
        <v>2</v>
      </c>
      <c r="Q261" s="83">
        <v>2</v>
      </c>
      <c r="T261" s="83">
        <v>3</v>
      </c>
      <c r="U261" s="83">
        <v>76.650000000000006</v>
      </c>
    </row>
    <row r="262" spans="1:21" x14ac:dyDescent="0.25">
      <c r="A262" s="29"/>
      <c r="B262" s="29" t="s">
        <v>2000</v>
      </c>
      <c r="C262" s="29" t="s">
        <v>2006</v>
      </c>
      <c r="D262" s="24">
        <v>4540012</v>
      </c>
      <c r="H262" s="83" t="s">
        <v>1554</v>
      </c>
      <c r="I262" s="83">
        <v>116</v>
      </c>
      <c r="K262" s="83">
        <v>25</v>
      </c>
      <c r="N262" s="83">
        <v>26</v>
      </c>
      <c r="Q262" s="83">
        <v>25</v>
      </c>
      <c r="T262" s="83">
        <v>27</v>
      </c>
      <c r="U262" s="83">
        <v>103</v>
      </c>
    </row>
    <row r="263" spans="1:21" x14ac:dyDescent="0.25">
      <c r="A263" s="29"/>
      <c r="B263" s="29" t="s">
        <v>2261</v>
      </c>
      <c r="C263" s="29" t="s">
        <v>2008</v>
      </c>
      <c r="D263" s="24">
        <v>4540014</v>
      </c>
      <c r="H263" s="83" t="s">
        <v>1554</v>
      </c>
      <c r="K263" s="85">
        <v>0</v>
      </c>
      <c r="N263" s="85">
        <v>0</v>
      </c>
      <c r="Q263" s="85">
        <v>0</v>
      </c>
      <c r="T263" s="85">
        <v>0</v>
      </c>
      <c r="U263" s="85">
        <v>0</v>
      </c>
    </row>
    <row r="264" spans="1:21" x14ac:dyDescent="0.25">
      <c r="A264" s="29"/>
      <c r="B264" s="29" t="s">
        <v>2261</v>
      </c>
      <c r="C264" s="29" t="s">
        <v>2008</v>
      </c>
      <c r="D264" s="24">
        <v>4540014</v>
      </c>
      <c r="H264" s="83" t="s">
        <v>1554</v>
      </c>
      <c r="I264" s="83">
        <v>117</v>
      </c>
      <c r="K264" s="85">
        <v>0</v>
      </c>
      <c r="N264" s="85">
        <v>0</v>
      </c>
      <c r="Q264" s="85">
        <v>0</v>
      </c>
      <c r="T264" s="85">
        <v>0</v>
      </c>
      <c r="U264" s="85">
        <v>76.650000000000006</v>
      </c>
    </row>
    <row r="265" spans="1:21" x14ac:dyDescent="0.25">
      <c r="A265" s="29"/>
      <c r="B265" s="29" t="s">
        <v>2015</v>
      </c>
      <c r="C265" s="29" t="s">
        <v>2011</v>
      </c>
      <c r="D265" s="24">
        <v>4540016</v>
      </c>
      <c r="H265" s="83" t="s">
        <v>1554</v>
      </c>
      <c r="I265" s="83">
        <v>118</v>
      </c>
      <c r="K265" s="83">
        <v>0</v>
      </c>
      <c r="N265" s="83">
        <v>0</v>
      </c>
      <c r="Q265" s="83">
        <v>0</v>
      </c>
      <c r="T265" s="83">
        <v>0</v>
      </c>
      <c r="U265" s="83">
        <v>76.650000000000006</v>
      </c>
    </row>
    <row r="266" spans="1:21" x14ac:dyDescent="0.25">
      <c r="A266" s="29"/>
      <c r="B266" s="29" t="s">
        <v>2018</v>
      </c>
      <c r="C266" s="29" t="s">
        <v>2014</v>
      </c>
      <c r="D266" s="24">
        <v>4540017</v>
      </c>
      <c r="H266" s="83" t="s">
        <v>1554</v>
      </c>
      <c r="I266" s="83">
        <v>119</v>
      </c>
      <c r="K266" s="83">
        <v>1</v>
      </c>
      <c r="N266" s="83">
        <v>1</v>
      </c>
      <c r="Q266" s="83">
        <v>1</v>
      </c>
      <c r="T266" s="83">
        <v>1</v>
      </c>
      <c r="U266" s="83">
        <v>76.650000000000006</v>
      </c>
    </row>
    <row r="267" spans="1:21" x14ac:dyDescent="0.25">
      <c r="A267" s="29"/>
      <c r="B267" s="29" t="s">
        <v>2018</v>
      </c>
      <c r="C267" s="29" t="s">
        <v>2017</v>
      </c>
      <c r="D267" s="24">
        <v>4540020</v>
      </c>
      <c r="H267" s="83" t="s">
        <v>1554</v>
      </c>
      <c r="I267" s="83">
        <v>120</v>
      </c>
      <c r="K267" s="83">
        <v>29</v>
      </c>
      <c r="N267" s="83">
        <v>42</v>
      </c>
      <c r="Q267" s="83">
        <v>22</v>
      </c>
      <c r="T267" s="83">
        <v>170</v>
      </c>
      <c r="U267" s="83">
        <v>263</v>
      </c>
    </row>
    <row r="268" spans="1:21" x14ac:dyDescent="0.25">
      <c r="A268" s="29"/>
      <c r="B268" s="29" t="s">
        <v>2021</v>
      </c>
      <c r="C268" s="29" t="s">
        <v>2020</v>
      </c>
      <c r="D268" s="24">
        <v>4540021</v>
      </c>
      <c r="H268" s="83" t="s">
        <v>1554</v>
      </c>
      <c r="I268" s="83">
        <v>121</v>
      </c>
      <c r="K268" s="83">
        <v>16</v>
      </c>
      <c r="N268" s="83">
        <v>17</v>
      </c>
      <c r="Q268" s="83">
        <v>13</v>
      </c>
      <c r="T268" s="83">
        <v>12</v>
      </c>
      <c r="U268" s="83">
        <v>76.650000000000006</v>
      </c>
    </row>
    <row r="269" spans="1:21" x14ac:dyDescent="0.25">
      <c r="A269" s="29"/>
      <c r="B269" s="29" t="s">
        <v>2024</v>
      </c>
      <c r="C269" s="29" t="s">
        <v>2023</v>
      </c>
      <c r="D269" s="24">
        <v>4540026</v>
      </c>
      <c r="H269" s="83" t="s">
        <v>1554</v>
      </c>
      <c r="U269" s="83">
        <v>1255</v>
      </c>
    </row>
    <row r="270" spans="1:21" x14ac:dyDescent="0.25">
      <c r="B270" s="29" t="s">
        <v>2024</v>
      </c>
      <c r="C270" s="29" t="s">
        <v>2262</v>
      </c>
      <c r="D270" s="24">
        <v>4540026</v>
      </c>
      <c r="H270" s="83" t="s">
        <v>1554</v>
      </c>
      <c r="I270" s="83">
        <v>122</v>
      </c>
      <c r="U270" s="83">
        <v>177</v>
      </c>
    </row>
    <row r="271" spans="1:21" x14ac:dyDescent="0.25">
      <c r="B271" s="29" t="s">
        <v>2028</v>
      </c>
      <c r="C271" s="83" t="s">
        <v>1348</v>
      </c>
      <c r="D271" s="24">
        <v>4540029</v>
      </c>
      <c r="H271" s="83" t="s">
        <v>1554</v>
      </c>
      <c r="K271" s="83">
        <v>0</v>
      </c>
      <c r="N271" s="83">
        <v>0</v>
      </c>
      <c r="Q271" s="83">
        <v>0</v>
      </c>
      <c r="T271" s="83">
        <v>0</v>
      </c>
      <c r="U271" s="83">
        <v>0</v>
      </c>
    </row>
    <row r="272" spans="1:21" x14ac:dyDescent="0.25">
      <c r="B272" s="29" t="s">
        <v>2030</v>
      </c>
      <c r="C272" s="83" t="s">
        <v>1350</v>
      </c>
      <c r="D272" s="24">
        <v>4540029</v>
      </c>
      <c r="H272" s="83" t="s">
        <v>1554</v>
      </c>
      <c r="K272" s="83">
        <v>47</v>
      </c>
      <c r="N272" s="83">
        <v>42</v>
      </c>
      <c r="Q272" s="83">
        <v>35</v>
      </c>
      <c r="T272" s="83">
        <v>50</v>
      </c>
      <c r="U272" s="83">
        <v>174</v>
      </c>
    </row>
    <row r="273" spans="1:21" x14ac:dyDescent="0.25">
      <c r="B273" s="29" t="s">
        <v>2032</v>
      </c>
      <c r="C273" s="83" t="s">
        <v>1353</v>
      </c>
      <c r="D273" s="24">
        <v>4540029</v>
      </c>
      <c r="H273" s="83" t="s">
        <v>1554</v>
      </c>
      <c r="K273" s="83">
        <v>0</v>
      </c>
      <c r="N273" s="83">
        <v>0</v>
      </c>
      <c r="Q273" s="83">
        <v>0</v>
      </c>
      <c r="T273" s="83">
        <v>0</v>
      </c>
      <c r="U273" s="83">
        <v>0</v>
      </c>
    </row>
    <row r="274" spans="1:21" x14ac:dyDescent="0.25">
      <c r="B274" s="29" t="s">
        <v>2034</v>
      </c>
      <c r="C274" s="83" t="s">
        <v>1355</v>
      </c>
      <c r="D274" s="24">
        <v>4540029</v>
      </c>
      <c r="H274" s="83" t="s">
        <v>1554</v>
      </c>
      <c r="I274" s="83">
        <v>123</v>
      </c>
      <c r="K274" s="83">
        <v>0</v>
      </c>
      <c r="N274" s="83">
        <v>0</v>
      </c>
      <c r="Q274" s="83">
        <v>0</v>
      </c>
      <c r="T274" s="83">
        <v>0</v>
      </c>
      <c r="U274" s="83">
        <v>0</v>
      </c>
    </row>
    <row r="275" spans="1:21" x14ac:dyDescent="0.25">
      <c r="A275" s="29"/>
      <c r="B275" s="29" t="s">
        <v>2037</v>
      </c>
      <c r="C275" s="29" t="s">
        <v>2036</v>
      </c>
      <c r="D275" s="24">
        <v>4540037</v>
      </c>
      <c r="H275" s="83" t="s">
        <v>1554</v>
      </c>
      <c r="I275" s="83">
        <v>124</v>
      </c>
      <c r="K275" s="83">
        <v>21</v>
      </c>
      <c r="N275" s="83">
        <v>21</v>
      </c>
      <c r="Q275" s="83">
        <v>19</v>
      </c>
      <c r="T275" s="83">
        <v>17</v>
      </c>
      <c r="U275" s="83">
        <v>78</v>
      </c>
    </row>
    <row r="276" spans="1:21" x14ac:dyDescent="0.25">
      <c r="B276" s="83" t="s">
        <v>727</v>
      </c>
      <c r="C276" s="83" t="s">
        <v>748</v>
      </c>
      <c r="D276" s="24">
        <v>4540043</v>
      </c>
      <c r="H276" s="83" t="s">
        <v>1554</v>
      </c>
      <c r="I276" s="83">
        <v>125</v>
      </c>
      <c r="K276" s="142">
        <v>30</v>
      </c>
      <c r="N276" s="83">
        <v>142</v>
      </c>
      <c r="Q276" s="83">
        <v>66</v>
      </c>
      <c r="T276" s="83">
        <v>58</v>
      </c>
      <c r="U276" s="83">
        <v>296</v>
      </c>
    </row>
    <row r="277" spans="1:21" x14ac:dyDescent="0.25">
      <c r="A277" s="29"/>
      <c r="B277" s="29" t="s">
        <v>2042</v>
      </c>
      <c r="C277" s="29" t="s">
        <v>2041</v>
      </c>
      <c r="D277" s="24">
        <v>4540045</v>
      </c>
      <c r="H277" s="83" t="s">
        <v>1554</v>
      </c>
      <c r="I277" s="83">
        <v>126</v>
      </c>
      <c r="K277" s="83">
        <v>34</v>
      </c>
      <c r="N277" s="83">
        <v>42</v>
      </c>
      <c r="Q277" s="83">
        <v>34</v>
      </c>
      <c r="T277" s="83">
        <v>32</v>
      </c>
      <c r="U277" s="83">
        <v>142</v>
      </c>
    </row>
    <row r="278" spans="1:21" x14ac:dyDescent="0.25">
      <c r="A278" s="29"/>
      <c r="B278" s="29" t="s">
        <v>2044</v>
      </c>
      <c r="C278" s="29" t="s">
        <v>2043</v>
      </c>
      <c r="D278" s="24">
        <v>4540047</v>
      </c>
      <c r="H278" s="83" t="s">
        <v>1554</v>
      </c>
      <c r="I278" s="83">
        <v>127</v>
      </c>
      <c r="K278" s="83">
        <v>21</v>
      </c>
      <c r="N278" s="83">
        <v>8</v>
      </c>
      <c r="Q278" s="83">
        <v>5</v>
      </c>
      <c r="T278" s="83">
        <v>5</v>
      </c>
      <c r="U278" s="83">
        <v>76.650000000000006</v>
      </c>
    </row>
    <row r="279" spans="1:21" x14ac:dyDescent="0.25">
      <c r="A279" s="29"/>
      <c r="B279" s="29" t="s">
        <v>2047</v>
      </c>
      <c r="C279" s="29" t="s">
        <v>2046</v>
      </c>
      <c r="D279" s="24">
        <v>4540049</v>
      </c>
      <c r="H279" s="83" t="s">
        <v>1554</v>
      </c>
      <c r="I279" s="83">
        <v>128</v>
      </c>
      <c r="K279" s="83">
        <v>18</v>
      </c>
      <c r="N279" s="83">
        <v>13</v>
      </c>
      <c r="Q279" s="83">
        <v>12</v>
      </c>
      <c r="T279" s="83">
        <v>18</v>
      </c>
      <c r="U279" s="83">
        <v>76.650000000000006</v>
      </c>
    </row>
    <row r="280" spans="1:21" x14ac:dyDescent="0.25">
      <c r="A280" s="29"/>
      <c r="B280" s="29" t="s">
        <v>1565</v>
      </c>
      <c r="C280" s="29" t="s">
        <v>1863</v>
      </c>
      <c r="D280" s="34">
        <v>2210016</v>
      </c>
      <c r="H280" s="83" t="s">
        <v>1554</v>
      </c>
      <c r="K280" s="83">
        <v>0</v>
      </c>
      <c r="N280" s="83">
        <v>0</v>
      </c>
      <c r="Q280" s="83">
        <v>0</v>
      </c>
      <c r="T280" s="83">
        <v>0</v>
      </c>
      <c r="U280" s="83">
        <v>0</v>
      </c>
    </row>
    <row r="281" spans="1:21" x14ac:dyDescent="0.25">
      <c r="A281" s="29"/>
      <c r="B281" s="29" t="s">
        <v>1565</v>
      </c>
      <c r="C281" s="29" t="s">
        <v>2054</v>
      </c>
      <c r="D281" s="34">
        <v>2210016</v>
      </c>
      <c r="H281" s="83" t="s">
        <v>1554</v>
      </c>
      <c r="K281" s="83">
        <v>0</v>
      </c>
      <c r="N281" s="83">
        <v>2</v>
      </c>
      <c r="Q281" s="83">
        <v>2</v>
      </c>
      <c r="T281" s="83">
        <v>1</v>
      </c>
      <c r="U281" s="83">
        <v>5</v>
      </c>
    </row>
    <row r="282" spans="1:21" x14ac:dyDescent="0.25">
      <c r="B282" s="29" t="s">
        <v>1565</v>
      </c>
      <c r="C282" s="83" t="s">
        <v>1042</v>
      </c>
      <c r="D282" s="34">
        <v>2210016</v>
      </c>
      <c r="H282" s="83" t="s">
        <v>1554</v>
      </c>
      <c r="K282" s="83">
        <v>10</v>
      </c>
      <c r="N282" s="83">
        <v>58</v>
      </c>
      <c r="Q282" s="83">
        <v>17</v>
      </c>
      <c r="T282" s="83">
        <v>0</v>
      </c>
      <c r="U282" s="83">
        <v>85</v>
      </c>
    </row>
    <row r="283" spans="1:21" x14ac:dyDescent="0.25">
      <c r="B283" s="29" t="s">
        <v>1565</v>
      </c>
      <c r="C283" s="83" t="s">
        <v>1044</v>
      </c>
      <c r="D283" s="34">
        <v>2210016</v>
      </c>
      <c r="H283" s="83" t="s">
        <v>1554</v>
      </c>
      <c r="I283" s="83">
        <v>129</v>
      </c>
      <c r="K283" s="83">
        <v>26</v>
      </c>
      <c r="N283" s="83">
        <v>80</v>
      </c>
      <c r="Q283" s="83">
        <v>25</v>
      </c>
      <c r="T283" s="83">
        <v>7</v>
      </c>
      <c r="U283" s="83">
        <v>138</v>
      </c>
    </row>
    <row r="284" spans="1:21" x14ac:dyDescent="0.25">
      <c r="A284" s="29"/>
      <c r="B284" s="29" t="s">
        <v>1565</v>
      </c>
      <c r="C284" s="29" t="s">
        <v>2051</v>
      </c>
      <c r="D284" s="34">
        <v>2210016</v>
      </c>
      <c r="H284" s="83" t="s">
        <v>1554</v>
      </c>
      <c r="K284" s="83">
        <v>1</v>
      </c>
      <c r="N284" s="83">
        <v>14</v>
      </c>
      <c r="Q284" s="83">
        <v>27</v>
      </c>
      <c r="T284" s="83">
        <v>27</v>
      </c>
      <c r="U284" s="83">
        <v>69</v>
      </c>
    </row>
    <row r="285" spans="1:21" x14ac:dyDescent="0.25">
      <c r="A285" s="83" t="s">
        <v>20</v>
      </c>
      <c r="B285" s="82" t="s">
        <v>16</v>
      </c>
      <c r="C285" s="82" t="s">
        <v>20</v>
      </c>
      <c r="D285" s="83">
        <v>4540060</v>
      </c>
      <c r="H285" s="83" t="s">
        <v>1554</v>
      </c>
      <c r="K285" s="83">
        <v>0</v>
      </c>
      <c r="N285" s="83">
        <v>50</v>
      </c>
      <c r="Q285" s="83">
        <v>14</v>
      </c>
      <c r="T285" s="83">
        <v>0</v>
      </c>
      <c r="U285" s="83">
        <v>64</v>
      </c>
    </row>
    <row r="286" spans="1:21" x14ac:dyDescent="0.25">
      <c r="A286" s="83" t="s">
        <v>1506</v>
      </c>
      <c r="B286" s="149" t="s">
        <v>1505</v>
      </c>
      <c r="C286" s="149" t="s">
        <v>1506</v>
      </c>
      <c r="D286" s="83">
        <v>4540060</v>
      </c>
      <c r="E286" s="83" t="s">
        <v>1570</v>
      </c>
      <c r="H286" s="83" t="s">
        <v>1554</v>
      </c>
      <c r="K286" s="83">
        <v>1</v>
      </c>
      <c r="N286" s="83">
        <v>132</v>
      </c>
      <c r="Q286" s="83">
        <v>83</v>
      </c>
      <c r="T286" s="83">
        <v>0</v>
      </c>
      <c r="U286" s="83">
        <v>216</v>
      </c>
    </row>
    <row r="287" spans="1:21" x14ac:dyDescent="0.25">
      <c r="A287" s="83" t="s">
        <v>1509</v>
      </c>
      <c r="B287" s="82" t="s">
        <v>1508</v>
      </c>
      <c r="C287" s="82" t="s">
        <v>1509</v>
      </c>
      <c r="D287" s="83">
        <v>4540060</v>
      </c>
      <c r="H287" s="83" t="s">
        <v>1554</v>
      </c>
      <c r="K287" s="83">
        <v>36</v>
      </c>
      <c r="N287" s="83">
        <v>17</v>
      </c>
      <c r="Q287" s="83">
        <v>15</v>
      </c>
      <c r="T287" s="83">
        <v>17</v>
      </c>
      <c r="U287" s="83">
        <v>85</v>
      </c>
    </row>
    <row r="288" spans="1:21" x14ac:dyDescent="0.25">
      <c r="A288" s="83" t="s">
        <v>1512</v>
      </c>
      <c r="B288" s="82" t="s">
        <v>1511</v>
      </c>
      <c r="C288" s="82" t="s">
        <v>1512</v>
      </c>
      <c r="D288" s="83">
        <v>4540060</v>
      </c>
      <c r="H288" s="83" t="s">
        <v>1554</v>
      </c>
      <c r="K288" s="83">
        <v>3</v>
      </c>
      <c r="N288" s="83">
        <v>3</v>
      </c>
      <c r="Q288" s="83">
        <v>4</v>
      </c>
      <c r="T288" s="83">
        <v>3</v>
      </c>
      <c r="U288" s="83">
        <v>13</v>
      </c>
    </row>
    <row r="289" spans="1:21" x14ac:dyDescent="0.25">
      <c r="A289" s="83" t="s">
        <v>1514</v>
      </c>
      <c r="B289" s="82" t="s">
        <v>1508</v>
      </c>
      <c r="C289" s="82" t="s">
        <v>1514</v>
      </c>
      <c r="D289" s="83">
        <v>4540060</v>
      </c>
      <c r="H289" s="83" t="s">
        <v>1554</v>
      </c>
      <c r="K289" s="83">
        <v>6</v>
      </c>
      <c r="N289" s="83">
        <v>7</v>
      </c>
      <c r="Q289" s="83">
        <v>5</v>
      </c>
      <c r="T289" s="83">
        <v>5</v>
      </c>
      <c r="U289" s="83">
        <v>23</v>
      </c>
    </row>
    <row r="290" spans="1:21" x14ac:dyDescent="0.25">
      <c r="A290" s="83" t="s">
        <v>1516</v>
      </c>
      <c r="B290" s="82" t="s">
        <v>1508</v>
      </c>
      <c r="C290" s="82" t="s">
        <v>1516</v>
      </c>
      <c r="D290" s="83">
        <v>4540060</v>
      </c>
      <c r="H290" s="83" t="s">
        <v>1554</v>
      </c>
      <c r="K290" s="83">
        <v>31</v>
      </c>
      <c r="N290" s="83">
        <v>23</v>
      </c>
      <c r="Q290" s="83">
        <v>20</v>
      </c>
      <c r="T290" s="83">
        <v>16</v>
      </c>
      <c r="U290" s="83">
        <v>90</v>
      </c>
    </row>
    <row r="291" spans="1:21" x14ac:dyDescent="0.25">
      <c r="A291" s="83" t="s">
        <v>1518</v>
      </c>
      <c r="B291" s="82" t="s">
        <v>16</v>
      </c>
      <c r="C291" s="82" t="s">
        <v>1518</v>
      </c>
      <c r="D291" s="83">
        <v>4540060</v>
      </c>
      <c r="H291" s="83" t="s">
        <v>1554</v>
      </c>
      <c r="I291" s="83">
        <v>130</v>
      </c>
      <c r="K291" s="83">
        <v>9</v>
      </c>
      <c r="N291" s="83">
        <v>57</v>
      </c>
      <c r="Q291" s="83">
        <v>21</v>
      </c>
      <c r="T291" s="83">
        <v>5</v>
      </c>
      <c r="U291" s="83">
        <v>92</v>
      </c>
    </row>
    <row r="292" spans="1:21" x14ac:dyDescent="0.25">
      <c r="A292" s="29" t="s">
        <v>2059</v>
      </c>
      <c r="B292" s="29" t="s">
        <v>2060</v>
      </c>
      <c r="C292" s="29" t="s">
        <v>2059</v>
      </c>
      <c r="D292" s="24">
        <v>4540112</v>
      </c>
      <c r="H292" s="83" t="s">
        <v>1554</v>
      </c>
      <c r="I292" s="83">
        <v>131</v>
      </c>
      <c r="K292" s="83">
        <v>7</v>
      </c>
      <c r="N292" s="83">
        <v>5</v>
      </c>
      <c r="Q292" s="83">
        <v>9</v>
      </c>
      <c r="T292" s="83">
        <v>7</v>
      </c>
      <c r="U292" s="83">
        <v>76.650000000000006</v>
      </c>
    </row>
    <row r="293" spans="1:21" x14ac:dyDescent="0.25">
      <c r="A293" s="29" t="s">
        <v>2062</v>
      </c>
      <c r="B293" s="29" t="s">
        <v>2063</v>
      </c>
      <c r="C293" s="29" t="s">
        <v>2062</v>
      </c>
      <c r="D293" s="24">
        <v>4540166</v>
      </c>
      <c r="H293" s="83" t="s">
        <v>1554</v>
      </c>
      <c r="I293" s="83">
        <v>132</v>
      </c>
      <c r="K293" s="83">
        <v>3</v>
      </c>
      <c r="N293" s="83">
        <v>3</v>
      </c>
      <c r="Q293" s="83">
        <v>3</v>
      </c>
      <c r="T293" s="83">
        <v>5</v>
      </c>
      <c r="U293" s="83">
        <v>76.650000000000006</v>
      </c>
    </row>
    <row r="294" spans="1:21" x14ac:dyDescent="0.25">
      <c r="A294" s="83" t="s">
        <v>527</v>
      </c>
      <c r="B294" s="29" t="s">
        <v>2065</v>
      </c>
      <c r="C294" s="83" t="s">
        <v>527</v>
      </c>
      <c r="D294" s="24">
        <v>4540172</v>
      </c>
      <c r="H294" s="83" t="s">
        <v>1554</v>
      </c>
      <c r="K294" s="83">
        <v>15</v>
      </c>
      <c r="N294" s="83">
        <v>71</v>
      </c>
      <c r="Q294" s="83">
        <v>34</v>
      </c>
      <c r="T294" s="83">
        <v>13</v>
      </c>
      <c r="U294" s="83">
        <v>133</v>
      </c>
    </row>
    <row r="295" spans="1:21" x14ac:dyDescent="0.25">
      <c r="A295" s="83" t="s">
        <v>737</v>
      </c>
      <c r="B295" s="73" t="s">
        <v>2067</v>
      </c>
      <c r="C295" s="83" t="s">
        <v>737</v>
      </c>
      <c r="D295" s="24">
        <v>4540172</v>
      </c>
      <c r="H295" s="83" t="s">
        <v>1554</v>
      </c>
      <c r="I295" s="83">
        <v>133</v>
      </c>
      <c r="K295" s="83">
        <v>5</v>
      </c>
      <c r="N295" s="83">
        <v>60</v>
      </c>
      <c r="Q295" s="83">
        <v>21</v>
      </c>
      <c r="T295" s="83">
        <v>0</v>
      </c>
      <c r="U295" s="83">
        <v>86</v>
      </c>
    </row>
    <row r="296" spans="1:21" x14ac:dyDescent="0.25">
      <c r="A296" s="29" t="s">
        <v>2069</v>
      </c>
      <c r="B296" s="29" t="s">
        <v>2070</v>
      </c>
      <c r="C296" s="29" t="s">
        <v>2069</v>
      </c>
      <c r="D296" s="24">
        <v>4540177</v>
      </c>
      <c r="H296" s="83" t="s">
        <v>1554</v>
      </c>
      <c r="I296" s="83">
        <v>134</v>
      </c>
      <c r="K296" s="83">
        <v>3</v>
      </c>
      <c r="N296" s="83">
        <v>3</v>
      </c>
      <c r="Q296" s="83">
        <v>5</v>
      </c>
      <c r="T296" s="83">
        <v>3</v>
      </c>
      <c r="U296" s="83">
        <v>76.650000000000006</v>
      </c>
    </row>
    <row r="297" spans="1:21" x14ac:dyDescent="0.25">
      <c r="A297" s="29" t="s">
        <v>2072</v>
      </c>
      <c r="B297" s="29" t="s">
        <v>2073</v>
      </c>
      <c r="C297" s="29" t="s">
        <v>2072</v>
      </c>
      <c r="D297" s="24">
        <v>4540183</v>
      </c>
      <c r="H297" s="83" t="s">
        <v>1554</v>
      </c>
      <c r="I297" s="83">
        <v>135</v>
      </c>
      <c r="K297" s="85"/>
      <c r="N297" s="85"/>
      <c r="Q297" s="85"/>
      <c r="T297" s="85"/>
      <c r="U297" s="85">
        <v>76.650000000000006</v>
      </c>
    </row>
    <row r="298" spans="1:21" x14ac:dyDescent="0.25">
      <c r="A298" s="29" t="s">
        <v>2075</v>
      </c>
      <c r="B298" s="29" t="s">
        <v>2076</v>
      </c>
      <c r="C298" s="29" t="s">
        <v>2075</v>
      </c>
      <c r="D298" s="24">
        <v>4540192</v>
      </c>
      <c r="H298" s="83" t="s">
        <v>1554</v>
      </c>
      <c r="K298" s="83">
        <v>32</v>
      </c>
      <c r="N298" s="83">
        <v>40</v>
      </c>
      <c r="Q298" s="83">
        <v>17</v>
      </c>
      <c r="T298" s="83">
        <v>18</v>
      </c>
      <c r="U298" s="83">
        <v>107</v>
      </c>
    </row>
    <row r="299" spans="1:21" x14ac:dyDescent="0.25">
      <c r="A299" s="29" t="s">
        <v>2075</v>
      </c>
      <c r="B299" s="29" t="s">
        <v>2078</v>
      </c>
      <c r="C299" s="29" t="s">
        <v>2075</v>
      </c>
      <c r="D299" s="24">
        <v>4540192</v>
      </c>
      <c r="H299" s="83" t="s">
        <v>1554</v>
      </c>
      <c r="I299" s="83">
        <v>136</v>
      </c>
      <c r="K299" s="83">
        <v>343</v>
      </c>
      <c r="N299" s="83">
        <v>347</v>
      </c>
      <c r="Q299" s="83">
        <v>331</v>
      </c>
      <c r="T299" s="83">
        <v>276</v>
      </c>
      <c r="U299" s="83">
        <v>1297</v>
      </c>
    </row>
    <row r="300" spans="1:21" x14ac:dyDescent="0.25">
      <c r="A300" s="29" t="s">
        <v>2080</v>
      </c>
      <c r="B300" s="29" t="s">
        <v>2081</v>
      </c>
      <c r="C300" s="29" t="s">
        <v>2080</v>
      </c>
      <c r="D300" s="24">
        <v>4540195</v>
      </c>
      <c r="H300" s="83" t="s">
        <v>1554</v>
      </c>
      <c r="I300" s="83">
        <v>137</v>
      </c>
      <c r="K300" s="83">
        <v>107</v>
      </c>
      <c r="N300" s="83">
        <v>75</v>
      </c>
      <c r="Q300" s="83">
        <v>79</v>
      </c>
      <c r="T300" s="83">
        <v>46</v>
      </c>
      <c r="U300" s="83">
        <v>307</v>
      </c>
    </row>
    <row r="301" spans="1:21" x14ac:dyDescent="0.25">
      <c r="A301" s="29" t="s">
        <v>2082</v>
      </c>
      <c r="B301" s="29" t="s">
        <v>2083</v>
      </c>
      <c r="C301" s="29" t="s">
        <v>2082</v>
      </c>
      <c r="D301" s="24">
        <v>4540200</v>
      </c>
      <c r="H301" s="83" t="s">
        <v>1554</v>
      </c>
      <c r="K301" s="83">
        <v>17</v>
      </c>
      <c r="N301" s="83">
        <v>124</v>
      </c>
      <c r="Q301" s="83">
        <v>34</v>
      </c>
      <c r="T301" s="83">
        <v>3</v>
      </c>
      <c r="U301" s="83">
        <v>178</v>
      </c>
    </row>
    <row r="302" spans="1:21" x14ac:dyDescent="0.25">
      <c r="A302" s="83" t="s">
        <v>758</v>
      </c>
      <c r="B302" s="29" t="s">
        <v>2085</v>
      </c>
      <c r="C302" s="83" t="s">
        <v>758</v>
      </c>
      <c r="D302" s="24">
        <v>4540200</v>
      </c>
      <c r="H302" s="83" t="s">
        <v>1554</v>
      </c>
      <c r="I302" s="83">
        <v>138</v>
      </c>
      <c r="K302" s="83">
        <v>28</v>
      </c>
      <c r="N302" s="83">
        <v>31</v>
      </c>
      <c r="Q302" s="83">
        <v>30</v>
      </c>
      <c r="T302" s="83">
        <v>28</v>
      </c>
      <c r="U302" s="83">
        <v>117</v>
      </c>
    </row>
    <row r="303" spans="1:21" x14ac:dyDescent="0.25">
      <c r="A303" s="29" t="s">
        <v>2087</v>
      </c>
      <c r="B303" s="24" t="s">
        <v>2088</v>
      </c>
      <c r="C303" s="29" t="s">
        <v>2087</v>
      </c>
      <c r="D303" s="24">
        <v>4540205</v>
      </c>
      <c r="H303" s="83" t="s">
        <v>1554</v>
      </c>
      <c r="I303" s="83">
        <v>139</v>
      </c>
      <c r="K303" s="83">
        <v>157</v>
      </c>
      <c r="N303" s="83">
        <v>238</v>
      </c>
      <c r="Q303" s="83">
        <v>3</v>
      </c>
      <c r="T303" s="83">
        <v>4</v>
      </c>
      <c r="U303" s="83">
        <v>402</v>
      </c>
    </row>
    <row r="304" spans="1:21" x14ac:dyDescent="0.25">
      <c r="A304" s="29" t="s">
        <v>2090</v>
      </c>
      <c r="B304" s="29" t="s">
        <v>2091</v>
      </c>
      <c r="C304" s="29" t="s">
        <v>2090</v>
      </c>
      <c r="D304" s="24">
        <v>4540209</v>
      </c>
      <c r="H304" s="83" t="s">
        <v>1554</v>
      </c>
      <c r="I304" s="83">
        <v>140</v>
      </c>
      <c r="K304" s="83">
        <v>24</v>
      </c>
      <c r="N304" s="83">
        <v>23</v>
      </c>
      <c r="Q304" s="83">
        <v>20</v>
      </c>
      <c r="T304" s="83">
        <v>14</v>
      </c>
      <c r="U304" s="83">
        <v>81</v>
      </c>
    </row>
    <row r="305" spans="1:21" x14ac:dyDescent="0.25">
      <c r="A305" s="29" t="s">
        <v>2093</v>
      </c>
      <c r="B305" s="29" t="s">
        <v>2094</v>
      </c>
      <c r="C305" s="29" t="s">
        <v>2093</v>
      </c>
      <c r="D305" s="24">
        <v>4540210</v>
      </c>
      <c r="H305" s="83" t="s">
        <v>1554</v>
      </c>
      <c r="K305" s="85">
        <v>0</v>
      </c>
      <c r="N305" s="85">
        <v>0</v>
      </c>
      <c r="Q305" s="85">
        <v>0</v>
      </c>
      <c r="T305" s="85">
        <v>0</v>
      </c>
      <c r="U305" s="85">
        <v>0</v>
      </c>
    </row>
    <row r="306" spans="1:21" x14ac:dyDescent="0.25">
      <c r="A306" s="29" t="s">
        <v>2093</v>
      </c>
      <c r="B306" s="29" t="s">
        <v>2096</v>
      </c>
      <c r="C306" s="29" t="s">
        <v>2093</v>
      </c>
      <c r="D306" s="24">
        <v>4540210</v>
      </c>
      <c r="H306" s="83" t="s">
        <v>1554</v>
      </c>
      <c r="K306" s="83">
        <v>91</v>
      </c>
      <c r="N306" s="83">
        <v>105</v>
      </c>
      <c r="Q306" s="83">
        <v>81</v>
      </c>
      <c r="T306" s="83">
        <v>77</v>
      </c>
      <c r="U306" s="83">
        <v>354</v>
      </c>
    </row>
    <row r="307" spans="1:21" x14ac:dyDescent="0.25">
      <c r="A307" s="29" t="s">
        <v>2093</v>
      </c>
      <c r="B307" s="24" t="s">
        <v>806</v>
      </c>
      <c r="C307" s="29" t="s">
        <v>2093</v>
      </c>
      <c r="D307" s="24">
        <v>4540210</v>
      </c>
      <c r="H307" s="83" t="s">
        <v>1554</v>
      </c>
      <c r="I307" s="83">
        <v>141</v>
      </c>
      <c r="K307" s="83">
        <v>67</v>
      </c>
      <c r="N307" s="83">
        <v>62</v>
      </c>
      <c r="Q307" s="83">
        <v>52</v>
      </c>
      <c r="T307" s="83">
        <v>47</v>
      </c>
      <c r="U307" s="83">
        <v>228</v>
      </c>
    </row>
    <row r="308" spans="1:21" x14ac:dyDescent="0.25">
      <c r="A308" s="29" t="s">
        <v>2099</v>
      </c>
      <c r="B308" s="29" t="s">
        <v>2100</v>
      </c>
      <c r="C308" s="29" t="s">
        <v>2099</v>
      </c>
      <c r="D308" s="24">
        <v>4540213</v>
      </c>
      <c r="H308" s="83" t="s">
        <v>1554</v>
      </c>
      <c r="I308" s="83">
        <v>142</v>
      </c>
      <c r="K308" s="83">
        <v>3</v>
      </c>
      <c r="N308" s="83">
        <v>5</v>
      </c>
      <c r="Q308" s="83">
        <v>14</v>
      </c>
      <c r="T308" s="83">
        <v>2</v>
      </c>
      <c r="U308" s="83">
        <v>76.650000000000006</v>
      </c>
    </row>
    <row r="309" spans="1:21" x14ac:dyDescent="0.25">
      <c r="A309" s="29"/>
      <c r="B309" s="29" t="s">
        <v>2103</v>
      </c>
      <c r="C309" s="29" t="s">
        <v>2102</v>
      </c>
      <c r="D309" s="24">
        <v>4540214</v>
      </c>
      <c r="H309" s="83" t="s">
        <v>1554</v>
      </c>
      <c r="I309" s="83">
        <v>143</v>
      </c>
      <c r="K309" s="83">
        <v>6</v>
      </c>
      <c r="N309" s="83">
        <v>9</v>
      </c>
      <c r="Q309" s="83">
        <v>5</v>
      </c>
      <c r="T309" s="83">
        <v>6</v>
      </c>
      <c r="U309" s="83">
        <v>76.650000000000006</v>
      </c>
    </row>
    <row r="310" spans="1:21" x14ac:dyDescent="0.25">
      <c r="A310" s="29"/>
      <c r="B310" s="29" t="s">
        <v>2106</v>
      </c>
      <c r="C310" s="29" t="s">
        <v>2105</v>
      </c>
      <c r="D310" s="24">
        <v>4540220</v>
      </c>
      <c r="H310" s="83" t="s">
        <v>1554</v>
      </c>
      <c r="I310" s="83">
        <v>144</v>
      </c>
      <c r="K310" s="83">
        <v>24</v>
      </c>
      <c r="N310" s="83">
        <v>44</v>
      </c>
      <c r="Q310" s="83">
        <v>18</v>
      </c>
      <c r="T310" s="83">
        <v>15</v>
      </c>
      <c r="U310" s="83">
        <v>101</v>
      </c>
    </row>
    <row r="311" spans="1:21" x14ac:dyDescent="0.25">
      <c r="A311" s="29"/>
      <c r="B311" s="29" t="s">
        <v>2109</v>
      </c>
      <c r="C311" s="29" t="s">
        <v>2108</v>
      </c>
      <c r="D311" s="24">
        <v>4540221</v>
      </c>
      <c r="H311" s="83" t="s">
        <v>1554</v>
      </c>
      <c r="I311" s="83">
        <v>145</v>
      </c>
      <c r="K311" s="85"/>
      <c r="N311" s="85"/>
      <c r="Q311" s="85"/>
      <c r="T311" s="85"/>
      <c r="U311" s="85">
        <v>76.650000000000006</v>
      </c>
    </row>
    <row r="312" spans="1:21" x14ac:dyDescent="0.25">
      <c r="A312" s="29"/>
      <c r="B312" s="29" t="s">
        <v>2112</v>
      </c>
      <c r="C312" s="29" t="s">
        <v>2111</v>
      </c>
      <c r="D312" s="24">
        <v>4540224</v>
      </c>
      <c r="H312" s="83" t="s">
        <v>1554</v>
      </c>
      <c r="I312" s="83">
        <v>146</v>
      </c>
      <c r="K312" s="83">
        <v>5</v>
      </c>
      <c r="N312" s="83">
        <v>9</v>
      </c>
      <c r="Q312" s="83">
        <v>10</v>
      </c>
      <c r="T312" s="83">
        <v>9</v>
      </c>
      <c r="U312" s="83">
        <v>76.650000000000006</v>
      </c>
    </row>
    <row r="313" spans="1:21" x14ac:dyDescent="0.25">
      <c r="A313" s="29"/>
      <c r="B313" s="29" t="s">
        <v>2114</v>
      </c>
      <c r="C313" s="29" t="s">
        <v>2113</v>
      </c>
      <c r="D313" s="24">
        <v>4540225</v>
      </c>
      <c r="H313" s="83" t="s">
        <v>1554</v>
      </c>
      <c r="I313" s="83">
        <v>147</v>
      </c>
      <c r="K313" s="85"/>
      <c r="N313" s="85"/>
      <c r="Q313" s="85"/>
      <c r="T313" s="85"/>
      <c r="U313" s="85">
        <v>76.650000000000006</v>
      </c>
    </row>
    <row r="314" spans="1:21" x14ac:dyDescent="0.25">
      <c r="A314" s="29"/>
      <c r="B314" s="29" t="s">
        <v>2116</v>
      </c>
      <c r="C314" s="29" t="s">
        <v>2115</v>
      </c>
      <c r="D314" s="24">
        <v>4540232</v>
      </c>
      <c r="H314" s="83" t="s">
        <v>1554</v>
      </c>
      <c r="I314" s="83">
        <v>148</v>
      </c>
      <c r="K314" s="83">
        <v>2</v>
      </c>
      <c r="N314" s="83">
        <v>2</v>
      </c>
      <c r="Q314" s="83">
        <v>2</v>
      </c>
      <c r="T314" s="83">
        <v>1</v>
      </c>
      <c r="U314" s="85">
        <v>76.650000000000006</v>
      </c>
    </row>
    <row r="315" spans="1:21" x14ac:dyDescent="0.25">
      <c r="A315" s="29"/>
      <c r="B315" s="29" t="s">
        <v>2119</v>
      </c>
      <c r="C315" s="29" t="s">
        <v>2118</v>
      </c>
      <c r="D315" s="24">
        <v>4540240</v>
      </c>
      <c r="H315" s="83" t="s">
        <v>1554</v>
      </c>
      <c r="I315" s="83">
        <v>149</v>
      </c>
      <c r="K315" s="83">
        <v>4</v>
      </c>
      <c r="N315" s="83">
        <v>5</v>
      </c>
      <c r="Q315" s="83">
        <v>5</v>
      </c>
      <c r="T315" s="83">
        <v>7</v>
      </c>
      <c r="U315" s="85">
        <v>76.650000000000006</v>
      </c>
    </row>
    <row r="316" spans="1:21" x14ac:dyDescent="0.25">
      <c r="A316" s="29"/>
      <c r="B316" s="29" t="s">
        <v>2122</v>
      </c>
      <c r="C316" s="29" t="s">
        <v>2121</v>
      </c>
      <c r="D316" s="24">
        <v>4540248</v>
      </c>
      <c r="H316" s="83" t="s">
        <v>1554</v>
      </c>
      <c r="I316" s="83">
        <v>150</v>
      </c>
      <c r="K316" s="83">
        <v>7</v>
      </c>
      <c r="N316" s="83">
        <v>10</v>
      </c>
      <c r="Q316" s="83">
        <v>6</v>
      </c>
      <c r="T316" s="83">
        <v>7</v>
      </c>
      <c r="U316" s="85">
        <v>76.650000000000006</v>
      </c>
    </row>
    <row r="317" spans="1:21" x14ac:dyDescent="0.25">
      <c r="A317" s="29"/>
      <c r="B317" s="82" t="s">
        <v>1158</v>
      </c>
      <c r="C317" s="82" t="s">
        <v>1162</v>
      </c>
      <c r="D317" s="24">
        <v>4540255</v>
      </c>
      <c r="E317" s="83" t="s">
        <v>1570</v>
      </c>
      <c r="H317" s="83" t="s">
        <v>1554</v>
      </c>
      <c r="K317" s="83">
        <v>39</v>
      </c>
      <c r="N317" s="83">
        <v>285</v>
      </c>
      <c r="Q317" s="83">
        <v>46</v>
      </c>
      <c r="T317" s="83">
        <v>0</v>
      </c>
      <c r="U317" s="85">
        <v>370</v>
      </c>
    </row>
    <row r="318" spans="1:21" x14ac:dyDescent="0.25">
      <c r="B318" s="82" t="s">
        <v>1158</v>
      </c>
      <c r="C318" s="83" t="s">
        <v>1164</v>
      </c>
      <c r="D318" s="24">
        <v>4540255</v>
      </c>
      <c r="H318" s="83" t="s">
        <v>1554</v>
      </c>
      <c r="K318" s="142">
        <v>107</v>
      </c>
      <c r="N318" s="83">
        <v>83</v>
      </c>
      <c r="Q318" s="83">
        <v>96</v>
      </c>
      <c r="T318" s="83">
        <v>99</v>
      </c>
      <c r="U318" s="83">
        <v>385</v>
      </c>
    </row>
    <row r="319" spans="1:21" x14ac:dyDescent="0.25">
      <c r="A319" s="29"/>
      <c r="B319" s="82" t="s">
        <v>978</v>
      </c>
      <c r="C319" s="29" t="s">
        <v>2124</v>
      </c>
      <c r="D319" s="24">
        <v>4540255</v>
      </c>
      <c r="H319" s="83" t="s">
        <v>1554</v>
      </c>
      <c r="K319" s="83">
        <v>2</v>
      </c>
      <c r="N319" s="83">
        <v>2</v>
      </c>
      <c r="Q319" s="83">
        <v>1</v>
      </c>
      <c r="T319" s="83">
        <v>2</v>
      </c>
      <c r="U319" s="83">
        <v>7</v>
      </c>
    </row>
    <row r="320" spans="1:21" x14ac:dyDescent="0.25">
      <c r="B320" s="29" t="s">
        <v>2127</v>
      </c>
      <c r="C320" s="83" t="s">
        <v>741</v>
      </c>
      <c r="D320" s="24">
        <v>4540255</v>
      </c>
      <c r="H320" s="83" t="s">
        <v>1554</v>
      </c>
      <c r="K320" s="83">
        <v>40</v>
      </c>
      <c r="N320" s="83">
        <v>70</v>
      </c>
      <c r="Q320" s="83">
        <v>53</v>
      </c>
      <c r="T320" s="83">
        <v>47</v>
      </c>
      <c r="U320" s="83">
        <v>210</v>
      </c>
    </row>
    <row r="321" spans="1:21" x14ac:dyDescent="0.25">
      <c r="B321" s="82" t="s">
        <v>1073</v>
      </c>
      <c r="C321" s="83" t="s">
        <v>982</v>
      </c>
      <c r="D321" s="24">
        <v>4540255</v>
      </c>
      <c r="H321" s="83" t="s">
        <v>1554</v>
      </c>
      <c r="K321" s="83">
        <v>152</v>
      </c>
      <c r="N321" s="83">
        <v>128</v>
      </c>
      <c r="Q321" s="83">
        <v>104</v>
      </c>
      <c r="T321" s="83">
        <v>92</v>
      </c>
      <c r="U321" s="83">
        <v>476</v>
      </c>
    </row>
    <row r="322" spans="1:21" x14ac:dyDescent="0.25">
      <c r="B322" s="29" t="s">
        <v>2130</v>
      </c>
      <c r="C322" s="83" t="s">
        <v>1259</v>
      </c>
      <c r="D322" s="24">
        <v>4540255</v>
      </c>
      <c r="H322" s="83" t="s">
        <v>1554</v>
      </c>
      <c r="U322" s="83">
        <v>876</v>
      </c>
    </row>
    <row r="323" spans="1:21" x14ac:dyDescent="0.25">
      <c r="B323" s="24" t="s">
        <v>939</v>
      </c>
      <c r="C323" s="83" t="s">
        <v>741</v>
      </c>
      <c r="D323" s="24">
        <v>4540255</v>
      </c>
      <c r="H323" s="83" t="s">
        <v>1554</v>
      </c>
      <c r="K323" s="83">
        <v>7</v>
      </c>
      <c r="N323" s="83">
        <v>7</v>
      </c>
      <c r="Q323" s="83">
        <v>8</v>
      </c>
      <c r="T323" s="83">
        <v>6</v>
      </c>
      <c r="U323" s="83">
        <v>28</v>
      </c>
    </row>
    <row r="324" spans="1:21" x14ac:dyDescent="0.25">
      <c r="B324" s="82" t="s">
        <v>739</v>
      </c>
      <c r="C324" s="83" t="s">
        <v>741</v>
      </c>
      <c r="D324" s="24">
        <v>4540255</v>
      </c>
      <c r="H324" s="83" t="s">
        <v>1554</v>
      </c>
      <c r="K324" s="83">
        <v>0</v>
      </c>
      <c r="N324" s="83">
        <v>0</v>
      </c>
      <c r="Q324" s="83">
        <v>34</v>
      </c>
      <c r="T324" s="83">
        <v>46</v>
      </c>
      <c r="U324" s="83">
        <v>80</v>
      </c>
    </row>
    <row r="325" spans="1:21" x14ac:dyDescent="0.25">
      <c r="B325" s="82" t="s">
        <v>744</v>
      </c>
      <c r="C325" s="83" t="s">
        <v>741</v>
      </c>
      <c r="D325" s="24">
        <v>4540255</v>
      </c>
      <c r="H325" s="83" t="s">
        <v>1554</v>
      </c>
      <c r="I325" s="83">
        <v>151</v>
      </c>
      <c r="K325" s="83">
        <v>59</v>
      </c>
      <c r="N325" s="83">
        <v>4</v>
      </c>
      <c r="Q325" s="83">
        <v>0</v>
      </c>
      <c r="T325" s="83">
        <v>0</v>
      </c>
      <c r="U325" s="83">
        <v>63</v>
      </c>
    </row>
    <row r="326" spans="1:21" x14ac:dyDescent="0.25">
      <c r="A326" s="29"/>
      <c r="B326" s="29" t="s">
        <v>2134</v>
      </c>
      <c r="C326" s="29" t="s">
        <v>2133</v>
      </c>
      <c r="D326" s="24">
        <v>4540260</v>
      </c>
      <c r="H326" s="83" t="s">
        <v>1554</v>
      </c>
      <c r="I326" s="83">
        <v>152</v>
      </c>
      <c r="K326" s="142">
        <v>84</v>
      </c>
      <c r="N326" s="83">
        <v>35</v>
      </c>
      <c r="Q326" s="83">
        <v>36</v>
      </c>
      <c r="T326" s="83">
        <v>20</v>
      </c>
      <c r="U326" s="83">
        <v>175</v>
      </c>
    </row>
    <row r="327" spans="1:21" x14ac:dyDescent="0.25">
      <c r="B327" s="29" t="s">
        <v>2136</v>
      </c>
      <c r="C327" s="82" t="s">
        <v>31</v>
      </c>
      <c r="D327" s="24">
        <v>4540265</v>
      </c>
      <c r="H327" s="83" t="s">
        <v>1554</v>
      </c>
      <c r="I327" s="83">
        <v>153</v>
      </c>
      <c r="U327" s="83">
        <v>8201</v>
      </c>
    </row>
    <row r="328" spans="1:21" x14ac:dyDescent="0.25">
      <c r="A328" s="24"/>
      <c r="B328" s="29" t="s">
        <v>2140</v>
      </c>
      <c r="C328" s="24" t="s">
        <v>2139</v>
      </c>
      <c r="D328" s="123">
        <v>4540279</v>
      </c>
      <c r="H328" s="83" t="s">
        <v>1554</v>
      </c>
      <c r="I328" s="83">
        <v>154</v>
      </c>
      <c r="K328" s="85"/>
      <c r="N328" s="85"/>
      <c r="Q328" s="85"/>
      <c r="T328" s="85"/>
      <c r="U328" s="85">
        <v>76.650000000000006</v>
      </c>
    </row>
    <row r="329" spans="1:21" x14ac:dyDescent="0.25">
      <c r="A329" s="24"/>
      <c r="B329" s="29" t="s">
        <v>2037</v>
      </c>
      <c r="C329" s="24" t="s">
        <v>2142</v>
      </c>
      <c r="D329" s="123">
        <v>4540282</v>
      </c>
      <c r="H329" s="83" t="s">
        <v>1554</v>
      </c>
      <c r="I329" s="83">
        <v>155</v>
      </c>
      <c r="K329" s="85"/>
      <c r="N329" s="85"/>
      <c r="Q329" s="85"/>
      <c r="T329" s="85"/>
      <c r="U329" s="85">
        <v>76.650000000000006</v>
      </c>
    </row>
    <row r="330" spans="1:21" x14ac:dyDescent="0.25">
      <c r="A330" s="29"/>
      <c r="B330" s="29" t="s">
        <v>2145</v>
      </c>
      <c r="C330" s="29" t="s">
        <v>2144</v>
      </c>
      <c r="D330" s="24">
        <v>4540290</v>
      </c>
      <c r="H330" s="83" t="s">
        <v>1554</v>
      </c>
      <c r="I330" s="83">
        <v>156</v>
      </c>
      <c r="K330" s="83">
        <v>50</v>
      </c>
      <c r="N330" s="83">
        <v>110</v>
      </c>
      <c r="Q330" s="83">
        <v>103</v>
      </c>
      <c r="T330" s="83">
        <v>36</v>
      </c>
      <c r="U330" s="83">
        <v>299</v>
      </c>
    </row>
    <row r="331" spans="1:21" x14ac:dyDescent="0.25">
      <c r="B331" s="29" t="s">
        <v>2147</v>
      </c>
      <c r="C331" s="83" t="s">
        <v>1194</v>
      </c>
      <c r="D331" s="24">
        <v>4540300</v>
      </c>
      <c r="H331" s="83" t="s">
        <v>1554</v>
      </c>
      <c r="K331" s="83">
        <v>96</v>
      </c>
      <c r="N331" s="83">
        <v>103</v>
      </c>
      <c r="Q331" s="83">
        <v>77</v>
      </c>
      <c r="T331" s="83">
        <v>68</v>
      </c>
      <c r="U331" s="83">
        <v>344</v>
      </c>
    </row>
    <row r="332" spans="1:21" x14ac:dyDescent="0.25">
      <c r="B332" s="73"/>
      <c r="C332" s="83" t="s">
        <v>1197</v>
      </c>
      <c r="D332" s="24">
        <v>4540300</v>
      </c>
      <c r="H332" s="83" t="s">
        <v>1554</v>
      </c>
      <c r="I332" s="83">
        <v>157</v>
      </c>
      <c r="K332" s="83">
        <v>0</v>
      </c>
      <c r="N332" s="83">
        <v>50</v>
      </c>
      <c r="Q332" s="83">
        <v>45</v>
      </c>
      <c r="T332" s="83">
        <v>0</v>
      </c>
      <c r="U332" s="83">
        <v>95</v>
      </c>
    </row>
    <row r="333" spans="1:21" x14ac:dyDescent="0.25">
      <c r="A333" s="29"/>
      <c r="B333" s="29" t="s">
        <v>2149</v>
      </c>
      <c r="C333" s="29" t="s">
        <v>2148</v>
      </c>
      <c r="D333" s="24">
        <v>4540302</v>
      </c>
      <c r="H333" s="83" t="s">
        <v>1554</v>
      </c>
      <c r="I333" s="83">
        <v>158</v>
      </c>
      <c r="K333" s="83">
        <v>39</v>
      </c>
      <c r="N333" s="83">
        <v>98</v>
      </c>
      <c r="Q333" s="83">
        <v>43</v>
      </c>
      <c r="T333" s="83">
        <v>31</v>
      </c>
      <c r="U333" s="83">
        <v>211</v>
      </c>
    </row>
    <row r="334" spans="1:21" x14ac:dyDescent="0.25">
      <c r="A334" s="29"/>
      <c r="B334" s="29" t="s">
        <v>2152</v>
      </c>
      <c r="C334" s="29" t="s">
        <v>2151</v>
      </c>
      <c r="D334" s="24">
        <v>4540304</v>
      </c>
      <c r="H334" s="83" t="s">
        <v>1554</v>
      </c>
      <c r="I334" s="83">
        <v>159</v>
      </c>
      <c r="K334" s="85"/>
      <c r="N334" s="85"/>
      <c r="Q334" s="85"/>
      <c r="T334" s="85"/>
      <c r="U334" s="85">
        <v>76.650000000000006</v>
      </c>
    </row>
    <row r="335" spans="1:21" x14ac:dyDescent="0.25">
      <c r="A335" s="29"/>
      <c r="B335" s="29" t="s">
        <v>2155</v>
      </c>
      <c r="C335" s="29" t="s">
        <v>2154</v>
      </c>
      <c r="D335" s="24">
        <v>4540310</v>
      </c>
      <c r="H335" s="83" t="s">
        <v>1554</v>
      </c>
      <c r="I335" s="83">
        <v>160</v>
      </c>
      <c r="K335" s="83">
        <v>7</v>
      </c>
      <c r="N335" s="83">
        <v>87</v>
      </c>
      <c r="Q335" s="83">
        <v>21</v>
      </c>
      <c r="T335" s="83">
        <v>4</v>
      </c>
      <c r="U335" s="83">
        <v>119</v>
      </c>
    </row>
    <row r="336" spans="1:21" x14ac:dyDescent="0.25">
      <c r="A336" s="29"/>
      <c r="B336" s="29" t="s">
        <v>2158</v>
      </c>
      <c r="C336" s="29" t="s">
        <v>2157</v>
      </c>
      <c r="D336" s="24">
        <v>4540315</v>
      </c>
      <c r="H336" s="83" t="s">
        <v>1554</v>
      </c>
      <c r="K336" s="83">
        <v>0</v>
      </c>
      <c r="N336" s="83">
        <v>0</v>
      </c>
      <c r="Q336" s="83">
        <v>1</v>
      </c>
      <c r="T336" s="83">
        <v>1</v>
      </c>
      <c r="U336" s="83">
        <v>2</v>
      </c>
    </row>
    <row r="337" spans="1:21" x14ac:dyDescent="0.25">
      <c r="A337" s="29"/>
      <c r="B337" s="29" t="s">
        <v>2160</v>
      </c>
      <c r="C337" s="29" t="s">
        <v>2157</v>
      </c>
      <c r="D337" s="24">
        <v>4540315</v>
      </c>
      <c r="H337" s="83" t="s">
        <v>1554</v>
      </c>
      <c r="K337" s="83">
        <v>0</v>
      </c>
      <c r="N337" s="83">
        <v>1</v>
      </c>
      <c r="Q337" s="83">
        <v>1</v>
      </c>
      <c r="T337" s="83">
        <v>1</v>
      </c>
      <c r="U337" s="83">
        <v>3</v>
      </c>
    </row>
    <row r="338" spans="1:21" x14ac:dyDescent="0.25">
      <c r="A338" s="29"/>
      <c r="B338" s="29" t="s">
        <v>2162</v>
      </c>
      <c r="C338" s="29" t="s">
        <v>2157</v>
      </c>
      <c r="D338" s="24">
        <v>4540315</v>
      </c>
      <c r="H338" s="83" t="s">
        <v>1554</v>
      </c>
      <c r="K338" s="83">
        <v>14</v>
      </c>
      <c r="N338" s="83">
        <v>15</v>
      </c>
      <c r="Q338" s="83">
        <v>14</v>
      </c>
      <c r="T338" s="83">
        <v>14</v>
      </c>
      <c r="U338" s="83">
        <v>57</v>
      </c>
    </row>
    <row r="339" spans="1:21" x14ac:dyDescent="0.25">
      <c r="A339" s="29"/>
      <c r="B339" s="29" t="s">
        <v>2164</v>
      </c>
      <c r="C339" s="29" t="s">
        <v>2157</v>
      </c>
      <c r="D339" s="24">
        <v>4540315</v>
      </c>
      <c r="H339" s="83" t="s">
        <v>1554</v>
      </c>
      <c r="K339" s="83">
        <v>11</v>
      </c>
      <c r="N339" s="83">
        <v>18</v>
      </c>
      <c r="Q339" s="83">
        <v>14</v>
      </c>
      <c r="T339" s="83">
        <v>8</v>
      </c>
      <c r="U339" s="83">
        <v>51</v>
      </c>
    </row>
    <row r="340" spans="1:21" x14ac:dyDescent="0.25">
      <c r="A340" s="29"/>
      <c r="B340" s="29" t="s">
        <v>2166</v>
      </c>
      <c r="C340" s="29" t="s">
        <v>2157</v>
      </c>
      <c r="D340" s="24">
        <v>4540315</v>
      </c>
      <c r="H340" s="83" t="s">
        <v>1554</v>
      </c>
      <c r="K340" s="85">
        <v>0</v>
      </c>
      <c r="N340" s="85">
        <v>0</v>
      </c>
      <c r="Q340" s="85">
        <v>0</v>
      </c>
      <c r="T340" s="85">
        <v>0</v>
      </c>
      <c r="U340" s="85">
        <v>0</v>
      </c>
    </row>
    <row r="341" spans="1:21" x14ac:dyDescent="0.25">
      <c r="A341" s="29"/>
      <c r="B341" s="29" t="s">
        <v>2168</v>
      </c>
      <c r="C341" s="29" t="s">
        <v>2157</v>
      </c>
      <c r="D341" s="24">
        <v>4540315</v>
      </c>
      <c r="H341" s="83" t="s">
        <v>1554</v>
      </c>
      <c r="K341" s="83">
        <v>34</v>
      </c>
      <c r="N341" s="83">
        <v>171</v>
      </c>
      <c r="Q341" s="83">
        <v>31</v>
      </c>
      <c r="T341" s="83">
        <v>45</v>
      </c>
      <c r="U341" s="83">
        <v>281</v>
      </c>
    </row>
    <row r="342" spans="1:21" x14ac:dyDescent="0.25">
      <c r="A342" s="29"/>
      <c r="B342" s="29" t="s">
        <v>2168</v>
      </c>
      <c r="C342" s="29" t="s">
        <v>2157</v>
      </c>
      <c r="D342" s="24">
        <v>4540315</v>
      </c>
      <c r="H342" s="83" t="s">
        <v>1554</v>
      </c>
      <c r="K342" s="83">
        <v>67</v>
      </c>
      <c r="N342" s="83">
        <v>29</v>
      </c>
      <c r="Q342" s="83">
        <v>17</v>
      </c>
      <c r="T342" s="83">
        <v>14</v>
      </c>
      <c r="U342" s="83">
        <v>127</v>
      </c>
    </row>
    <row r="343" spans="1:21" x14ac:dyDescent="0.25">
      <c r="A343" s="29"/>
      <c r="B343" s="29" t="s">
        <v>2171</v>
      </c>
      <c r="C343" s="29" t="s">
        <v>2157</v>
      </c>
      <c r="D343" s="24">
        <v>4540315</v>
      </c>
      <c r="H343" s="83" t="s">
        <v>1554</v>
      </c>
      <c r="K343" s="83">
        <v>7</v>
      </c>
      <c r="N343" s="83">
        <v>14</v>
      </c>
      <c r="Q343" s="83">
        <v>10</v>
      </c>
      <c r="T343" s="83">
        <v>15</v>
      </c>
      <c r="U343" s="83">
        <v>46</v>
      </c>
    </row>
    <row r="344" spans="1:21" x14ac:dyDescent="0.25">
      <c r="A344" s="29"/>
      <c r="B344" s="29" t="s">
        <v>2173</v>
      </c>
      <c r="C344" s="29" t="s">
        <v>2157</v>
      </c>
      <c r="D344" s="24">
        <v>4540315</v>
      </c>
      <c r="H344" s="83" t="s">
        <v>1554</v>
      </c>
      <c r="K344" s="85">
        <v>0</v>
      </c>
      <c r="N344" s="85">
        <v>0</v>
      </c>
      <c r="Q344" s="85">
        <v>0</v>
      </c>
      <c r="T344" s="85">
        <v>0</v>
      </c>
      <c r="U344" s="85">
        <v>0</v>
      </c>
    </row>
    <row r="345" spans="1:21" x14ac:dyDescent="0.25">
      <c r="A345" s="29"/>
      <c r="B345" s="29" t="s">
        <v>2175</v>
      </c>
      <c r="C345" s="29" t="s">
        <v>2157</v>
      </c>
      <c r="D345" s="24">
        <v>4540315</v>
      </c>
      <c r="H345" s="83" t="s">
        <v>1554</v>
      </c>
      <c r="K345" s="83">
        <v>11</v>
      </c>
      <c r="N345" s="83">
        <v>9</v>
      </c>
      <c r="Q345" s="83">
        <v>8</v>
      </c>
      <c r="T345" s="83">
        <v>7</v>
      </c>
      <c r="U345" s="83">
        <v>35</v>
      </c>
    </row>
    <row r="346" spans="1:21" x14ac:dyDescent="0.25">
      <c r="A346" s="29"/>
      <c r="B346" s="29" t="s">
        <v>2177</v>
      </c>
      <c r="C346" s="29" t="s">
        <v>2157</v>
      </c>
      <c r="D346" s="24">
        <v>4540315</v>
      </c>
      <c r="H346" s="83" t="s">
        <v>1554</v>
      </c>
      <c r="K346" s="85">
        <v>0</v>
      </c>
      <c r="N346" s="85">
        <v>0</v>
      </c>
      <c r="Q346" s="85">
        <v>0</v>
      </c>
      <c r="T346" s="85">
        <v>0</v>
      </c>
      <c r="U346" s="85">
        <v>0</v>
      </c>
    </row>
    <row r="347" spans="1:21" x14ac:dyDescent="0.25">
      <c r="A347" s="29"/>
      <c r="B347" s="29" t="s">
        <v>2178</v>
      </c>
      <c r="C347" s="29" t="s">
        <v>2157</v>
      </c>
      <c r="D347" s="24">
        <v>4540315</v>
      </c>
      <c r="H347" s="83" t="s">
        <v>1554</v>
      </c>
      <c r="K347" s="83">
        <v>2</v>
      </c>
      <c r="N347" s="83">
        <v>2</v>
      </c>
      <c r="Q347" s="83">
        <v>2</v>
      </c>
      <c r="T347" s="83">
        <v>1</v>
      </c>
      <c r="U347" s="83">
        <v>7</v>
      </c>
    </row>
    <row r="348" spans="1:21" x14ac:dyDescent="0.25">
      <c r="A348" s="29"/>
      <c r="B348" s="29" t="s">
        <v>2178</v>
      </c>
      <c r="C348" s="29" t="s">
        <v>2182</v>
      </c>
      <c r="D348" s="24">
        <v>4540315</v>
      </c>
      <c r="H348" s="83" t="s">
        <v>1554</v>
      </c>
      <c r="K348" s="83">
        <v>6</v>
      </c>
      <c r="N348" s="83">
        <v>7</v>
      </c>
      <c r="Q348" s="83">
        <v>8</v>
      </c>
      <c r="T348" s="83">
        <v>8</v>
      </c>
      <c r="U348" s="83">
        <v>29</v>
      </c>
    </row>
    <row r="349" spans="1:21" x14ac:dyDescent="0.25">
      <c r="A349" s="29"/>
      <c r="B349" s="29" t="s">
        <v>2181</v>
      </c>
      <c r="C349" s="29" t="s">
        <v>2180</v>
      </c>
      <c r="D349" s="24">
        <v>4540315</v>
      </c>
      <c r="H349" s="83" t="s">
        <v>1554</v>
      </c>
      <c r="I349" s="83">
        <v>161</v>
      </c>
      <c r="K349" s="83">
        <v>165</v>
      </c>
      <c r="N349" s="83">
        <v>159</v>
      </c>
      <c r="Q349" s="83">
        <v>157</v>
      </c>
      <c r="T349" s="83">
        <v>155</v>
      </c>
      <c r="U349" s="83">
        <v>636</v>
      </c>
    </row>
    <row r="350" spans="1:21" x14ac:dyDescent="0.25">
      <c r="A350" s="29"/>
      <c r="B350" s="29" t="s">
        <v>2185</v>
      </c>
      <c r="C350" s="29" t="s">
        <v>2184</v>
      </c>
      <c r="D350" s="24">
        <v>4540320</v>
      </c>
      <c r="H350" s="83" t="s">
        <v>1554</v>
      </c>
      <c r="I350" s="83">
        <v>162</v>
      </c>
      <c r="K350" s="83">
        <v>139</v>
      </c>
      <c r="N350" s="83">
        <v>209</v>
      </c>
      <c r="Q350" s="83">
        <v>120</v>
      </c>
      <c r="T350" s="83">
        <v>86</v>
      </c>
      <c r="U350" s="83">
        <v>554</v>
      </c>
    </row>
    <row r="351" spans="1:21" x14ac:dyDescent="0.25">
      <c r="A351" s="29"/>
      <c r="B351" s="29" t="s">
        <v>2188</v>
      </c>
      <c r="C351" s="29" t="s">
        <v>2187</v>
      </c>
      <c r="D351" s="124">
        <v>4540328</v>
      </c>
      <c r="H351" s="83" t="s">
        <v>1554</v>
      </c>
      <c r="I351" s="83">
        <v>163</v>
      </c>
      <c r="K351" s="85"/>
      <c r="N351" s="85"/>
      <c r="Q351" s="85"/>
      <c r="T351" s="85"/>
      <c r="U351" s="85">
        <v>76.650000000000006</v>
      </c>
    </row>
    <row r="352" spans="1:21" x14ac:dyDescent="0.25">
      <c r="A352" s="29"/>
      <c r="B352" s="29" t="s">
        <v>2191</v>
      </c>
      <c r="C352" s="29" t="s">
        <v>2190</v>
      </c>
      <c r="D352" s="24">
        <v>4540332</v>
      </c>
      <c r="H352" s="83" t="s">
        <v>1554</v>
      </c>
      <c r="I352" s="83">
        <v>164</v>
      </c>
      <c r="K352" s="83">
        <v>4</v>
      </c>
      <c r="N352" s="83">
        <v>6</v>
      </c>
      <c r="Q352" s="83">
        <v>3</v>
      </c>
      <c r="T352" s="83">
        <v>4</v>
      </c>
      <c r="U352" s="85">
        <v>76.650000000000006</v>
      </c>
    </row>
    <row r="353" spans="1:21" x14ac:dyDescent="0.25">
      <c r="A353" s="29"/>
      <c r="B353" s="29" t="s">
        <v>2194</v>
      </c>
      <c r="C353" s="29" t="s">
        <v>2193</v>
      </c>
      <c r="D353" s="24">
        <v>4540336</v>
      </c>
      <c r="H353" s="83" t="s">
        <v>1554</v>
      </c>
      <c r="I353" s="83">
        <v>165</v>
      </c>
      <c r="K353" s="83">
        <v>341</v>
      </c>
      <c r="N353" s="83">
        <v>453</v>
      </c>
      <c r="Q353" s="83">
        <v>359</v>
      </c>
      <c r="T353" s="83">
        <v>206</v>
      </c>
      <c r="U353" s="83">
        <v>1359</v>
      </c>
    </row>
    <row r="354" spans="1:21" x14ac:dyDescent="0.25">
      <c r="A354" s="29"/>
      <c r="B354" s="29" t="s">
        <v>2185</v>
      </c>
      <c r="C354" s="29" t="s">
        <v>2196</v>
      </c>
      <c r="D354" s="24">
        <v>4540339</v>
      </c>
      <c r="H354" s="83" t="s">
        <v>1554</v>
      </c>
      <c r="I354" s="83">
        <v>166</v>
      </c>
      <c r="K354" s="83">
        <v>30</v>
      </c>
      <c r="N354" s="83">
        <v>284</v>
      </c>
      <c r="Q354" s="83">
        <v>43</v>
      </c>
      <c r="T354" s="83">
        <v>18</v>
      </c>
      <c r="U354" s="83">
        <v>375</v>
      </c>
    </row>
    <row r="355" spans="1:21" x14ac:dyDescent="0.25">
      <c r="A355" s="29"/>
      <c r="B355" s="29" t="s">
        <v>2199</v>
      </c>
      <c r="C355" s="29" t="s">
        <v>2198</v>
      </c>
      <c r="D355" s="24">
        <v>4540347</v>
      </c>
      <c r="H355" s="83" t="s">
        <v>1554</v>
      </c>
      <c r="I355" s="83">
        <v>167</v>
      </c>
      <c r="K355" s="83">
        <v>128</v>
      </c>
      <c r="N355" s="83">
        <v>126</v>
      </c>
      <c r="Q355" s="83">
        <v>117</v>
      </c>
      <c r="T355" s="83">
        <v>87</v>
      </c>
      <c r="U355" s="83">
        <v>458</v>
      </c>
    </row>
    <row r="356" spans="1:21" x14ac:dyDescent="0.25">
      <c r="A356" s="29"/>
      <c r="B356" s="29" t="s">
        <v>2202</v>
      </c>
      <c r="C356" s="29" t="s">
        <v>2201</v>
      </c>
      <c r="D356" s="24">
        <v>4540353</v>
      </c>
      <c r="H356" s="83" t="s">
        <v>1554</v>
      </c>
      <c r="I356" s="83">
        <v>168</v>
      </c>
      <c r="K356" s="83">
        <v>7</v>
      </c>
      <c r="N356" s="83">
        <v>7</v>
      </c>
      <c r="Q356" s="83">
        <v>10</v>
      </c>
      <c r="T356" s="83">
        <v>5</v>
      </c>
      <c r="U356" s="83">
        <v>76.650000000000006</v>
      </c>
    </row>
    <row r="357" spans="1:21" x14ac:dyDescent="0.25">
      <c r="A357" s="29"/>
      <c r="B357" s="29" t="s">
        <v>2205</v>
      </c>
      <c r="C357" s="29" t="s">
        <v>2204</v>
      </c>
      <c r="D357" s="24">
        <v>4540358</v>
      </c>
      <c r="H357" s="83" t="s">
        <v>1554</v>
      </c>
      <c r="K357" s="83">
        <v>11</v>
      </c>
      <c r="N357" s="83">
        <v>12</v>
      </c>
      <c r="Q357" s="83">
        <v>10</v>
      </c>
      <c r="T357" s="83">
        <v>11</v>
      </c>
      <c r="U357" s="83">
        <v>76.650000000000006</v>
      </c>
    </row>
    <row r="358" spans="1:21" x14ac:dyDescent="0.25">
      <c r="A358" s="29"/>
      <c r="B358" s="73" t="s">
        <v>2207</v>
      </c>
      <c r="C358" s="29" t="s">
        <v>2204</v>
      </c>
      <c r="D358" s="24">
        <v>4540358</v>
      </c>
      <c r="H358" s="83" t="s">
        <v>1554</v>
      </c>
      <c r="I358" s="83">
        <v>169</v>
      </c>
      <c r="K358" s="83">
        <v>0</v>
      </c>
      <c r="N358" s="83">
        <v>0</v>
      </c>
      <c r="Q358" s="83">
        <v>0</v>
      </c>
      <c r="T358" s="83">
        <v>0</v>
      </c>
      <c r="U358" s="83">
        <v>0</v>
      </c>
    </row>
    <row r="359" spans="1:21" x14ac:dyDescent="0.25">
      <c r="B359" s="29" t="s">
        <v>2209</v>
      </c>
      <c r="C359" s="83" t="s">
        <v>755</v>
      </c>
      <c r="D359" s="24">
        <v>4540369</v>
      </c>
      <c r="H359" s="83" t="s">
        <v>1554</v>
      </c>
      <c r="I359" s="83">
        <v>170</v>
      </c>
      <c r="U359" s="83">
        <v>1359</v>
      </c>
    </row>
    <row r="360" spans="1:21" x14ac:dyDescent="0.25">
      <c r="A360" s="29"/>
      <c r="B360" s="29" t="s">
        <v>2214</v>
      </c>
      <c r="C360" s="29" t="s">
        <v>2213</v>
      </c>
      <c r="D360" s="24">
        <v>4540380</v>
      </c>
      <c r="H360" s="83" t="s">
        <v>1554</v>
      </c>
      <c r="K360" s="83">
        <v>145</v>
      </c>
      <c r="N360" s="83">
        <v>150</v>
      </c>
      <c r="Q360" s="83">
        <v>149</v>
      </c>
      <c r="T360" s="83">
        <v>142</v>
      </c>
      <c r="U360" s="83">
        <v>586</v>
      </c>
    </row>
    <row r="361" spans="1:21" x14ac:dyDescent="0.25">
      <c r="A361" s="29"/>
      <c r="B361" s="29" t="s">
        <v>2216</v>
      </c>
      <c r="C361" s="29" t="s">
        <v>2213</v>
      </c>
      <c r="D361" s="24">
        <v>4540380</v>
      </c>
      <c r="H361" s="83" t="s">
        <v>1554</v>
      </c>
      <c r="K361" s="83">
        <v>2</v>
      </c>
      <c r="N361" s="83">
        <v>3</v>
      </c>
      <c r="Q361" s="83">
        <v>3</v>
      </c>
      <c r="T361" s="83">
        <v>2</v>
      </c>
      <c r="U361" s="83">
        <v>10</v>
      </c>
    </row>
    <row r="362" spans="1:21" x14ac:dyDescent="0.25">
      <c r="A362" s="29"/>
      <c r="B362" s="29" t="s">
        <v>2218</v>
      </c>
      <c r="C362" s="29" t="s">
        <v>2213</v>
      </c>
      <c r="D362" s="24">
        <v>4540380</v>
      </c>
      <c r="H362" s="83" t="s">
        <v>1554</v>
      </c>
      <c r="K362" s="83">
        <v>79</v>
      </c>
      <c r="N362" s="83">
        <v>84</v>
      </c>
      <c r="Q362" s="83">
        <v>74</v>
      </c>
      <c r="T362" s="83">
        <v>61</v>
      </c>
      <c r="U362" s="83">
        <v>298</v>
      </c>
    </row>
    <row r="363" spans="1:21" x14ac:dyDescent="0.25">
      <c r="A363" s="29"/>
      <c r="B363" s="29" t="s">
        <v>2220</v>
      </c>
      <c r="C363" s="29" t="s">
        <v>2213</v>
      </c>
      <c r="D363" s="24">
        <v>4540380</v>
      </c>
      <c r="H363" s="83" t="s">
        <v>1554</v>
      </c>
      <c r="K363" s="85">
        <v>0</v>
      </c>
      <c r="N363" s="85">
        <v>0</v>
      </c>
      <c r="Q363" s="85">
        <v>0</v>
      </c>
      <c r="T363" s="85">
        <v>0</v>
      </c>
      <c r="U363" s="85">
        <v>0</v>
      </c>
    </row>
    <row r="364" spans="1:21" x14ac:dyDescent="0.25">
      <c r="A364" s="29"/>
      <c r="B364" s="29" t="s">
        <v>2222</v>
      </c>
      <c r="C364" s="29" t="s">
        <v>2213</v>
      </c>
      <c r="D364" s="24">
        <v>4540380</v>
      </c>
      <c r="H364" s="83" t="s">
        <v>1554</v>
      </c>
      <c r="K364" s="83">
        <v>19</v>
      </c>
      <c r="N364" s="83">
        <v>18</v>
      </c>
      <c r="Q364" s="83">
        <v>18</v>
      </c>
      <c r="T364" s="83">
        <v>16</v>
      </c>
      <c r="U364" s="83">
        <v>71</v>
      </c>
    </row>
    <row r="365" spans="1:21" x14ac:dyDescent="0.25">
      <c r="A365" s="29"/>
      <c r="B365" s="73" t="s">
        <v>2220</v>
      </c>
      <c r="C365" s="29" t="s">
        <v>2213</v>
      </c>
      <c r="D365" s="24">
        <v>4540380</v>
      </c>
      <c r="H365" s="83" t="s">
        <v>1554</v>
      </c>
      <c r="K365" s="83">
        <v>84</v>
      </c>
      <c r="N365" s="83">
        <v>85</v>
      </c>
      <c r="Q365" s="83">
        <v>93</v>
      </c>
      <c r="T365" s="83">
        <v>87</v>
      </c>
      <c r="U365" s="83">
        <v>349</v>
      </c>
    </row>
    <row r="366" spans="1:21" x14ac:dyDescent="0.25">
      <c r="A366" s="29"/>
      <c r="B366" s="29" t="s">
        <v>2225</v>
      </c>
      <c r="C366" s="29" t="s">
        <v>2213</v>
      </c>
      <c r="D366" s="24">
        <v>4540380</v>
      </c>
      <c r="H366" s="83" t="s">
        <v>1554</v>
      </c>
      <c r="K366" s="83">
        <v>3</v>
      </c>
      <c r="N366" s="83">
        <v>3</v>
      </c>
      <c r="Q366" s="83">
        <v>3</v>
      </c>
      <c r="T366" s="83">
        <v>3</v>
      </c>
      <c r="U366" s="83">
        <v>12</v>
      </c>
    </row>
    <row r="367" spans="1:21" x14ac:dyDescent="0.25">
      <c r="B367" s="82" t="s">
        <v>1363</v>
      </c>
      <c r="C367" s="83" t="s">
        <v>1367</v>
      </c>
      <c r="D367" s="24">
        <v>4540380</v>
      </c>
      <c r="H367" s="83" t="s">
        <v>1554</v>
      </c>
      <c r="I367" s="83">
        <v>171</v>
      </c>
      <c r="K367" s="83">
        <v>0</v>
      </c>
      <c r="N367" s="83">
        <v>0</v>
      </c>
      <c r="Q367" s="83">
        <v>1</v>
      </c>
      <c r="T367" s="83">
        <v>0</v>
      </c>
      <c r="U367" s="83">
        <v>1</v>
      </c>
    </row>
    <row r="368" spans="1:21" x14ac:dyDescent="0.25">
      <c r="A368" s="29"/>
      <c r="B368" s="29" t="s">
        <v>2233</v>
      </c>
      <c r="C368" s="29" t="s">
        <v>2226</v>
      </c>
      <c r="D368" s="24">
        <v>4540385</v>
      </c>
      <c r="H368" s="83" t="s">
        <v>1554</v>
      </c>
      <c r="K368" s="83">
        <v>47</v>
      </c>
      <c r="N368" s="83">
        <v>349</v>
      </c>
      <c r="Q368" s="83">
        <v>125</v>
      </c>
      <c r="T368" s="83">
        <v>0</v>
      </c>
      <c r="U368" s="83">
        <v>521</v>
      </c>
    </row>
    <row r="369" spans="1:21" x14ac:dyDescent="0.25">
      <c r="A369" s="29"/>
      <c r="B369" s="29" t="s">
        <v>2228</v>
      </c>
      <c r="C369" s="29" t="s">
        <v>2227</v>
      </c>
      <c r="D369" s="24">
        <v>4540385</v>
      </c>
      <c r="H369" s="83" t="s">
        <v>1554</v>
      </c>
      <c r="K369" s="83">
        <v>7</v>
      </c>
      <c r="N369" s="83">
        <v>9</v>
      </c>
      <c r="Q369" s="83">
        <v>7</v>
      </c>
      <c r="T369" s="83">
        <v>8</v>
      </c>
      <c r="U369" s="83">
        <v>31</v>
      </c>
    </row>
    <row r="370" spans="1:21" x14ac:dyDescent="0.25">
      <c r="A370" s="29"/>
      <c r="B370" s="29" t="s">
        <v>2228</v>
      </c>
      <c r="C370" s="29" t="s">
        <v>2229</v>
      </c>
      <c r="D370" s="24">
        <v>4540385</v>
      </c>
      <c r="H370" s="83" t="s">
        <v>1554</v>
      </c>
      <c r="K370" s="83">
        <v>8</v>
      </c>
      <c r="N370" s="83">
        <v>10</v>
      </c>
      <c r="Q370" s="83">
        <v>4</v>
      </c>
      <c r="T370" s="83">
        <v>0</v>
      </c>
      <c r="U370" s="83">
        <v>22</v>
      </c>
    </row>
    <row r="371" spans="1:21" x14ac:dyDescent="0.25">
      <c r="A371" s="29"/>
      <c r="B371" s="29" t="s">
        <v>2228</v>
      </c>
      <c r="C371" s="29" t="s">
        <v>2240</v>
      </c>
      <c r="D371" s="24">
        <v>4540385</v>
      </c>
      <c r="H371" s="83" t="s">
        <v>1554</v>
      </c>
      <c r="K371" s="83">
        <v>0</v>
      </c>
      <c r="N371" s="83">
        <v>0</v>
      </c>
      <c r="Q371" s="83">
        <v>0</v>
      </c>
      <c r="T371" s="83">
        <v>0</v>
      </c>
      <c r="U371" s="83">
        <v>0</v>
      </c>
    </row>
    <row r="372" spans="1:21" x14ac:dyDescent="0.25">
      <c r="A372" s="29"/>
      <c r="B372" s="29" t="s">
        <v>2230</v>
      </c>
      <c r="C372" s="29" t="s">
        <v>2229</v>
      </c>
      <c r="D372" s="24">
        <v>4540385</v>
      </c>
      <c r="H372" s="83" t="s">
        <v>1554</v>
      </c>
      <c r="K372" s="83">
        <v>42</v>
      </c>
      <c r="N372" s="83">
        <v>44</v>
      </c>
      <c r="Q372" s="83">
        <v>34</v>
      </c>
      <c r="T372" s="83">
        <v>38</v>
      </c>
      <c r="U372" s="83">
        <v>158</v>
      </c>
    </row>
    <row r="373" spans="1:21" x14ac:dyDescent="0.25">
      <c r="A373" s="29"/>
      <c r="B373" s="29" t="s">
        <v>2231</v>
      </c>
      <c r="C373" s="29" t="s">
        <v>2226</v>
      </c>
      <c r="D373" s="24">
        <v>4540385</v>
      </c>
      <c r="H373" s="83" t="s">
        <v>1554</v>
      </c>
      <c r="K373" s="83">
        <v>12</v>
      </c>
      <c r="N373" s="83">
        <v>12</v>
      </c>
      <c r="Q373" s="83">
        <v>10</v>
      </c>
      <c r="T373" s="83">
        <v>8</v>
      </c>
      <c r="U373" s="83">
        <v>42</v>
      </c>
    </row>
    <row r="374" spans="1:21" x14ac:dyDescent="0.25">
      <c r="A374" s="29"/>
      <c r="B374" s="29" t="s">
        <v>2232</v>
      </c>
      <c r="C374" s="29" t="s">
        <v>2226</v>
      </c>
      <c r="D374" s="24">
        <v>4540385</v>
      </c>
      <c r="H374" s="83" t="s">
        <v>1554</v>
      </c>
      <c r="K374" s="83">
        <v>111</v>
      </c>
      <c r="N374" s="83">
        <v>108</v>
      </c>
      <c r="Q374" s="83">
        <v>65</v>
      </c>
      <c r="T374" s="83">
        <v>62</v>
      </c>
      <c r="U374" s="83">
        <v>346</v>
      </c>
    </row>
    <row r="375" spans="1:21" x14ac:dyDescent="0.25">
      <c r="A375" s="29"/>
      <c r="B375" s="29" t="s">
        <v>2233</v>
      </c>
      <c r="C375" s="29" t="s">
        <v>2226</v>
      </c>
      <c r="D375" s="24">
        <v>4540385</v>
      </c>
      <c r="H375" s="83" t="s">
        <v>1554</v>
      </c>
      <c r="I375" s="83">
        <v>172</v>
      </c>
      <c r="K375" s="83">
        <v>0</v>
      </c>
      <c r="N375" s="83">
        <v>0</v>
      </c>
      <c r="Q375" s="83">
        <v>0</v>
      </c>
      <c r="T375" s="83">
        <v>2</v>
      </c>
      <c r="U375" s="83">
        <v>2</v>
      </c>
    </row>
    <row r="376" spans="1:21" x14ac:dyDescent="0.25">
      <c r="B376" s="82" t="s">
        <v>1249</v>
      </c>
      <c r="C376" s="83" t="s">
        <v>1250</v>
      </c>
      <c r="D376" s="24">
        <v>4540392</v>
      </c>
      <c r="H376" s="83" t="s">
        <v>1554</v>
      </c>
      <c r="I376" s="83">
        <v>173</v>
      </c>
      <c r="K376" s="83">
        <v>2</v>
      </c>
      <c r="N376" s="83">
        <v>3</v>
      </c>
      <c r="Q376" s="83">
        <v>3</v>
      </c>
      <c r="T376" s="83">
        <v>2</v>
      </c>
      <c r="U376" s="83">
        <v>76.650000000000006</v>
      </c>
    </row>
    <row r="377" spans="1:21" x14ac:dyDescent="0.25">
      <c r="B377" s="82" t="s">
        <v>788</v>
      </c>
      <c r="C377" s="83" t="s">
        <v>792</v>
      </c>
      <c r="D377" s="24">
        <v>4540394</v>
      </c>
      <c r="H377" s="83" t="s">
        <v>1554</v>
      </c>
      <c r="I377" s="83">
        <v>174</v>
      </c>
      <c r="K377" s="83">
        <v>35</v>
      </c>
      <c r="N377" s="83">
        <v>52</v>
      </c>
      <c r="Q377" s="83">
        <v>35</v>
      </c>
      <c r="T377" s="83">
        <v>30</v>
      </c>
      <c r="U377" s="83">
        <v>152</v>
      </c>
    </row>
    <row r="378" spans="1:21" x14ac:dyDescent="0.25">
      <c r="A378" s="29"/>
      <c r="B378" s="29" t="s">
        <v>2235</v>
      </c>
      <c r="C378" s="29" t="s">
        <v>2234</v>
      </c>
      <c r="D378" s="24">
        <v>4540395</v>
      </c>
      <c r="H378" s="83" t="s">
        <v>1554</v>
      </c>
      <c r="I378" s="83">
        <v>175</v>
      </c>
      <c r="K378" s="83">
        <v>62</v>
      </c>
      <c r="N378" s="83">
        <v>62</v>
      </c>
      <c r="Q378" s="83">
        <v>63</v>
      </c>
      <c r="T378" s="83">
        <v>60</v>
      </c>
      <c r="U378" s="83">
        <v>247</v>
      </c>
    </row>
    <row r="379" spans="1:21" x14ac:dyDescent="0.25">
      <c r="A379" s="29"/>
      <c r="B379" s="29" t="s">
        <v>2237</v>
      </c>
      <c r="C379" s="29" t="s">
        <v>2236</v>
      </c>
      <c r="D379" s="24">
        <v>4540401</v>
      </c>
      <c r="H379" s="83" t="s">
        <v>1554</v>
      </c>
      <c r="I379" s="83">
        <v>176</v>
      </c>
      <c r="K379" s="83">
        <v>405</v>
      </c>
      <c r="N379" s="83">
        <v>429</v>
      </c>
      <c r="Q379" s="83">
        <v>318</v>
      </c>
      <c r="T379" s="83">
        <v>244</v>
      </c>
      <c r="U379" s="83">
        <v>1396</v>
      </c>
    </row>
    <row r="380" spans="1:21" x14ac:dyDescent="0.25">
      <c r="A380" s="29"/>
      <c r="B380" s="29" t="s">
        <v>2239</v>
      </c>
      <c r="C380" s="29" t="s">
        <v>2238</v>
      </c>
      <c r="D380" s="24">
        <v>4540411</v>
      </c>
      <c r="H380" s="83" t="s">
        <v>1554</v>
      </c>
      <c r="I380" s="83">
        <v>177</v>
      </c>
      <c r="K380" s="83">
        <v>7</v>
      </c>
      <c r="N380" s="83">
        <v>21</v>
      </c>
      <c r="Q380" s="83">
        <v>36</v>
      </c>
      <c r="T380" s="83">
        <v>28</v>
      </c>
      <c r="U380" s="83">
        <v>92</v>
      </c>
    </row>
    <row r="381" spans="1:21" x14ac:dyDescent="0.25">
      <c r="D381" s="82"/>
      <c r="K381" s="85"/>
      <c r="N381" s="85"/>
      <c r="Q381" s="85"/>
      <c r="T381" s="85"/>
      <c r="U381" s="8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81"/>
  <sheetViews>
    <sheetView topLeftCell="A361" workbookViewId="0">
      <selection activeCell="E286" sqref="E286"/>
    </sheetView>
  </sheetViews>
  <sheetFormatPr defaultRowHeight="15" x14ac:dyDescent="0.25"/>
  <cols>
    <col min="1" max="1" width="5.7109375" style="83" customWidth="1"/>
    <col min="2" max="2" width="29.140625" style="83" customWidth="1"/>
    <col min="3" max="3" width="24.85546875" style="29" customWidth="1"/>
    <col min="4" max="4" width="12.5703125" style="83" customWidth="1"/>
    <col min="5" max="10" width="9.140625" style="83"/>
    <col min="11" max="11" width="11.42578125" style="142" bestFit="1" customWidth="1"/>
    <col min="12" max="20" width="9.140625" style="83"/>
    <col min="21" max="21" width="11.85546875" style="83" customWidth="1"/>
    <col min="22" max="22" width="11.42578125" style="83" customWidth="1"/>
    <col min="23" max="23" width="12" style="83" customWidth="1"/>
    <col min="24" max="16384" width="9.140625" style="83"/>
  </cols>
  <sheetData>
    <row r="1" spans="1:29" x14ac:dyDescent="0.25">
      <c r="A1" s="19"/>
      <c r="B1" s="19" t="s">
        <v>1529</v>
      </c>
      <c r="C1" s="29" t="s">
        <v>1530</v>
      </c>
      <c r="D1" s="20" t="s">
        <v>1531</v>
      </c>
      <c r="E1" s="20" t="s">
        <v>1532</v>
      </c>
      <c r="F1" s="21" t="s">
        <v>1533</v>
      </c>
      <c r="G1" s="21" t="s">
        <v>1534</v>
      </c>
      <c r="H1" s="22" t="s">
        <v>1535</v>
      </c>
      <c r="I1" s="21" t="s">
        <v>1536</v>
      </c>
      <c r="J1" s="21" t="s">
        <v>1537</v>
      </c>
      <c r="K1" s="23" t="s">
        <v>1538</v>
      </c>
      <c r="L1" s="23" t="s">
        <v>1539</v>
      </c>
      <c r="M1" s="23" t="s">
        <v>1540</v>
      </c>
      <c r="N1" s="23" t="s">
        <v>1541</v>
      </c>
      <c r="O1" s="23" t="s">
        <v>1542</v>
      </c>
      <c r="P1" s="23" t="s">
        <v>1543</v>
      </c>
      <c r="Q1" s="23" t="s">
        <v>1544</v>
      </c>
      <c r="R1" s="23" t="s">
        <v>1545</v>
      </c>
      <c r="S1" s="23" t="s">
        <v>1546</v>
      </c>
      <c r="T1" s="23" t="s">
        <v>1547</v>
      </c>
      <c r="U1" s="23" t="s">
        <v>1548</v>
      </c>
      <c r="V1" s="23" t="s">
        <v>1549</v>
      </c>
      <c r="W1" s="24" t="s">
        <v>1550</v>
      </c>
      <c r="X1" s="26"/>
      <c r="Y1" s="26"/>
      <c r="Z1" s="27"/>
      <c r="AA1" s="24"/>
    </row>
    <row r="2" spans="1:29" x14ac:dyDescent="0.25">
      <c r="A2" s="29"/>
      <c r="B2" s="29" t="s">
        <v>1552</v>
      </c>
      <c r="C2" s="29" t="s">
        <v>1553</v>
      </c>
      <c r="D2" s="30">
        <v>1090011</v>
      </c>
      <c r="E2" s="31"/>
      <c r="G2" s="24"/>
      <c r="H2" s="32" t="s">
        <v>1554</v>
      </c>
      <c r="I2" s="33"/>
      <c r="J2" s="33"/>
      <c r="K2" s="33"/>
      <c r="L2" s="33"/>
      <c r="M2" s="140">
        <v>10000</v>
      </c>
      <c r="N2" s="33"/>
      <c r="O2" s="33"/>
      <c r="P2" s="85">
        <v>88000</v>
      </c>
      <c r="Q2" s="33"/>
      <c r="R2" s="33"/>
      <c r="S2" s="85">
        <v>61000</v>
      </c>
      <c r="T2" s="33"/>
      <c r="U2" s="33"/>
      <c r="V2" s="85">
        <v>12000</v>
      </c>
      <c r="W2" s="138">
        <f t="shared" ref="W2:W33" si="0">SUM(M2+P2+S2+V2)</f>
        <v>171000</v>
      </c>
      <c r="X2" s="25"/>
      <c r="Y2" s="24" t="s">
        <v>1555</v>
      </c>
      <c r="Z2" s="26"/>
      <c r="AA2" s="26"/>
      <c r="AC2" s="24"/>
    </row>
    <row r="3" spans="1:29" x14ac:dyDescent="0.25">
      <c r="A3" s="29"/>
      <c r="B3" s="29" t="s">
        <v>1552</v>
      </c>
      <c r="C3" s="29" t="s">
        <v>1557</v>
      </c>
      <c r="D3" s="30">
        <v>1090011</v>
      </c>
      <c r="E3" s="31"/>
      <c r="G3" s="24"/>
      <c r="H3" s="32" t="s">
        <v>1554</v>
      </c>
      <c r="I3" s="33"/>
      <c r="J3" s="33"/>
      <c r="K3" s="33"/>
      <c r="L3" s="33"/>
      <c r="M3" s="140">
        <v>0</v>
      </c>
      <c r="N3" s="33"/>
      <c r="O3" s="33"/>
      <c r="P3" s="33">
        <v>1000</v>
      </c>
      <c r="Q3" s="33"/>
      <c r="R3" s="33"/>
      <c r="S3" s="33">
        <v>0</v>
      </c>
      <c r="T3" s="33"/>
      <c r="U3" s="33"/>
      <c r="V3" s="33">
        <v>0</v>
      </c>
      <c r="W3" s="138">
        <f t="shared" si="0"/>
        <v>1000</v>
      </c>
      <c r="X3" s="25"/>
      <c r="Y3" s="24" t="s">
        <v>1555</v>
      </c>
      <c r="Z3" s="26"/>
      <c r="AA3" s="26"/>
      <c r="AC3" s="24"/>
    </row>
    <row r="4" spans="1:29" x14ac:dyDescent="0.25">
      <c r="A4" s="29"/>
      <c r="B4" s="29" t="s">
        <v>1552</v>
      </c>
      <c r="C4" s="29" t="s">
        <v>1559</v>
      </c>
      <c r="D4" s="30">
        <v>1090011</v>
      </c>
      <c r="E4" s="31"/>
      <c r="G4" s="24"/>
      <c r="H4" s="32" t="s">
        <v>1554</v>
      </c>
      <c r="I4" s="33">
        <v>1</v>
      </c>
      <c r="J4" s="33"/>
      <c r="K4" s="33"/>
      <c r="L4" s="33"/>
      <c r="M4" s="140">
        <v>39000</v>
      </c>
      <c r="N4" s="33"/>
      <c r="O4" s="33"/>
      <c r="P4" s="33">
        <v>7000</v>
      </c>
      <c r="Q4" s="33"/>
      <c r="R4" s="33"/>
      <c r="S4" s="33">
        <v>38000</v>
      </c>
      <c r="T4" s="33"/>
      <c r="U4" s="33"/>
      <c r="V4" s="33">
        <v>62000</v>
      </c>
      <c r="W4" s="138">
        <f t="shared" si="0"/>
        <v>146000</v>
      </c>
      <c r="X4" s="25"/>
      <c r="Y4" s="24" t="s">
        <v>1555</v>
      </c>
      <c r="Z4" s="26"/>
      <c r="AA4" s="26"/>
      <c r="AC4" s="24"/>
    </row>
    <row r="5" spans="1:29" x14ac:dyDescent="0.25">
      <c r="A5" s="29"/>
      <c r="B5" s="29" t="s">
        <v>1561</v>
      </c>
      <c r="C5" s="29" t="s">
        <v>1562</v>
      </c>
      <c r="D5" s="30">
        <v>1090021</v>
      </c>
      <c r="E5" s="31"/>
      <c r="G5" s="24"/>
      <c r="H5" s="32" t="s">
        <v>1554</v>
      </c>
      <c r="I5" s="33">
        <v>2</v>
      </c>
      <c r="J5" s="33"/>
      <c r="K5" s="33"/>
      <c r="L5" s="33"/>
      <c r="M5" s="140">
        <v>8000</v>
      </c>
      <c r="N5" s="33"/>
      <c r="O5" s="33"/>
      <c r="P5" s="33">
        <v>9000</v>
      </c>
      <c r="Q5" s="33"/>
      <c r="R5" s="33"/>
      <c r="S5" s="33">
        <v>7000</v>
      </c>
      <c r="T5" s="33"/>
      <c r="U5" s="33"/>
      <c r="V5" s="33">
        <v>7000</v>
      </c>
      <c r="W5" s="138">
        <f t="shared" si="0"/>
        <v>31000</v>
      </c>
      <c r="X5" s="25"/>
      <c r="Y5" s="25"/>
      <c r="Z5" s="26"/>
      <c r="AA5" s="26"/>
      <c r="AB5" s="24"/>
      <c r="AC5" s="24"/>
    </row>
    <row r="6" spans="1:29" x14ac:dyDescent="0.25">
      <c r="A6" s="29"/>
      <c r="B6" s="29" t="s">
        <v>1572</v>
      </c>
      <c r="C6" s="29" t="s">
        <v>1573</v>
      </c>
      <c r="D6" s="30">
        <v>1140025</v>
      </c>
      <c r="E6" s="31"/>
      <c r="G6" s="24"/>
      <c r="H6" s="32" t="s">
        <v>1554</v>
      </c>
      <c r="I6" s="33">
        <v>3</v>
      </c>
      <c r="J6" s="33"/>
      <c r="K6" s="33"/>
      <c r="L6" s="33"/>
      <c r="M6" s="141">
        <v>1000</v>
      </c>
      <c r="N6" s="33"/>
      <c r="O6" s="33"/>
      <c r="P6" s="85">
        <v>1000</v>
      </c>
      <c r="Q6" s="33"/>
      <c r="R6" s="33"/>
      <c r="S6" s="85">
        <v>1000</v>
      </c>
      <c r="T6" s="33"/>
      <c r="U6" s="33"/>
      <c r="V6" s="85">
        <v>1000</v>
      </c>
      <c r="W6" s="138">
        <f t="shared" si="0"/>
        <v>4000</v>
      </c>
      <c r="X6" s="25"/>
      <c r="Y6" s="25"/>
      <c r="Z6" s="26"/>
      <c r="AA6" s="26"/>
      <c r="AB6" s="24"/>
      <c r="AC6" s="24"/>
    </row>
    <row r="7" spans="1:29" x14ac:dyDescent="0.25">
      <c r="A7" s="29"/>
      <c r="B7" s="29" t="s">
        <v>1575</v>
      </c>
      <c r="C7" s="29" t="s">
        <v>1573</v>
      </c>
      <c r="D7" s="30">
        <v>1140027</v>
      </c>
      <c r="E7" s="31"/>
      <c r="G7" s="24"/>
      <c r="H7" s="32" t="s">
        <v>1554</v>
      </c>
      <c r="I7" s="33">
        <v>4</v>
      </c>
      <c r="J7" s="33"/>
      <c r="K7" s="33"/>
      <c r="L7" s="33"/>
      <c r="M7" s="141">
        <v>29000</v>
      </c>
      <c r="N7" s="33"/>
      <c r="O7" s="33"/>
      <c r="P7" s="85">
        <v>22000</v>
      </c>
      <c r="Q7" s="33"/>
      <c r="R7" s="33"/>
      <c r="S7" s="85">
        <v>17000</v>
      </c>
      <c r="T7" s="33"/>
      <c r="U7" s="33"/>
      <c r="V7" s="85">
        <v>22000</v>
      </c>
      <c r="W7" s="138">
        <f t="shared" si="0"/>
        <v>90000</v>
      </c>
      <c r="X7" s="25"/>
      <c r="Y7" s="25"/>
      <c r="Z7" s="26"/>
      <c r="AA7" s="26"/>
      <c r="AB7" s="24"/>
      <c r="AC7" s="24"/>
    </row>
    <row r="8" spans="1:29" x14ac:dyDescent="0.25">
      <c r="A8" s="29"/>
      <c r="B8" s="29" t="s">
        <v>1564</v>
      </c>
      <c r="C8" s="29" t="s">
        <v>1565</v>
      </c>
      <c r="D8" s="34">
        <v>2210021</v>
      </c>
      <c r="E8" s="32"/>
      <c r="G8" s="24"/>
      <c r="H8" s="32" t="s">
        <v>1554</v>
      </c>
      <c r="I8" s="33"/>
      <c r="J8" s="33"/>
      <c r="K8" s="33"/>
      <c r="L8" s="33"/>
      <c r="M8" s="144">
        <v>31000</v>
      </c>
      <c r="N8" s="33"/>
      <c r="O8" s="33"/>
      <c r="P8" s="145">
        <v>43000</v>
      </c>
      <c r="Q8" s="33"/>
      <c r="R8" s="33"/>
      <c r="S8" s="145">
        <v>48000</v>
      </c>
      <c r="T8" s="33"/>
      <c r="U8" s="33"/>
      <c r="V8" s="145">
        <v>37000</v>
      </c>
      <c r="W8" s="138">
        <f t="shared" si="0"/>
        <v>159000</v>
      </c>
      <c r="X8" s="25"/>
      <c r="Y8" s="25"/>
      <c r="Z8" s="26"/>
      <c r="AA8" s="26"/>
      <c r="AB8" s="24"/>
      <c r="AC8" s="24"/>
    </row>
    <row r="9" spans="1:29" x14ac:dyDescent="0.25">
      <c r="A9" s="29"/>
      <c r="B9" s="29" t="s">
        <v>1567</v>
      </c>
      <c r="C9" s="29" t="s">
        <v>1565</v>
      </c>
      <c r="D9" s="34">
        <v>2210021</v>
      </c>
      <c r="E9" s="32"/>
      <c r="H9" s="32" t="s">
        <v>1554</v>
      </c>
      <c r="K9" s="83"/>
      <c r="L9" s="33"/>
      <c r="M9" s="141">
        <v>7000</v>
      </c>
      <c r="P9" s="85">
        <v>6000</v>
      </c>
      <c r="S9" s="85">
        <v>5000</v>
      </c>
      <c r="V9" s="85">
        <v>4000</v>
      </c>
      <c r="W9" s="138">
        <f t="shared" si="0"/>
        <v>22000</v>
      </c>
    </row>
    <row r="10" spans="1:29" x14ac:dyDescent="0.25">
      <c r="A10" s="29"/>
      <c r="B10" s="29" t="s">
        <v>1567</v>
      </c>
      <c r="C10" s="29" t="s">
        <v>1569</v>
      </c>
      <c r="D10" s="34">
        <v>2210021</v>
      </c>
      <c r="E10" s="84"/>
      <c r="G10" s="83" t="s">
        <v>1570</v>
      </c>
      <c r="H10" s="32" t="s">
        <v>1554</v>
      </c>
      <c r="K10" s="83"/>
      <c r="L10" s="33"/>
      <c r="M10" s="141">
        <v>9000</v>
      </c>
      <c r="P10" s="85">
        <v>94000</v>
      </c>
      <c r="S10" s="85">
        <v>35000</v>
      </c>
      <c r="V10" s="85">
        <v>0</v>
      </c>
      <c r="W10" s="138">
        <f t="shared" si="0"/>
        <v>138000</v>
      </c>
    </row>
    <row r="11" spans="1:29" x14ac:dyDescent="0.25">
      <c r="A11" s="29"/>
      <c r="B11" s="29" t="s">
        <v>1620</v>
      </c>
      <c r="C11" s="29" t="s">
        <v>1565</v>
      </c>
      <c r="D11" s="34">
        <v>2210021</v>
      </c>
      <c r="E11" s="32"/>
      <c r="H11" s="32" t="s">
        <v>1554</v>
      </c>
      <c r="K11" s="83"/>
      <c r="L11" s="33"/>
      <c r="M11" s="142">
        <v>9000</v>
      </c>
      <c r="P11" s="83">
        <v>7000</v>
      </c>
      <c r="S11" s="83">
        <v>8000</v>
      </c>
      <c r="V11" s="83">
        <v>8000</v>
      </c>
      <c r="W11" s="138">
        <f t="shared" si="0"/>
        <v>32000</v>
      </c>
    </row>
    <row r="12" spans="1:29" x14ac:dyDescent="0.25">
      <c r="A12" s="29"/>
      <c r="B12" s="29" t="s">
        <v>1620</v>
      </c>
      <c r="C12" s="29" t="s">
        <v>1622</v>
      </c>
      <c r="D12" s="34">
        <v>2210021</v>
      </c>
      <c r="E12" s="32"/>
      <c r="G12" s="83" t="s">
        <v>1570</v>
      </c>
      <c r="H12" s="32" t="s">
        <v>1554</v>
      </c>
      <c r="K12" s="83"/>
      <c r="L12" s="33"/>
      <c r="M12" s="142">
        <v>13000</v>
      </c>
      <c r="P12" s="83">
        <v>115000</v>
      </c>
      <c r="S12" s="83">
        <v>21000</v>
      </c>
      <c r="V12" s="83">
        <v>0</v>
      </c>
      <c r="W12" s="138">
        <f t="shared" si="0"/>
        <v>149000</v>
      </c>
    </row>
    <row r="13" spans="1:29" x14ac:dyDescent="0.25">
      <c r="A13" s="29"/>
      <c r="B13" s="29" t="s">
        <v>1640</v>
      </c>
      <c r="C13" s="29" t="s">
        <v>1565</v>
      </c>
      <c r="D13" s="34">
        <v>2210021</v>
      </c>
      <c r="E13" s="32"/>
      <c r="H13" s="32" t="s">
        <v>1554</v>
      </c>
      <c r="K13" s="83"/>
      <c r="L13" s="33"/>
      <c r="M13" s="142">
        <v>26000</v>
      </c>
      <c r="P13" s="83">
        <v>13000</v>
      </c>
      <c r="S13" s="83">
        <v>12000</v>
      </c>
      <c r="V13" s="83">
        <v>12000</v>
      </c>
      <c r="W13" s="138">
        <f t="shared" si="0"/>
        <v>63000</v>
      </c>
    </row>
    <row r="14" spans="1:29" x14ac:dyDescent="0.25">
      <c r="A14" s="29"/>
      <c r="B14" s="29" t="s">
        <v>1642</v>
      </c>
      <c r="C14" s="29" t="s">
        <v>1565</v>
      </c>
      <c r="D14" s="34">
        <v>2210021</v>
      </c>
      <c r="E14" s="32"/>
      <c r="H14" s="32" t="s">
        <v>1554</v>
      </c>
      <c r="K14" s="83"/>
      <c r="L14" s="33"/>
      <c r="M14" s="142">
        <v>1000</v>
      </c>
      <c r="P14" s="83">
        <v>0</v>
      </c>
      <c r="S14" s="83">
        <v>0</v>
      </c>
      <c r="V14" s="83">
        <v>0</v>
      </c>
      <c r="W14" s="138">
        <f t="shared" si="0"/>
        <v>1000</v>
      </c>
    </row>
    <row r="15" spans="1:29" x14ac:dyDescent="0.25">
      <c r="A15" s="29"/>
      <c r="B15" s="29" t="s">
        <v>1644</v>
      </c>
      <c r="C15" s="29" t="s">
        <v>1565</v>
      </c>
      <c r="D15" s="34">
        <v>2210021</v>
      </c>
      <c r="E15" s="32"/>
      <c r="H15" s="32" t="s">
        <v>1554</v>
      </c>
      <c r="K15" s="83"/>
      <c r="L15" s="33"/>
      <c r="M15" s="142">
        <v>0</v>
      </c>
      <c r="P15" s="83">
        <v>1000</v>
      </c>
      <c r="S15" s="83">
        <v>0</v>
      </c>
      <c r="V15" s="83">
        <v>1000</v>
      </c>
      <c r="W15" s="138">
        <f t="shared" si="0"/>
        <v>2000</v>
      </c>
    </row>
    <row r="16" spans="1:29" x14ac:dyDescent="0.25">
      <c r="A16" s="29"/>
      <c r="B16" s="29" t="s">
        <v>1644</v>
      </c>
      <c r="C16" s="29" t="s">
        <v>1565</v>
      </c>
      <c r="D16" s="34">
        <v>2210021</v>
      </c>
      <c r="E16" s="32"/>
      <c r="G16" s="83" t="s">
        <v>1570</v>
      </c>
      <c r="H16" s="32" t="s">
        <v>1554</v>
      </c>
      <c r="K16" s="83"/>
      <c r="L16" s="33"/>
      <c r="M16" s="142">
        <v>3000</v>
      </c>
      <c r="P16" s="83">
        <v>19000</v>
      </c>
      <c r="S16" s="83">
        <v>4000</v>
      </c>
      <c r="V16" s="83">
        <v>0</v>
      </c>
      <c r="W16" s="138">
        <f t="shared" si="0"/>
        <v>26000</v>
      </c>
    </row>
    <row r="17" spans="1:23" x14ac:dyDescent="0.25">
      <c r="A17" s="29"/>
      <c r="B17" s="29" t="s">
        <v>1647</v>
      </c>
      <c r="C17" s="29" t="s">
        <v>1565</v>
      </c>
      <c r="D17" s="34">
        <v>2210021</v>
      </c>
      <c r="E17" s="32"/>
      <c r="H17" s="32" t="s">
        <v>1554</v>
      </c>
      <c r="K17" s="83"/>
      <c r="L17" s="33"/>
      <c r="M17" s="142">
        <v>28000</v>
      </c>
      <c r="P17" s="83">
        <v>20000</v>
      </c>
      <c r="S17" s="83">
        <v>13000</v>
      </c>
      <c r="V17" s="83">
        <v>15000</v>
      </c>
      <c r="W17" s="138">
        <f t="shared" si="0"/>
        <v>76000</v>
      </c>
    </row>
    <row r="18" spans="1:23" x14ac:dyDescent="0.25">
      <c r="A18" s="29"/>
      <c r="B18" s="29" t="s">
        <v>1647</v>
      </c>
      <c r="C18" s="29" t="s">
        <v>1622</v>
      </c>
      <c r="D18" s="34">
        <v>2210021</v>
      </c>
      <c r="E18" s="32"/>
      <c r="G18" s="83" t="s">
        <v>1570</v>
      </c>
      <c r="H18" s="32" t="s">
        <v>1554</v>
      </c>
      <c r="K18" s="83"/>
      <c r="L18" s="33"/>
      <c r="M18" s="142">
        <v>10000</v>
      </c>
      <c r="P18" s="83">
        <v>81000</v>
      </c>
      <c r="S18" s="83">
        <v>17000</v>
      </c>
      <c r="V18" s="83">
        <v>0</v>
      </c>
      <c r="W18" s="138">
        <f t="shared" si="0"/>
        <v>108000</v>
      </c>
    </row>
    <row r="19" spans="1:23" x14ac:dyDescent="0.25">
      <c r="A19" s="29"/>
      <c r="B19" s="29" t="s">
        <v>1650</v>
      </c>
      <c r="C19" s="29" t="s">
        <v>1565</v>
      </c>
      <c r="D19" s="34">
        <v>2210021</v>
      </c>
      <c r="E19" s="32"/>
      <c r="H19" s="32" t="s">
        <v>1554</v>
      </c>
      <c r="K19" s="83"/>
      <c r="L19" s="33"/>
      <c r="M19" s="142">
        <v>1000</v>
      </c>
      <c r="P19" s="83">
        <v>1000</v>
      </c>
      <c r="S19" s="83">
        <v>1000</v>
      </c>
      <c r="V19" s="83">
        <v>0</v>
      </c>
      <c r="W19" s="138">
        <f t="shared" si="0"/>
        <v>3000</v>
      </c>
    </row>
    <row r="20" spans="1:23" x14ac:dyDescent="0.25">
      <c r="A20" s="29"/>
      <c r="B20" s="29" t="s">
        <v>1650</v>
      </c>
      <c r="C20" s="29" t="s">
        <v>1622</v>
      </c>
      <c r="D20" s="34">
        <v>2210021</v>
      </c>
      <c r="E20" s="32"/>
      <c r="H20" s="32" t="s">
        <v>1554</v>
      </c>
      <c r="K20" s="83"/>
      <c r="L20" s="33"/>
      <c r="M20" s="142">
        <v>1000</v>
      </c>
      <c r="P20" s="83">
        <v>1000</v>
      </c>
      <c r="S20" s="83">
        <v>1000</v>
      </c>
      <c r="V20" s="83">
        <v>0</v>
      </c>
      <c r="W20" s="138">
        <f t="shared" si="0"/>
        <v>3000</v>
      </c>
    </row>
    <row r="21" spans="1:23" x14ac:dyDescent="0.25">
      <c r="A21" s="29"/>
      <c r="B21" s="29" t="s">
        <v>1655</v>
      </c>
      <c r="C21" s="29" t="s">
        <v>1651</v>
      </c>
      <c r="D21" s="34">
        <v>2210021</v>
      </c>
      <c r="E21" s="32"/>
      <c r="H21" s="32" t="s">
        <v>1554</v>
      </c>
      <c r="K21" s="83"/>
      <c r="L21" s="33"/>
      <c r="M21" s="142">
        <v>0</v>
      </c>
      <c r="P21" s="83">
        <v>1000</v>
      </c>
      <c r="S21" s="83">
        <v>0</v>
      </c>
      <c r="V21" s="83">
        <v>1000</v>
      </c>
      <c r="W21" s="138">
        <f t="shared" si="0"/>
        <v>2000</v>
      </c>
    </row>
    <row r="22" spans="1:23" x14ac:dyDescent="0.25">
      <c r="A22" s="29"/>
      <c r="B22" s="29" t="s">
        <v>1658</v>
      </c>
      <c r="C22" s="29" t="s">
        <v>1651</v>
      </c>
      <c r="D22" s="34">
        <v>2210021</v>
      </c>
      <c r="E22" s="32"/>
      <c r="H22" s="32" t="s">
        <v>1554</v>
      </c>
      <c r="I22" s="83">
        <v>5</v>
      </c>
      <c r="K22" s="83"/>
      <c r="L22" s="33"/>
      <c r="M22" s="142">
        <v>4000</v>
      </c>
      <c r="P22" s="83">
        <v>4000</v>
      </c>
      <c r="S22" s="83">
        <v>4000</v>
      </c>
      <c r="V22" s="83">
        <v>3000</v>
      </c>
      <c r="W22" s="138">
        <f t="shared" si="0"/>
        <v>15000</v>
      </c>
    </row>
    <row r="23" spans="1:23" x14ac:dyDescent="0.25">
      <c r="A23" s="29"/>
      <c r="B23" s="29" t="s">
        <v>1577</v>
      </c>
      <c r="C23" s="29" t="s">
        <v>1578</v>
      </c>
      <c r="D23" s="30">
        <v>1161010</v>
      </c>
      <c r="E23" s="31"/>
      <c r="G23" s="24"/>
      <c r="H23" s="32" t="s">
        <v>1554</v>
      </c>
      <c r="I23" s="33"/>
      <c r="J23" s="33"/>
      <c r="K23" s="33"/>
      <c r="L23" s="33"/>
      <c r="M23" s="140">
        <v>12000</v>
      </c>
      <c r="N23" s="33"/>
      <c r="O23" s="33"/>
      <c r="P23" s="33">
        <v>19000</v>
      </c>
      <c r="Q23" s="33"/>
      <c r="R23" s="33"/>
      <c r="S23" s="33">
        <v>63000</v>
      </c>
      <c r="T23" s="33"/>
      <c r="U23" s="33"/>
      <c r="V23" s="33">
        <v>57000</v>
      </c>
      <c r="W23" s="138">
        <f t="shared" si="0"/>
        <v>151000</v>
      </c>
    </row>
    <row r="24" spans="1:23" x14ac:dyDescent="0.25">
      <c r="A24" s="29"/>
      <c r="B24" s="29" t="s">
        <v>1577</v>
      </c>
      <c r="C24" s="29" t="s">
        <v>1580</v>
      </c>
      <c r="D24" s="30">
        <v>1162010</v>
      </c>
      <c r="E24" s="32"/>
      <c r="G24" s="83" t="s">
        <v>1570</v>
      </c>
      <c r="H24" s="32" t="s">
        <v>1554</v>
      </c>
      <c r="I24" s="83">
        <v>6</v>
      </c>
      <c r="K24" s="83"/>
      <c r="L24" s="33"/>
      <c r="M24" s="141">
        <v>89000</v>
      </c>
      <c r="P24" s="85">
        <v>1980000</v>
      </c>
      <c r="S24" s="85">
        <v>207000</v>
      </c>
      <c r="V24" s="85">
        <v>0</v>
      </c>
      <c r="W24" s="138">
        <f t="shared" si="0"/>
        <v>2276000</v>
      </c>
    </row>
    <row r="25" spans="1:23" x14ac:dyDescent="0.25">
      <c r="A25" s="29"/>
      <c r="B25" s="29" t="s">
        <v>1582</v>
      </c>
      <c r="C25" s="29" t="s">
        <v>1583</v>
      </c>
      <c r="D25" s="30">
        <v>1162020</v>
      </c>
      <c r="E25" s="32"/>
      <c r="H25" s="32" t="s">
        <v>1554</v>
      </c>
      <c r="I25" s="83">
        <v>7</v>
      </c>
      <c r="K25" s="83"/>
      <c r="L25" s="33"/>
      <c r="M25" s="142">
        <v>11000</v>
      </c>
      <c r="P25" s="83">
        <v>13000</v>
      </c>
      <c r="S25" s="83">
        <v>10000</v>
      </c>
      <c r="V25" s="83">
        <v>18000</v>
      </c>
      <c r="W25" s="138">
        <f t="shared" si="0"/>
        <v>52000</v>
      </c>
    </row>
    <row r="26" spans="1:23" x14ac:dyDescent="0.25">
      <c r="A26" s="29"/>
      <c r="B26" s="29" t="s">
        <v>1585</v>
      </c>
      <c r="C26" s="29" t="s">
        <v>1586</v>
      </c>
      <c r="D26" s="30">
        <v>1160030</v>
      </c>
      <c r="E26" s="32"/>
      <c r="H26" s="32" t="s">
        <v>1554</v>
      </c>
      <c r="I26" s="83">
        <v>8</v>
      </c>
      <c r="K26" s="83"/>
      <c r="L26" s="33"/>
      <c r="M26" s="142">
        <v>25000</v>
      </c>
      <c r="P26" s="83">
        <v>31000</v>
      </c>
      <c r="S26" s="83">
        <v>28000</v>
      </c>
      <c r="V26" s="83">
        <v>22000</v>
      </c>
      <c r="W26" s="138">
        <f t="shared" si="0"/>
        <v>106000</v>
      </c>
    </row>
    <row r="27" spans="1:23" x14ac:dyDescent="0.25">
      <c r="A27" s="29"/>
      <c r="B27" s="29" t="s">
        <v>1588</v>
      </c>
      <c r="C27" s="29" t="s">
        <v>1589</v>
      </c>
      <c r="D27" s="30">
        <v>1161040</v>
      </c>
      <c r="E27" s="32"/>
      <c r="H27" s="32" t="s">
        <v>1554</v>
      </c>
      <c r="I27" s="83">
        <v>9</v>
      </c>
      <c r="K27" s="83"/>
      <c r="L27" s="33"/>
      <c r="M27" s="142">
        <v>10000</v>
      </c>
      <c r="P27" s="83">
        <v>32000</v>
      </c>
      <c r="S27" s="83">
        <v>9000</v>
      </c>
      <c r="V27" s="83">
        <v>8000</v>
      </c>
      <c r="W27" s="138">
        <f t="shared" si="0"/>
        <v>59000</v>
      </c>
    </row>
    <row r="28" spans="1:23" x14ac:dyDescent="0.25">
      <c r="A28" s="29"/>
      <c r="B28" s="29" t="s">
        <v>1591</v>
      </c>
      <c r="C28" s="29" t="s">
        <v>1592</v>
      </c>
      <c r="D28" s="30">
        <v>1161050</v>
      </c>
      <c r="E28" s="32"/>
      <c r="H28" s="32" t="s">
        <v>1554</v>
      </c>
      <c r="I28" s="83">
        <v>10</v>
      </c>
      <c r="K28" s="83"/>
      <c r="L28" s="33"/>
      <c r="M28" s="142">
        <v>10000</v>
      </c>
      <c r="P28" s="83">
        <v>9000</v>
      </c>
      <c r="S28" s="83">
        <v>5000</v>
      </c>
      <c r="V28" s="83">
        <v>2000</v>
      </c>
      <c r="W28" s="138">
        <f t="shared" si="0"/>
        <v>26000</v>
      </c>
    </row>
    <row r="29" spans="1:23" x14ac:dyDescent="0.25">
      <c r="A29" s="29"/>
      <c r="B29" s="29" t="s">
        <v>1594</v>
      </c>
      <c r="C29" s="29" t="s">
        <v>1595</v>
      </c>
      <c r="D29" s="30">
        <v>1160060</v>
      </c>
      <c r="E29" s="32"/>
      <c r="H29" s="32" t="s">
        <v>1554</v>
      </c>
      <c r="I29" s="83">
        <v>11</v>
      </c>
      <c r="K29" s="83"/>
      <c r="L29" s="33"/>
      <c r="M29" s="142">
        <v>5000</v>
      </c>
      <c r="P29" s="83">
        <v>5000</v>
      </c>
      <c r="S29" s="83">
        <v>6000</v>
      </c>
      <c r="V29" s="83">
        <v>4000</v>
      </c>
      <c r="W29" s="138">
        <f t="shared" si="0"/>
        <v>20000</v>
      </c>
    </row>
    <row r="30" spans="1:23" x14ac:dyDescent="0.25">
      <c r="A30" s="29"/>
      <c r="B30" s="29" t="s">
        <v>1597</v>
      </c>
      <c r="C30" s="29" t="s">
        <v>1598</v>
      </c>
      <c r="D30" s="30">
        <v>1162070</v>
      </c>
      <c r="E30" s="32"/>
      <c r="H30" s="32" t="s">
        <v>1554</v>
      </c>
      <c r="I30" s="83">
        <v>12</v>
      </c>
      <c r="K30" s="83"/>
      <c r="L30" s="33"/>
      <c r="M30" s="142">
        <v>13000</v>
      </c>
      <c r="P30" s="83">
        <v>17000</v>
      </c>
      <c r="S30" s="83">
        <v>11000</v>
      </c>
      <c r="V30" s="83">
        <v>7000</v>
      </c>
      <c r="W30" s="138">
        <f t="shared" si="0"/>
        <v>48000</v>
      </c>
    </row>
    <row r="31" spans="1:23" x14ac:dyDescent="0.25">
      <c r="A31" s="29"/>
      <c r="B31" s="29" t="s">
        <v>1600</v>
      </c>
      <c r="C31" s="29" t="s">
        <v>1601</v>
      </c>
      <c r="D31" s="30">
        <v>1162090</v>
      </c>
      <c r="E31" s="32"/>
      <c r="H31" s="32" t="s">
        <v>1554</v>
      </c>
      <c r="I31" s="83">
        <v>13</v>
      </c>
      <c r="K31" s="83"/>
      <c r="L31" s="33"/>
      <c r="M31" s="142">
        <v>2000</v>
      </c>
      <c r="P31" s="83">
        <v>2000</v>
      </c>
      <c r="S31" s="83">
        <v>2000</v>
      </c>
      <c r="V31" s="83">
        <v>1000</v>
      </c>
      <c r="W31" s="138">
        <f t="shared" si="0"/>
        <v>7000</v>
      </c>
    </row>
    <row r="32" spans="1:23" x14ac:dyDescent="0.25">
      <c r="A32" s="29"/>
      <c r="B32" s="29" t="s">
        <v>1603</v>
      </c>
      <c r="C32" s="29" t="s">
        <v>1604</v>
      </c>
      <c r="D32" s="30">
        <v>1160100</v>
      </c>
      <c r="E32" s="32"/>
      <c r="H32" s="32" t="s">
        <v>1554</v>
      </c>
      <c r="I32" s="83">
        <v>14</v>
      </c>
      <c r="K32" s="83"/>
      <c r="L32" s="33"/>
      <c r="M32" s="142">
        <v>18000</v>
      </c>
      <c r="P32" s="83">
        <v>17000</v>
      </c>
      <c r="S32" s="83">
        <v>18000</v>
      </c>
      <c r="V32" s="83">
        <v>12000</v>
      </c>
      <c r="W32" s="138">
        <f t="shared" si="0"/>
        <v>65000</v>
      </c>
    </row>
    <row r="33" spans="1:23" x14ac:dyDescent="0.25">
      <c r="A33" s="29"/>
      <c r="B33" s="29" t="s">
        <v>1606</v>
      </c>
      <c r="C33" s="29" t="s">
        <v>1607</v>
      </c>
      <c r="D33" s="34">
        <v>1170279</v>
      </c>
      <c r="E33" s="32"/>
      <c r="H33" s="32" t="s">
        <v>1554</v>
      </c>
      <c r="K33" s="83"/>
      <c r="L33" s="33"/>
      <c r="M33" s="142">
        <v>197000</v>
      </c>
      <c r="P33" s="83">
        <v>467000</v>
      </c>
      <c r="S33" s="83">
        <v>249000</v>
      </c>
      <c r="V33" s="83">
        <v>191000</v>
      </c>
      <c r="W33" s="138">
        <f t="shared" si="0"/>
        <v>1104000</v>
      </c>
    </row>
    <row r="34" spans="1:23" x14ac:dyDescent="0.25">
      <c r="A34" s="29"/>
      <c r="B34" s="29" t="s">
        <v>1606</v>
      </c>
      <c r="C34" s="29" t="s">
        <v>1607</v>
      </c>
      <c r="D34" s="34">
        <v>1170279</v>
      </c>
      <c r="E34" s="32"/>
      <c r="G34" s="83" t="s">
        <v>1570</v>
      </c>
      <c r="H34" s="32" t="s">
        <v>1554</v>
      </c>
      <c r="K34" s="83"/>
      <c r="L34" s="33"/>
      <c r="M34" s="142">
        <v>132000</v>
      </c>
      <c r="P34" s="83">
        <v>229000</v>
      </c>
      <c r="S34" s="83">
        <v>377000</v>
      </c>
      <c r="V34" s="83">
        <v>0</v>
      </c>
      <c r="W34" s="138">
        <f t="shared" ref="W34:W50" si="1">SUM(M34+P34+S34+V34)</f>
        <v>738000</v>
      </c>
    </row>
    <row r="35" spans="1:23" x14ac:dyDescent="0.25">
      <c r="A35" s="29"/>
      <c r="B35" s="29" t="s">
        <v>1606</v>
      </c>
      <c r="C35" s="29" t="s">
        <v>1607</v>
      </c>
      <c r="D35" s="34">
        <v>1170279</v>
      </c>
      <c r="E35" s="32"/>
      <c r="H35" s="32" t="s">
        <v>1554</v>
      </c>
      <c r="K35" s="83"/>
      <c r="L35" s="33"/>
      <c r="M35" s="142">
        <v>526000</v>
      </c>
      <c r="P35" s="83">
        <v>899000</v>
      </c>
      <c r="S35" s="83">
        <v>700000</v>
      </c>
      <c r="V35" s="83">
        <v>103000</v>
      </c>
      <c r="W35" s="138">
        <f t="shared" si="1"/>
        <v>2228000</v>
      </c>
    </row>
    <row r="36" spans="1:23" x14ac:dyDescent="0.25">
      <c r="A36" s="29"/>
      <c r="B36" s="29" t="s">
        <v>1606</v>
      </c>
      <c r="C36" s="29" t="s">
        <v>1607</v>
      </c>
      <c r="D36" s="34">
        <v>1170279</v>
      </c>
      <c r="E36" s="32"/>
      <c r="H36" s="32" t="s">
        <v>1554</v>
      </c>
      <c r="I36" s="83">
        <v>15</v>
      </c>
      <c r="K36" s="83"/>
      <c r="L36" s="33"/>
      <c r="M36" s="142">
        <v>5000</v>
      </c>
      <c r="P36" s="83">
        <v>36000</v>
      </c>
      <c r="S36" s="83">
        <v>18000</v>
      </c>
      <c r="V36" s="83">
        <v>0</v>
      </c>
      <c r="W36" s="138">
        <f t="shared" si="1"/>
        <v>59000</v>
      </c>
    </row>
    <row r="37" spans="1:23" x14ac:dyDescent="0.25">
      <c r="A37" s="29"/>
      <c r="B37" s="29" t="s">
        <v>1611</v>
      </c>
      <c r="C37" s="29" t="s">
        <v>1612</v>
      </c>
      <c r="D37" s="34">
        <v>1170280</v>
      </c>
      <c r="E37" s="32"/>
      <c r="H37" s="32" t="s">
        <v>1554</v>
      </c>
      <c r="I37" s="83">
        <v>16</v>
      </c>
      <c r="K37" s="83"/>
      <c r="L37" s="33"/>
      <c r="M37" s="142">
        <v>188000</v>
      </c>
      <c r="P37" s="83">
        <v>157000</v>
      </c>
      <c r="S37" s="83">
        <v>152000</v>
      </c>
      <c r="V37" s="83">
        <v>90000</v>
      </c>
      <c r="W37" s="138">
        <f t="shared" si="1"/>
        <v>587000</v>
      </c>
    </row>
    <row r="38" spans="1:23" x14ac:dyDescent="0.25">
      <c r="A38" s="29"/>
      <c r="B38" s="29" t="s">
        <v>1614</v>
      </c>
      <c r="C38" s="29" t="s">
        <v>1615</v>
      </c>
      <c r="D38" s="34">
        <v>1240004</v>
      </c>
      <c r="E38" s="32"/>
      <c r="H38" s="32" t="s">
        <v>1554</v>
      </c>
      <c r="I38" s="83">
        <v>17</v>
      </c>
      <c r="K38" s="83"/>
      <c r="L38" s="33"/>
      <c r="M38" s="142">
        <v>58000</v>
      </c>
      <c r="P38" s="83">
        <v>97000</v>
      </c>
      <c r="S38" s="83">
        <v>70000</v>
      </c>
      <c r="V38" s="83">
        <v>21000</v>
      </c>
      <c r="W38" s="138">
        <f t="shared" si="1"/>
        <v>246000</v>
      </c>
    </row>
    <row r="39" spans="1:23" x14ac:dyDescent="0.25">
      <c r="A39" s="29"/>
      <c r="B39" s="29" t="s">
        <v>1617</v>
      </c>
      <c r="C39" s="29" t="s">
        <v>1618</v>
      </c>
      <c r="D39" s="34">
        <v>1300101</v>
      </c>
      <c r="E39" s="32"/>
      <c r="H39" s="32" t="s">
        <v>1554</v>
      </c>
      <c r="I39" s="83">
        <v>18</v>
      </c>
      <c r="K39" s="83"/>
      <c r="L39" s="33"/>
      <c r="M39" s="142">
        <v>1131000</v>
      </c>
      <c r="P39" s="83">
        <v>1398000</v>
      </c>
      <c r="S39" s="83">
        <v>1142000</v>
      </c>
      <c r="V39" s="83">
        <v>833000</v>
      </c>
      <c r="W39" s="138">
        <f t="shared" si="1"/>
        <v>4504000</v>
      </c>
    </row>
    <row r="40" spans="1:23" x14ac:dyDescent="0.25">
      <c r="A40" s="29"/>
      <c r="B40" s="29" t="s">
        <v>1623</v>
      </c>
      <c r="C40" s="29" t="s">
        <v>1624</v>
      </c>
      <c r="D40" s="24">
        <v>5980030</v>
      </c>
      <c r="E40" s="36"/>
      <c r="H40" s="32" t="s">
        <v>1625</v>
      </c>
      <c r="I40" s="83">
        <v>19</v>
      </c>
      <c r="K40" s="83"/>
      <c r="L40" s="33"/>
      <c r="M40" s="142">
        <v>0</v>
      </c>
      <c r="P40" s="83">
        <v>0</v>
      </c>
      <c r="S40" s="83">
        <v>0</v>
      </c>
      <c r="V40" s="83">
        <v>0</v>
      </c>
      <c r="W40" s="138">
        <f t="shared" si="1"/>
        <v>0</v>
      </c>
    </row>
    <row r="41" spans="1:23" x14ac:dyDescent="0.25">
      <c r="A41" s="29"/>
      <c r="B41" s="29" t="s">
        <v>1630</v>
      </c>
      <c r="C41" s="29" t="s">
        <v>1627</v>
      </c>
      <c r="D41" s="24">
        <v>1610200</v>
      </c>
      <c r="H41" s="32" t="s">
        <v>1625</v>
      </c>
      <c r="I41" s="83">
        <v>20</v>
      </c>
      <c r="K41" s="83"/>
      <c r="M41" s="83">
        <v>353000</v>
      </c>
      <c r="P41" s="83">
        <v>310000</v>
      </c>
      <c r="S41" s="83">
        <v>215000</v>
      </c>
      <c r="V41" s="83">
        <v>200000</v>
      </c>
      <c r="W41" s="138">
        <f t="shared" si="1"/>
        <v>1078000</v>
      </c>
    </row>
    <row r="42" spans="1:23" x14ac:dyDescent="0.25">
      <c r="A42" s="29"/>
      <c r="B42" s="29" t="s">
        <v>1632</v>
      </c>
      <c r="C42" s="29" t="s">
        <v>1629</v>
      </c>
      <c r="D42" s="24">
        <v>1610150</v>
      </c>
      <c r="H42" s="32" t="s">
        <v>1625</v>
      </c>
      <c r="K42" s="83"/>
      <c r="M42" s="85">
        <v>2000</v>
      </c>
      <c r="P42" s="85">
        <v>1000</v>
      </c>
      <c r="S42" s="85">
        <v>0</v>
      </c>
      <c r="V42" s="85">
        <v>0</v>
      </c>
      <c r="W42" s="138">
        <f t="shared" si="1"/>
        <v>3000</v>
      </c>
    </row>
    <row r="43" spans="1:23" x14ac:dyDescent="0.25">
      <c r="A43" s="29"/>
      <c r="B43" s="29" t="s">
        <v>1632</v>
      </c>
      <c r="C43" s="29" t="s">
        <v>1631</v>
      </c>
      <c r="D43" s="24">
        <v>1610150</v>
      </c>
      <c r="H43" s="32" t="s">
        <v>1625</v>
      </c>
      <c r="K43" s="83"/>
      <c r="M43" s="85">
        <v>1000</v>
      </c>
      <c r="P43" s="85">
        <v>1000</v>
      </c>
      <c r="S43" s="85">
        <v>0</v>
      </c>
      <c r="V43" s="85">
        <v>0</v>
      </c>
      <c r="W43" s="138">
        <f t="shared" si="1"/>
        <v>2000</v>
      </c>
    </row>
    <row r="44" spans="1:23" x14ac:dyDescent="0.25">
      <c r="A44" s="29"/>
      <c r="B44" s="29" t="s">
        <v>1632</v>
      </c>
      <c r="C44" s="29" t="s">
        <v>1633</v>
      </c>
      <c r="D44" s="24">
        <v>1610150</v>
      </c>
      <c r="H44" s="32" t="s">
        <v>1625</v>
      </c>
      <c r="K44" s="83"/>
      <c r="M44" s="85">
        <v>3000</v>
      </c>
      <c r="P44" s="85">
        <v>7000</v>
      </c>
      <c r="S44" s="85">
        <v>0</v>
      </c>
      <c r="V44" s="85">
        <v>0</v>
      </c>
      <c r="W44" s="138">
        <f t="shared" si="1"/>
        <v>10000</v>
      </c>
    </row>
    <row r="45" spans="1:23" x14ac:dyDescent="0.25">
      <c r="A45" s="29"/>
      <c r="B45" s="29" t="s">
        <v>1632</v>
      </c>
      <c r="C45" s="29" t="s">
        <v>1634</v>
      </c>
      <c r="D45" s="24">
        <v>1610150</v>
      </c>
      <c r="H45" s="32" t="s">
        <v>1625</v>
      </c>
      <c r="K45" s="83"/>
      <c r="M45" s="85">
        <v>60000</v>
      </c>
      <c r="P45" s="85">
        <v>185000</v>
      </c>
      <c r="S45" s="85">
        <v>15000</v>
      </c>
      <c r="V45" s="85">
        <v>0</v>
      </c>
      <c r="W45" s="138">
        <f t="shared" si="1"/>
        <v>260000</v>
      </c>
    </row>
    <row r="46" spans="1:23" x14ac:dyDescent="0.25">
      <c r="A46" s="29"/>
      <c r="B46" s="29" t="s">
        <v>1632</v>
      </c>
      <c r="C46" s="29" t="s">
        <v>1635</v>
      </c>
      <c r="D46" s="24">
        <v>1610150</v>
      </c>
      <c r="H46" s="32" t="s">
        <v>1625</v>
      </c>
      <c r="K46" s="83"/>
      <c r="M46" s="85">
        <v>0</v>
      </c>
      <c r="P46" s="85">
        <v>0</v>
      </c>
      <c r="S46" s="85">
        <v>0</v>
      </c>
      <c r="V46" s="85">
        <v>0</v>
      </c>
      <c r="W46" s="138">
        <f t="shared" si="1"/>
        <v>0</v>
      </c>
    </row>
    <row r="47" spans="1:23" x14ac:dyDescent="0.25">
      <c r="A47" s="24"/>
      <c r="B47" s="29" t="s">
        <v>1632</v>
      </c>
      <c r="C47" s="29" t="s">
        <v>1636</v>
      </c>
      <c r="D47" s="24">
        <v>1610150</v>
      </c>
      <c r="H47" s="32" t="s">
        <v>1625</v>
      </c>
      <c r="K47" s="83"/>
      <c r="M47" s="85">
        <v>28000</v>
      </c>
      <c r="P47" s="85">
        <v>45000</v>
      </c>
      <c r="S47" s="85">
        <v>0</v>
      </c>
      <c r="V47" s="85">
        <v>0</v>
      </c>
      <c r="W47" s="138">
        <f t="shared" si="1"/>
        <v>73000</v>
      </c>
    </row>
    <row r="48" spans="1:23" x14ac:dyDescent="0.25">
      <c r="A48" s="29"/>
      <c r="B48" s="29" t="s">
        <v>1632</v>
      </c>
      <c r="C48" s="29" t="s">
        <v>1637</v>
      </c>
      <c r="D48" s="24">
        <v>1610150</v>
      </c>
      <c r="H48" s="32" t="s">
        <v>1625</v>
      </c>
      <c r="K48" s="83"/>
      <c r="M48" s="83">
        <v>37000</v>
      </c>
      <c r="P48" s="83">
        <v>27000</v>
      </c>
      <c r="S48" s="83">
        <v>0</v>
      </c>
      <c r="V48" s="83">
        <v>1000</v>
      </c>
      <c r="W48" s="138">
        <f t="shared" si="1"/>
        <v>65000</v>
      </c>
    </row>
    <row r="49" spans="1:23" x14ac:dyDescent="0.25">
      <c r="A49" s="29"/>
      <c r="B49" s="29" t="s">
        <v>1632</v>
      </c>
      <c r="C49" s="29" t="s">
        <v>1638</v>
      </c>
      <c r="D49" s="24">
        <v>1610150</v>
      </c>
      <c r="H49" s="32" t="s">
        <v>1625</v>
      </c>
      <c r="K49" s="83"/>
      <c r="M49" s="83">
        <v>237000</v>
      </c>
      <c r="P49" s="83">
        <v>209000</v>
      </c>
      <c r="S49" s="83">
        <v>127000</v>
      </c>
      <c r="V49" s="83">
        <v>127000</v>
      </c>
      <c r="W49" s="138">
        <f t="shared" si="1"/>
        <v>700000</v>
      </c>
    </row>
    <row r="50" spans="1:23" x14ac:dyDescent="0.25">
      <c r="A50" s="24"/>
      <c r="B50" s="29" t="s">
        <v>1632</v>
      </c>
      <c r="C50" s="29" t="s">
        <v>1274</v>
      </c>
      <c r="D50" s="24">
        <v>1610150</v>
      </c>
      <c r="H50" s="32" t="s">
        <v>1625</v>
      </c>
      <c r="I50" s="83">
        <v>21</v>
      </c>
      <c r="K50" s="83"/>
      <c r="M50" s="83">
        <v>0</v>
      </c>
      <c r="P50" s="83">
        <v>2000</v>
      </c>
      <c r="S50" s="83">
        <v>0</v>
      </c>
      <c r="V50" s="83">
        <v>0</v>
      </c>
      <c r="W50" s="138">
        <f t="shared" si="1"/>
        <v>2000</v>
      </c>
    </row>
    <row r="51" spans="1:23" x14ac:dyDescent="0.25">
      <c r="A51" s="24"/>
      <c r="B51" s="34" t="s">
        <v>2254</v>
      </c>
      <c r="C51" s="29" t="s">
        <v>2056</v>
      </c>
      <c r="D51" s="34">
        <v>1780003</v>
      </c>
      <c r="H51" s="83" t="s">
        <v>1554</v>
      </c>
      <c r="I51" s="83">
        <v>22</v>
      </c>
      <c r="K51" s="83"/>
      <c r="M51" s="83">
        <v>0</v>
      </c>
      <c r="P51" s="83">
        <v>0</v>
      </c>
      <c r="S51" s="83">
        <v>0</v>
      </c>
      <c r="V51" s="83">
        <v>400000</v>
      </c>
      <c r="W51" s="138">
        <v>400000</v>
      </c>
    </row>
    <row r="52" spans="1:23" x14ac:dyDescent="0.25">
      <c r="A52" s="24"/>
      <c r="B52" s="29" t="s">
        <v>1660</v>
      </c>
      <c r="C52" s="29" t="s">
        <v>1668</v>
      </c>
      <c r="D52" s="34">
        <v>1830005</v>
      </c>
      <c r="E52" s="84"/>
      <c r="H52" s="83" t="s">
        <v>1554</v>
      </c>
      <c r="I52" s="83">
        <v>23</v>
      </c>
      <c r="K52" s="83"/>
      <c r="M52" s="83">
        <v>8000</v>
      </c>
      <c r="P52" s="83">
        <v>35000</v>
      </c>
      <c r="S52" s="83">
        <v>13000</v>
      </c>
      <c r="V52" s="83">
        <v>2000</v>
      </c>
      <c r="W52" s="138">
        <f t="shared" ref="W52:W72" si="2">SUM(M52+P52+S52+V52)</f>
        <v>58000</v>
      </c>
    </row>
    <row r="53" spans="1:23" x14ac:dyDescent="0.25">
      <c r="B53" s="29" t="s">
        <v>2255</v>
      </c>
      <c r="C53" s="29" t="s">
        <v>1666</v>
      </c>
      <c r="D53" s="34">
        <v>1830050</v>
      </c>
      <c r="E53" s="84"/>
      <c r="H53" s="83" t="s">
        <v>1554</v>
      </c>
      <c r="K53" s="83"/>
      <c r="M53" s="83">
        <v>1000</v>
      </c>
      <c r="P53" s="83">
        <v>11000</v>
      </c>
      <c r="S53" s="83">
        <v>0</v>
      </c>
      <c r="V53" s="83">
        <v>0</v>
      </c>
      <c r="W53" s="138">
        <f t="shared" si="2"/>
        <v>12000</v>
      </c>
    </row>
    <row r="54" spans="1:23" x14ac:dyDescent="0.25">
      <c r="B54" s="29" t="s">
        <v>2255</v>
      </c>
      <c r="C54" s="29" t="s">
        <v>1667</v>
      </c>
      <c r="D54" s="34">
        <v>1830050</v>
      </c>
      <c r="E54" s="84"/>
      <c r="H54" s="83" t="s">
        <v>1554</v>
      </c>
      <c r="K54" s="83"/>
      <c r="M54" s="83">
        <v>2000</v>
      </c>
      <c r="P54" s="83">
        <v>12000</v>
      </c>
      <c r="S54" s="83">
        <v>0</v>
      </c>
      <c r="V54" s="83">
        <v>0</v>
      </c>
      <c r="W54" s="138">
        <f t="shared" si="2"/>
        <v>14000</v>
      </c>
    </row>
    <row r="55" spans="1:23" x14ac:dyDescent="0.25">
      <c r="A55" s="24"/>
      <c r="B55" s="29" t="s">
        <v>2255</v>
      </c>
      <c r="C55" s="29" t="s">
        <v>1661</v>
      </c>
      <c r="D55" s="34">
        <v>1830050</v>
      </c>
      <c r="E55" s="84"/>
      <c r="H55" s="83" t="s">
        <v>1554</v>
      </c>
      <c r="K55" s="83"/>
      <c r="M55" s="83">
        <v>0</v>
      </c>
      <c r="P55" s="83">
        <v>0</v>
      </c>
      <c r="S55" s="83">
        <v>81000</v>
      </c>
      <c r="V55" s="83">
        <v>6000</v>
      </c>
      <c r="W55" s="138">
        <f t="shared" si="2"/>
        <v>87000</v>
      </c>
    </row>
    <row r="56" spans="1:23" x14ac:dyDescent="0.25">
      <c r="A56" s="24"/>
      <c r="B56" s="29" t="s">
        <v>2255</v>
      </c>
      <c r="C56" s="29" t="s">
        <v>1661</v>
      </c>
      <c r="D56" s="34">
        <v>1830050</v>
      </c>
      <c r="E56" s="32"/>
      <c r="H56" s="83" t="s">
        <v>1554</v>
      </c>
      <c r="K56" s="83"/>
      <c r="M56" s="83">
        <v>410000</v>
      </c>
      <c r="P56" s="83">
        <v>243000</v>
      </c>
      <c r="S56" s="83">
        <v>0</v>
      </c>
      <c r="V56" s="83">
        <v>0</v>
      </c>
      <c r="W56" s="138">
        <f t="shared" si="2"/>
        <v>653000</v>
      </c>
    </row>
    <row r="57" spans="1:23" x14ac:dyDescent="0.25">
      <c r="B57" s="29" t="s">
        <v>2255</v>
      </c>
      <c r="C57" s="29" t="s">
        <v>1026</v>
      </c>
      <c r="D57" s="83">
        <v>1830050</v>
      </c>
      <c r="E57" s="84"/>
      <c r="H57" s="83" t="s">
        <v>1554</v>
      </c>
      <c r="K57" s="83"/>
      <c r="M57" s="83">
        <v>52000</v>
      </c>
      <c r="P57" s="83">
        <v>1359000</v>
      </c>
      <c r="S57" s="83">
        <v>771000</v>
      </c>
      <c r="V57" s="83">
        <v>0</v>
      </c>
      <c r="W57" s="138">
        <f t="shared" si="2"/>
        <v>2182000</v>
      </c>
    </row>
    <row r="58" spans="1:23" x14ac:dyDescent="0.25">
      <c r="B58" s="29" t="s">
        <v>2255</v>
      </c>
      <c r="C58" s="29" t="s">
        <v>1026</v>
      </c>
      <c r="D58" s="83">
        <v>1830050</v>
      </c>
      <c r="E58" s="84"/>
      <c r="H58" s="83" t="s">
        <v>1554</v>
      </c>
      <c r="K58" s="83"/>
      <c r="M58" s="83">
        <v>0</v>
      </c>
      <c r="P58" s="83">
        <v>0</v>
      </c>
      <c r="S58" s="83">
        <v>1000</v>
      </c>
      <c r="V58" s="83">
        <v>0</v>
      </c>
      <c r="W58" s="138">
        <f t="shared" si="2"/>
        <v>1000</v>
      </c>
    </row>
    <row r="59" spans="1:23" x14ac:dyDescent="0.25">
      <c r="B59" s="29" t="s">
        <v>2255</v>
      </c>
      <c r="C59" s="29" t="s">
        <v>1029</v>
      </c>
      <c r="D59" s="83">
        <v>1830050</v>
      </c>
      <c r="E59" s="84"/>
      <c r="H59" s="83" t="s">
        <v>1554</v>
      </c>
      <c r="I59" s="83">
        <v>24</v>
      </c>
      <c r="K59" s="83"/>
      <c r="M59" s="83">
        <v>1000</v>
      </c>
      <c r="P59" s="83">
        <v>1000</v>
      </c>
      <c r="S59" s="83">
        <v>0</v>
      </c>
      <c r="V59" s="83">
        <v>0</v>
      </c>
      <c r="W59" s="138">
        <f t="shared" si="2"/>
        <v>2000</v>
      </c>
    </row>
    <row r="60" spans="1:23" x14ac:dyDescent="0.25">
      <c r="A60" s="29"/>
      <c r="B60" s="29" t="s">
        <v>1671</v>
      </c>
      <c r="C60" s="29" t="s">
        <v>1670</v>
      </c>
      <c r="D60" s="34">
        <v>1940160</v>
      </c>
      <c r="E60" s="32"/>
      <c r="H60" s="83" t="s">
        <v>1554</v>
      </c>
      <c r="I60" s="83">
        <v>25</v>
      </c>
      <c r="K60" s="83"/>
      <c r="M60" s="83">
        <v>183000</v>
      </c>
      <c r="P60" s="83">
        <v>464000</v>
      </c>
      <c r="S60" s="83">
        <v>631000</v>
      </c>
      <c r="V60" s="83">
        <v>186000</v>
      </c>
      <c r="W60" s="138">
        <f t="shared" si="2"/>
        <v>1464000</v>
      </c>
    </row>
    <row r="61" spans="1:23" x14ac:dyDescent="0.25">
      <c r="A61" s="29"/>
      <c r="B61" s="29" t="s">
        <v>1674</v>
      </c>
      <c r="C61" s="29" t="s">
        <v>1673</v>
      </c>
      <c r="D61" s="34">
        <v>1940301</v>
      </c>
      <c r="E61" s="32"/>
      <c r="H61" s="83" t="s">
        <v>1554</v>
      </c>
      <c r="K61" s="83"/>
      <c r="M61" s="83">
        <v>153000</v>
      </c>
      <c r="P61" s="83">
        <v>292000</v>
      </c>
      <c r="S61" s="83">
        <v>71000</v>
      </c>
      <c r="V61" s="83">
        <v>0</v>
      </c>
      <c r="W61" s="138">
        <f t="shared" si="2"/>
        <v>516000</v>
      </c>
    </row>
    <row r="62" spans="1:23" x14ac:dyDescent="0.25">
      <c r="A62" s="29"/>
      <c r="B62" s="29" t="s">
        <v>1676</v>
      </c>
      <c r="C62" s="29" t="s">
        <v>1673</v>
      </c>
      <c r="D62" s="34">
        <v>1940301</v>
      </c>
      <c r="E62" s="32"/>
      <c r="G62" s="83" t="s">
        <v>1570</v>
      </c>
      <c r="H62" s="83" t="s">
        <v>1554</v>
      </c>
      <c r="K62" s="83"/>
      <c r="M62" s="83">
        <v>167000</v>
      </c>
      <c r="P62" s="83">
        <v>305000</v>
      </c>
      <c r="S62" s="83">
        <v>81000</v>
      </c>
      <c r="V62" s="83">
        <v>12000</v>
      </c>
      <c r="W62" s="138">
        <f t="shared" si="2"/>
        <v>565000</v>
      </c>
    </row>
    <row r="63" spans="1:23" x14ac:dyDescent="0.25">
      <c r="B63" s="29" t="s">
        <v>2256</v>
      </c>
      <c r="C63" s="29" t="s">
        <v>2257</v>
      </c>
      <c r="D63" s="34">
        <v>1940301</v>
      </c>
      <c r="E63" s="32"/>
      <c r="H63" s="83" t="s">
        <v>1554</v>
      </c>
      <c r="I63" s="83">
        <v>26</v>
      </c>
      <c r="K63" s="83"/>
      <c r="M63" s="83">
        <v>13000</v>
      </c>
      <c r="P63" s="83">
        <v>15000</v>
      </c>
      <c r="S63" s="83">
        <v>15000</v>
      </c>
      <c r="V63" s="83">
        <v>12000</v>
      </c>
      <c r="W63" s="138">
        <f t="shared" si="2"/>
        <v>55000</v>
      </c>
    </row>
    <row r="64" spans="1:23" x14ac:dyDescent="0.25">
      <c r="A64" s="29"/>
      <c r="B64" s="29" t="s">
        <v>1678</v>
      </c>
      <c r="C64" s="29" t="s">
        <v>1677</v>
      </c>
      <c r="D64" s="34">
        <v>2020022</v>
      </c>
      <c r="E64" s="32"/>
      <c r="H64" s="83" t="s">
        <v>1554</v>
      </c>
      <c r="I64" s="83">
        <v>27</v>
      </c>
      <c r="K64" s="83"/>
      <c r="M64" s="83">
        <v>9000</v>
      </c>
      <c r="P64" s="83">
        <v>7000</v>
      </c>
      <c r="S64" s="83">
        <v>6000</v>
      </c>
      <c r="V64" s="83">
        <v>6000</v>
      </c>
      <c r="W64" s="138">
        <f t="shared" si="2"/>
        <v>28000</v>
      </c>
    </row>
    <row r="65" spans="1:23" x14ac:dyDescent="0.25">
      <c r="A65" s="29"/>
      <c r="B65" s="29" t="s">
        <v>1681</v>
      </c>
      <c r="C65" s="29" t="s">
        <v>1680</v>
      </c>
      <c r="D65" s="34">
        <v>2020027</v>
      </c>
      <c r="E65" s="32"/>
      <c r="H65" s="83" t="s">
        <v>1554</v>
      </c>
      <c r="K65" s="83"/>
      <c r="M65" s="83">
        <v>4000</v>
      </c>
      <c r="P65" s="83">
        <v>36000</v>
      </c>
      <c r="S65" s="83">
        <v>1000</v>
      </c>
      <c r="V65" s="83">
        <v>0</v>
      </c>
      <c r="W65" s="138">
        <f t="shared" si="2"/>
        <v>41000</v>
      </c>
    </row>
    <row r="66" spans="1:23" x14ac:dyDescent="0.25">
      <c r="A66" s="29"/>
      <c r="B66" s="29" t="s">
        <v>1683</v>
      </c>
      <c r="C66" s="29" t="s">
        <v>1680</v>
      </c>
      <c r="D66" s="34">
        <v>2020027</v>
      </c>
      <c r="E66" s="32"/>
      <c r="G66" s="83" t="s">
        <v>1570</v>
      </c>
      <c r="H66" s="83" t="s">
        <v>1554</v>
      </c>
      <c r="K66" s="83"/>
      <c r="M66" s="83">
        <v>7000</v>
      </c>
      <c r="P66" s="83">
        <v>39000</v>
      </c>
      <c r="S66" s="83">
        <v>5000</v>
      </c>
      <c r="V66" s="83">
        <v>4000</v>
      </c>
      <c r="W66" s="138">
        <f t="shared" si="2"/>
        <v>55000</v>
      </c>
    </row>
    <row r="67" spans="1:23" x14ac:dyDescent="0.25">
      <c r="A67" s="29"/>
      <c r="B67" s="29" t="s">
        <v>1686</v>
      </c>
      <c r="C67" s="29" t="s">
        <v>1685</v>
      </c>
      <c r="D67" s="34">
        <v>2020027</v>
      </c>
      <c r="E67" s="32"/>
      <c r="H67" s="83" t="s">
        <v>1554</v>
      </c>
      <c r="K67" s="83"/>
      <c r="M67" s="83">
        <v>7000</v>
      </c>
      <c r="P67" s="83">
        <v>53000</v>
      </c>
      <c r="S67" s="83">
        <v>50000</v>
      </c>
      <c r="V67" s="83">
        <v>20000</v>
      </c>
      <c r="W67" s="138">
        <f t="shared" si="2"/>
        <v>130000</v>
      </c>
    </row>
    <row r="68" spans="1:23" x14ac:dyDescent="0.25">
      <c r="A68" s="29"/>
      <c r="B68" s="29" t="s">
        <v>1688</v>
      </c>
      <c r="C68" s="29" t="s">
        <v>1685</v>
      </c>
      <c r="D68" s="34">
        <v>2020027</v>
      </c>
      <c r="E68" s="32"/>
      <c r="H68" s="83" t="s">
        <v>1554</v>
      </c>
      <c r="K68" s="83"/>
      <c r="M68" s="83">
        <v>4000</v>
      </c>
      <c r="P68" s="83">
        <v>2000</v>
      </c>
      <c r="S68" s="83">
        <v>11000</v>
      </c>
      <c r="V68" s="83">
        <v>28000</v>
      </c>
      <c r="W68" s="138">
        <f t="shared" si="2"/>
        <v>45000</v>
      </c>
    </row>
    <row r="69" spans="1:23" x14ac:dyDescent="0.25">
      <c r="A69" s="29"/>
      <c r="B69" s="29" t="s">
        <v>1690</v>
      </c>
      <c r="C69" s="29" t="s">
        <v>1685</v>
      </c>
      <c r="D69" s="34">
        <v>2020027</v>
      </c>
      <c r="E69" s="32"/>
      <c r="G69" s="83" t="s">
        <v>1570</v>
      </c>
      <c r="H69" s="83" t="s">
        <v>1554</v>
      </c>
      <c r="I69" s="83">
        <v>28</v>
      </c>
      <c r="K69" s="83"/>
      <c r="M69" s="83">
        <v>37000</v>
      </c>
      <c r="P69" s="83">
        <v>32000</v>
      </c>
      <c r="S69" s="83">
        <v>12000</v>
      </c>
      <c r="V69" s="83">
        <v>0</v>
      </c>
      <c r="W69" s="138">
        <f t="shared" si="2"/>
        <v>81000</v>
      </c>
    </row>
    <row r="70" spans="1:23" x14ac:dyDescent="0.25">
      <c r="A70" s="29"/>
      <c r="B70" s="29" t="s">
        <v>1693</v>
      </c>
      <c r="C70" s="29" t="s">
        <v>1692</v>
      </c>
      <c r="D70" s="34">
        <v>2020034</v>
      </c>
      <c r="E70" s="32"/>
      <c r="H70" s="83" t="s">
        <v>1554</v>
      </c>
      <c r="I70" s="83">
        <v>29</v>
      </c>
      <c r="K70" s="83"/>
      <c r="M70" s="83">
        <v>99000</v>
      </c>
      <c r="P70" s="83">
        <v>118000</v>
      </c>
      <c r="S70" s="83">
        <v>100000</v>
      </c>
      <c r="V70" s="83">
        <v>85000</v>
      </c>
      <c r="W70" s="138">
        <f t="shared" si="2"/>
        <v>402000</v>
      </c>
    </row>
    <row r="71" spans="1:23" x14ac:dyDescent="0.25">
      <c r="A71" s="29"/>
      <c r="B71" s="29" t="s">
        <v>1696</v>
      </c>
      <c r="C71" s="29" t="s">
        <v>1695</v>
      </c>
      <c r="D71" s="34">
        <v>2020040</v>
      </c>
      <c r="E71" s="32"/>
      <c r="H71" s="83" t="s">
        <v>1554</v>
      </c>
      <c r="I71" s="83">
        <v>30</v>
      </c>
      <c r="K71" s="83"/>
      <c r="M71" s="83">
        <v>75000</v>
      </c>
      <c r="P71" s="83">
        <v>110000</v>
      </c>
      <c r="S71" s="83">
        <v>96000</v>
      </c>
      <c r="V71" s="83">
        <v>82000</v>
      </c>
      <c r="W71" s="138">
        <f t="shared" si="2"/>
        <v>363000</v>
      </c>
    </row>
    <row r="72" spans="1:23" x14ac:dyDescent="0.25">
      <c r="A72" s="29"/>
      <c r="B72" s="29" t="s">
        <v>1699</v>
      </c>
      <c r="C72" s="29" t="s">
        <v>1698</v>
      </c>
      <c r="D72" s="34">
        <v>2020044</v>
      </c>
      <c r="E72" s="32"/>
      <c r="H72" s="83" t="s">
        <v>1554</v>
      </c>
      <c r="I72" s="83">
        <v>31</v>
      </c>
      <c r="K72" s="83"/>
      <c r="M72" s="83">
        <v>149000</v>
      </c>
      <c r="P72" s="83">
        <v>211000</v>
      </c>
      <c r="S72" s="83">
        <v>219000</v>
      </c>
      <c r="V72" s="83">
        <v>127000</v>
      </c>
      <c r="W72" s="138">
        <f t="shared" si="2"/>
        <v>706000</v>
      </c>
    </row>
    <row r="73" spans="1:23" x14ac:dyDescent="0.25">
      <c r="B73" s="29" t="s">
        <v>1717</v>
      </c>
      <c r="C73" s="29" t="s">
        <v>1415</v>
      </c>
      <c r="D73" s="34">
        <v>2030055</v>
      </c>
      <c r="H73" s="83" t="s">
        <v>1554</v>
      </c>
      <c r="I73" s="83">
        <v>32</v>
      </c>
      <c r="K73" s="83"/>
      <c r="M73" s="142">
        <v>0</v>
      </c>
      <c r="P73" s="83">
        <v>0</v>
      </c>
      <c r="S73" s="83">
        <v>0</v>
      </c>
      <c r="V73" s="83">
        <v>1091000</v>
      </c>
      <c r="W73" s="138">
        <v>1091000</v>
      </c>
    </row>
    <row r="74" spans="1:23" x14ac:dyDescent="0.25">
      <c r="B74" s="34" t="s">
        <v>2258</v>
      </c>
      <c r="C74" s="29" t="s">
        <v>893</v>
      </c>
      <c r="D74" s="34">
        <v>2030060</v>
      </c>
      <c r="H74" s="83" t="s">
        <v>1554</v>
      </c>
      <c r="I74" s="83">
        <v>33</v>
      </c>
      <c r="K74" s="83"/>
      <c r="M74" s="142">
        <v>1000</v>
      </c>
      <c r="P74" s="83">
        <v>1000</v>
      </c>
      <c r="S74" s="83">
        <v>1000</v>
      </c>
      <c r="V74" s="83">
        <v>1000</v>
      </c>
      <c r="W74" s="138">
        <f>SUM(M74+P74+S74+V74)</f>
        <v>4000</v>
      </c>
    </row>
    <row r="75" spans="1:23" x14ac:dyDescent="0.25">
      <c r="A75" s="29"/>
      <c r="B75" s="29" t="s">
        <v>1702</v>
      </c>
      <c r="C75" s="29" t="s">
        <v>1701</v>
      </c>
      <c r="D75" s="34">
        <v>2030080</v>
      </c>
      <c r="H75" s="83" t="s">
        <v>1554</v>
      </c>
      <c r="I75" s="83">
        <v>34</v>
      </c>
      <c r="K75" s="83"/>
      <c r="M75" s="142">
        <v>0</v>
      </c>
      <c r="P75" s="83">
        <v>0</v>
      </c>
      <c r="S75" s="83">
        <v>0</v>
      </c>
      <c r="V75" s="83">
        <v>781000</v>
      </c>
      <c r="W75" s="83">
        <v>781</v>
      </c>
    </row>
    <row r="76" spans="1:23" x14ac:dyDescent="0.25">
      <c r="A76" s="29"/>
      <c r="B76" s="29" t="s">
        <v>1705</v>
      </c>
      <c r="C76" s="29" t="s">
        <v>1704</v>
      </c>
      <c r="D76" s="34">
        <v>2030105</v>
      </c>
      <c r="H76" s="83" t="s">
        <v>1554</v>
      </c>
      <c r="I76" s="83">
        <v>35</v>
      </c>
      <c r="K76" s="83"/>
      <c r="M76" s="142">
        <v>0</v>
      </c>
      <c r="P76" s="83">
        <v>0</v>
      </c>
      <c r="S76" s="83">
        <v>0</v>
      </c>
      <c r="V76" s="83">
        <v>161000</v>
      </c>
      <c r="W76" s="83">
        <v>161</v>
      </c>
    </row>
    <row r="77" spans="1:23" x14ac:dyDescent="0.25">
      <c r="A77" s="29"/>
      <c r="B77" s="29" t="s">
        <v>1708</v>
      </c>
      <c r="C77" s="29" t="s">
        <v>1707</v>
      </c>
      <c r="D77" s="34">
        <v>2030120</v>
      </c>
      <c r="H77" s="83" t="s">
        <v>1554</v>
      </c>
      <c r="I77" s="83">
        <v>36</v>
      </c>
      <c r="K77" s="83"/>
      <c r="M77" s="83">
        <v>0</v>
      </c>
      <c r="P77" s="83">
        <v>0</v>
      </c>
      <c r="S77" s="83">
        <v>0</v>
      </c>
      <c r="V77" s="83">
        <v>2888000</v>
      </c>
      <c r="W77" s="83">
        <v>2888</v>
      </c>
    </row>
    <row r="78" spans="1:23" x14ac:dyDescent="0.25">
      <c r="B78" s="29" t="s">
        <v>1715</v>
      </c>
      <c r="C78" s="29" t="s">
        <v>1714</v>
      </c>
      <c r="D78" s="34">
        <v>2030135</v>
      </c>
      <c r="H78" s="83" t="s">
        <v>1554</v>
      </c>
      <c r="I78" s="83">
        <v>37</v>
      </c>
      <c r="K78" s="83"/>
      <c r="M78" s="83">
        <v>16000</v>
      </c>
      <c r="P78" s="83">
        <v>4000</v>
      </c>
      <c r="S78" s="83">
        <v>16000</v>
      </c>
      <c r="V78" s="83">
        <v>10000</v>
      </c>
      <c r="W78" s="138">
        <f t="shared" ref="W78:W93" si="3">SUM(M78+P78+S78+V78)</f>
        <v>46000</v>
      </c>
    </row>
    <row r="79" spans="1:23" x14ac:dyDescent="0.25">
      <c r="B79" s="29" t="s">
        <v>1722</v>
      </c>
      <c r="C79" s="29" t="s">
        <v>1721</v>
      </c>
      <c r="D79" s="34">
        <v>2140001</v>
      </c>
      <c r="H79" s="83" t="s">
        <v>1554</v>
      </c>
      <c r="K79" s="83"/>
      <c r="M79" s="83">
        <v>368000</v>
      </c>
      <c r="P79" s="83">
        <v>373000</v>
      </c>
      <c r="S79" s="83">
        <v>273000</v>
      </c>
      <c r="V79" s="83">
        <v>193000</v>
      </c>
      <c r="W79" s="138">
        <f t="shared" si="3"/>
        <v>1207000</v>
      </c>
    </row>
    <row r="80" spans="1:23" x14ac:dyDescent="0.25">
      <c r="B80" s="29" t="s">
        <v>1724</v>
      </c>
      <c r="C80" s="29" t="s">
        <v>1723</v>
      </c>
      <c r="D80" s="34">
        <v>2140001</v>
      </c>
      <c r="H80" s="83" t="s">
        <v>1554</v>
      </c>
      <c r="K80" s="83"/>
      <c r="M80" s="83">
        <v>3000</v>
      </c>
      <c r="P80" s="83">
        <v>3000</v>
      </c>
      <c r="S80" s="83">
        <v>3000</v>
      </c>
      <c r="V80" s="83">
        <v>3000</v>
      </c>
      <c r="W80" s="138">
        <f t="shared" si="3"/>
        <v>12000</v>
      </c>
    </row>
    <row r="81" spans="1:23" x14ac:dyDescent="0.25">
      <c r="B81" s="29" t="s">
        <v>1727</v>
      </c>
      <c r="C81" s="29" t="s">
        <v>1726</v>
      </c>
      <c r="D81" s="34">
        <v>2140001</v>
      </c>
      <c r="H81" s="83" t="s">
        <v>1554</v>
      </c>
      <c r="K81" s="83"/>
      <c r="M81" s="83">
        <v>0</v>
      </c>
      <c r="P81" s="83">
        <v>1000</v>
      </c>
      <c r="S81" s="83">
        <v>0</v>
      </c>
      <c r="V81" s="83">
        <v>1000</v>
      </c>
      <c r="W81" s="138">
        <f t="shared" si="3"/>
        <v>2000</v>
      </c>
    </row>
    <row r="82" spans="1:23" x14ac:dyDescent="0.25">
      <c r="B82" s="29" t="s">
        <v>1727</v>
      </c>
      <c r="C82" s="29" t="s">
        <v>1729</v>
      </c>
      <c r="D82" s="34">
        <v>2140001</v>
      </c>
      <c r="H82" s="83" t="s">
        <v>1554</v>
      </c>
      <c r="K82" s="83"/>
      <c r="M82" s="83">
        <v>2000</v>
      </c>
      <c r="P82" s="83">
        <v>3000</v>
      </c>
      <c r="S82" s="83">
        <v>2000</v>
      </c>
      <c r="V82" s="83">
        <v>1000</v>
      </c>
      <c r="W82" s="138">
        <f t="shared" si="3"/>
        <v>8000</v>
      </c>
    </row>
    <row r="83" spans="1:23" x14ac:dyDescent="0.25">
      <c r="B83" s="29" t="s">
        <v>1727</v>
      </c>
      <c r="C83" s="29" t="s">
        <v>1731</v>
      </c>
      <c r="D83" s="34">
        <v>2140001</v>
      </c>
      <c r="H83" s="83" t="s">
        <v>1554</v>
      </c>
      <c r="K83" s="83"/>
      <c r="M83" s="83">
        <v>10000</v>
      </c>
      <c r="P83" s="83">
        <v>13000</v>
      </c>
      <c r="S83" s="83">
        <v>13000</v>
      </c>
      <c r="V83" s="83">
        <v>5000</v>
      </c>
      <c r="W83" s="138">
        <f t="shared" si="3"/>
        <v>41000</v>
      </c>
    </row>
    <row r="84" spans="1:23" x14ac:dyDescent="0.25">
      <c r="B84" s="29" t="s">
        <v>1727</v>
      </c>
      <c r="C84" s="29" t="s">
        <v>1733</v>
      </c>
      <c r="D84" s="34">
        <v>2140001</v>
      </c>
      <c r="H84" s="83" t="s">
        <v>1554</v>
      </c>
      <c r="K84" s="83"/>
      <c r="M84" s="83">
        <v>2000</v>
      </c>
      <c r="P84" s="83">
        <v>1000</v>
      </c>
      <c r="S84" s="83">
        <v>2000</v>
      </c>
      <c r="V84" s="83">
        <v>2000</v>
      </c>
      <c r="W84" s="138">
        <f t="shared" si="3"/>
        <v>7000</v>
      </c>
    </row>
    <row r="85" spans="1:23" x14ac:dyDescent="0.25">
      <c r="B85" s="29" t="s">
        <v>1727</v>
      </c>
      <c r="C85" s="29" t="s">
        <v>1735</v>
      </c>
      <c r="D85" s="34">
        <v>2140001</v>
      </c>
      <c r="H85" s="83" t="s">
        <v>1554</v>
      </c>
      <c r="I85" s="83">
        <v>38</v>
      </c>
      <c r="K85" s="83"/>
      <c r="M85" s="83">
        <v>0</v>
      </c>
      <c r="P85" s="83">
        <v>0</v>
      </c>
      <c r="S85" s="83">
        <v>0</v>
      </c>
      <c r="V85" s="83">
        <v>1000</v>
      </c>
      <c r="W85" s="138">
        <f t="shared" si="3"/>
        <v>1000</v>
      </c>
    </row>
    <row r="86" spans="1:23" x14ac:dyDescent="0.25">
      <c r="B86" s="29" t="s">
        <v>1727</v>
      </c>
      <c r="C86" s="29" t="s">
        <v>1737</v>
      </c>
      <c r="D86" s="34">
        <v>2140033</v>
      </c>
      <c r="H86" s="83" t="s">
        <v>1554</v>
      </c>
      <c r="K86" s="83"/>
      <c r="M86" s="83">
        <v>2000</v>
      </c>
      <c r="P86" s="83">
        <v>1000</v>
      </c>
      <c r="S86" s="83">
        <v>0</v>
      </c>
      <c r="V86" s="83">
        <v>1000</v>
      </c>
      <c r="W86" s="138">
        <f t="shared" si="3"/>
        <v>4000</v>
      </c>
    </row>
    <row r="87" spans="1:23" x14ac:dyDescent="0.25">
      <c r="B87" s="29" t="s">
        <v>1727</v>
      </c>
      <c r="C87" s="29" t="s">
        <v>1739</v>
      </c>
      <c r="D87" s="34">
        <v>2140033</v>
      </c>
      <c r="H87" s="83" t="s">
        <v>1554</v>
      </c>
      <c r="K87" s="83"/>
      <c r="M87" s="83">
        <v>22000</v>
      </c>
      <c r="P87" s="83">
        <v>13000</v>
      </c>
      <c r="S87" s="83">
        <v>5000</v>
      </c>
      <c r="V87" s="83">
        <v>5000</v>
      </c>
      <c r="W87" s="138">
        <f t="shared" si="3"/>
        <v>45000</v>
      </c>
    </row>
    <row r="88" spans="1:23" x14ac:dyDescent="0.25">
      <c r="B88" s="29" t="s">
        <v>1727</v>
      </c>
      <c r="C88" s="29" t="s">
        <v>1741</v>
      </c>
      <c r="D88" s="34">
        <v>2140033</v>
      </c>
      <c r="H88" s="83" t="s">
        <v>1554</v>
      </c>
      <c r="K88" s="83"/>
      <c r="M88" s="83">
        <v>11000</v>
      </c>
      <c r="P88" s="83">
        <v>15000</v>
      </c>
      <c r="S88" s="83">
        <v>12000</v>
      </c>
      <c r="V88" s="83">
        <v>12000</v>
      </c>
      <c r="W88" s="138">
        <f t="shared" si="3"/>
        <v>50000</v>
      </c>
    </row>
    <row r="89" spans="1:23" x14ac:dyDescent="0.25">
      <c r="B89" s="29" t="s">
        <v>1727</v>
      </c>
      <c r="C89" s="29" t="s">
        <v>1743</v>
      </c>
      <c r="D89" s="34">
        <v>2140033</v>
      </c>
      <c r="H89" s="83" t="s">
        <v>1554</v>
      </c>
      <c r="K89" s="83"/>
      <c r="M89" s="83">
        <v>85000</v>
      </c>
      <c r="P89" s="83">
        <v>36000</v>
      </c>
      <c r="S89" s="83">
        <v>28000</v>
      </c>
      <c r="V89" s="83">
        <v>26000</v>
      </c>
      <c r="W89" s="138">
        <f t="shared" si="3"/>
        <v>175000</v>
      </c>
    </row>
    <row r="90" spans="1:23" x14ac:dyDescent="0.25">
      <c r="B90" s="29" t="s">
        <v>1727</v>
      </c>
      <c r="C90" s="29" t="s">
        <v>1745</v>
      </c>
      <c r="D90" s="34">
        <v>2140033</v>
      </c>
      <c r="H90" s="83" t="s">
        <v>1554</v>
      </c>
      <c r="K90" s="83"/>
      <c r="M90" s="83">
        <v>21000</v>
      </c>
      <c r="P90" s="83">
        <v>33000</v>
      </c>
      <c r="S90" s="83">
        <v>20000</v>
      </c>
      <c r="V90" s="83">
        <v>11000</v>
      </c>
      <c r="W90" s="138">
        <f t="shared" si="3"/>
        <v>85000</v>
      </c>
    </row>
    <row r="91" spans="1:23" x14ac:dyDescent="0.25">
      <c r="B91" s="29" t="s">
        <v>1727</v>
      </c>
      <c r="C91" s="29" t="s">
        <v>1747</v>
      </c>
      <c r="D91" s="34">
        <v>2140033</v>
      </c>
      <c r="H91" s="83" t="s">
        <v>1554</v>
      </c>
      <c r="K91" s="83"/>
      <c r="M91" s="83">
        <v>483000</v>
      </c>
      <c r="P91" s="83">
        <v>0</v>
      </c>
      <c r="S91" s="83">
        <v>87000</v>
      </c>
      <c r="V91" s="83">
        <v>86000</v>
      </c>
      <c r="W91" s="138">
        <f t="shared" si="3"/>
        <v>656000</v>
      </c>
    </row>
    <row r="92" spans="1:23" x14ac:dyDescent="0.25">
      <c r="B92" s="29" t="s">
        <v>1727</v>
      </c>
      <c r="C92" s="29" t="s">
        <v>1749</v>
      </c>
      <c r="D92" s="34">
        <v>2140033</v>
      </c>
      <c r="H92" s="83" t="s">
        <v>1554</v>
      </c>
      <c r="K92" s="83"/>
      <c r="M92" s="83">
        <v>22000</v>
      </c>
      <c r="P92" s="83">
        <v>32000</v>
      </c>
      <c r="S92" s="83">
        <v>35000</v>
      </c>
      <c r="V92" s="83">
        <v>41000</v>
      </c>
      <c r="W92" s="138">
        <f t="shared" si="3"/>
        <v>130000</v>
      </c>
    </row>
    <row r="93" spans="1:23" x14ac:dyDescent="0.25">
      <c r="B93" s="29" t="s">
        <v>1727</v>
      </c>
      <c r="C93" s="29" t="s">
        <v>1751</v>
      </c>
      <c r="D93" s="34">
        <v>2140033</v>
      </c>
      <c r="H93" s="83" t="s">
        <v>1554</v>
      </c>
      <c r="I93" s="83">
        <v>39</v>
      </c>
      <c r="K93" s="83"/>
      <c r="M93" s="83">
        <v>6000</v>
      </c>
      <c r="P93" s="83">
        <v>5000</v>
      </c>
      <c r="S93" s="83">
        <v>7000</v>
      </c>
      <c r="V93" s="83">
        <v>6000</v>
      </c>
      <c r="W93" s="138">
        <f t="shared" si="3"/>
        <v>24000</v>
      </c>
    </row>
    <row r="94" spans="1:23" x14ac:dyDescent="0.25">
      <c r="B94" s="29" t="s">
        <v>1754</v>
      </c>
      <c r="C94" s="83" t="s">
        <v>254</v>
      </c>
      <c r="D94" s="34">
        <v>2140051</v>
      </c>
      <c r="H94" s="83" t="s">
        <v>1554</v>
      </c>
      <c r="I94" s="83">
        <v>40</v>
      </c>
      <c r="K94" s="83"/>
      <c r="M94" s="142">
        <v>0</v>
      </c>
      <c r="P94" s="83">
        <v>0</v>
      </c>
      <c r="S94" s="83">
        <v>0</v>
      </c>
      <c r="V94" s="83">
        <v>667000</v>
      </c>
      <c r="W94" s="83">
        <v>667000</v>
      </c>
    </row>
    <row r="95" spans="1:23" x14ac:dyDescent="0.25">
      <c r="A95" s="29"/>
      <c r="B95" s="29" t="s">
        <v>1759</v>
      </c>
      <c r="C95" s="29" t="s">
        <v>1758</v>
      </c>
      <c r="D95" s="34">
        <v>2140085</v>
      </c>
      <c r="H95" s="83" t="s">
        <v>1554</v>
      </c>
      <c r="I95" s="83">
        <v>41</v>
      </c>
      <c r="K95" s="83"/>
      <c r="M95" s="83">
        <v>75000</v>
      </c>
      <c r="P95" s="83">
        <v>98000</v>
      </c>
      <c r="S95" s="83">
        <v>84000</v>
      </c>
      <c r="V95" s="83">
        <v>65000</v>
      </c>
      <c r="W95" s="138">
        <f t="shared" ref="W95:W107" si="4">SUM(M95+P95+S95+V95)</f>
        <v>322000</v>
      </c>
    </row>
    <row r="96" spans="1:23" x14ac:dyDescent="0.25">
      <c r="A96" s="29"/>
      <c r="B96" s="148" t="s">
        <v>2259</v>
      </c>
      <c r="C96" s="29" t="s">
        <v>1761</v>
      </c>
      <c r="D96" s="34">
        <v>2140010</v>
      </c>
      <c r="H96" s="83" t="s">
        <v>1554</v>
      </c>
      <c r="I96" s="83">
        <v>42</v>
      </c>
      <c r="K96" s="83"/>
      <c r="M96" s="83">
        <v>7000</v>
      </c>
      <c r="P96" s="83">
        <v>9000</v>
      </c>
      <c r="S96" s="83">
        <v>2000</v>
      </c>
      <c r="V96" s="83">
        <v>10000</v>
      </c>
      <c r="W96" s="138">
        <f t="shared" si="4"/>
        <v>28000</v>
      </c>
    </row>
    <row r="97" spans="1:23" x14ac:dyDescent="0.25">
      <c r="A97" s="29"/>
      <c r="B97" s="29" t="s">
        <v>1762</v>
      </c>
      <c r="C97" s="29" t="s">
        <v>1764</v>
      </c>
      <c r="D97" s="34">
        <v>2140020</v>
      </c>
      <c r="H97" s="83" t="s">
        <v>1554</v>
      </c>
      <c r="I97" s="83">
        <v>43</v>
      </c>
      <c r="K97" s="83"/>
      <c r="M97" s="83">
        <v>10000</v>
      </c>
      <c r="P97" s="83">
        <v>26000</v>
      </c>
      <c r="S97" s="83">
        <v>18000</v>
      </c>
      <c r="V97" s="83">
        <v>4000</v>
      </c>
      <c r="W97" s="138">
        <f t="shared" si="4"/>
        <v>58000</v>
      </c>
    </row>
    <row r="98" spans="1:23" x14ac:dyDescent="0.25">
      <c r="A98" s="29"/>
      <c r="B98" s="29" t="s">
        <v>1765</v>
      </c>
      <c r="C98" s="29" t="s">
        <v>1767</v>
      </c>
      <c r="D98" s="34">
        <v>2140022</v>
      </c>
      <c r="H98" s="83" t="s">
        <v>1554</v>
      </c>
      <c r="I98" s="83">
        <v>44</v>
      </c>
      <c r="K98" s="83"/>
      <c r="M98" s="83">
        <v>8000</v>
      </c>
      <c r="P98" s="83">
        <v>26000</v>
      </c>
      <c r="S98" s="83">
        <v>2000</v>
      </c>
      <c r="V98" s="83">
        <v>2000</v>
      </c>
      <c r="W98" s="138">
        <f t="shared" si="4"/>
        <v>38000</v>
      </c>
    </row>
    <row r="99" spans="1:23" x14ac:dyDescent="0.25">
      <c r="A99" s="29"/>
      <c r="B99" s="29" t="s">
        <v>1768</v>
      </c>
      <c r="C99" s="29" t="s">
        <v>1770</v>
      </c>
      <c r="D99" s="34">
        <v>2140024</v>
      </c>
      <c r="H99" s="83" t="s">
        <v>1554</v>
      </c>
      <c r="I99" s="83">
        <v>45</v>
      </c>
      <c r="K99" s="83"/>
      <c r="M99" s="83">
        <v>2000</v>
      </c>
      <c r="P99" s="83">
        <v>38000</v>
      </c>
      <c r="S99" s="83">
        <v>12000</v>
      </c>
      <c r="V99" s="83">
        <v>0</v>
      </c>
      <c r="W99" s="138">
        <f t="shared" si="4"/>
        <v>52000</v>
      </c>
    </row>
    <row r="100" spans="1:23" x14ac:dyDescent="0.25">
      <c r="A100" s="29"/>
      <c r="B100" s="29" t="s">
        <v>1771</v>
      </c>
      <c r="C100" s="29" t="s">
        <v>1773</v>
      </c>
      <c r="D100" s="34">
        <v>2140028</v>
      </c>
      <c r="H100" s="83" t="s">
        <v>1554</v>
      </c>
      <c r="K100" s="83"/>
      <c r="M100" s="83">
        <v>0</v>
      </c>
      <c r="P100" s="83">
        <v>0</v>
      </c>
      <c r="S100" s="83">
        <v>1000</v>
      </c>
      <c r="V100" s="83">
        <v>3000</v>
      </c>
      <c r="W100" s="138">
        <f t="shared" si="4"/>
        <v>4000</v>
      </c>
    </row>
    <row r="101" spans="1:23" x14ac:dyDescent="0.25">
      <c r="A101" s="29"/>
      <c r="B101" s="29" t="s">
        <v>1774</v>
      </c>
      <c r="C101" s="29" t="s">
        <v>1773</v>
      </c>
      <c r="D101" s="34">
        <v>2140028</v>
      </c>
      <c r="H101" s="83" t="s">
        <v>1554</v>
      </c>
      <c r="I101" s="83">
        <v>46</v>
      </c>
      <c r="K101" s="83"/>
      <c r="M101" s="83">
        <v>2000</v>
      </c>
      <c r="P101" s="83">
        <v>2000</v>
      </c>
      <c r="S101" s="83">
        <v>1000</v>
      </c>
      <c r="V101" s="83">
        <v>0</v>
      </c>
      <c r="W101" s="138">
        <f t="shared" si="4"/>
        <v>5000</v>
      </c>
    </row>
    <row r="102" spans="1:23" x14ac:dyDescent="0.25">
      <c r="A102" s="29"/>
      <c r="B102" s="29" t="s">
        <v>1777</v>
      </c>
      <c r="C102" s="29" t="s">
        <v>1776</v>
      </c>
      <c r="D102" s="34">
        <v>2140030</v>
      </c>
      <c r="H102" s="83" t="s">
        <v>1554</v>
      </c>
      <c r="I102" s="83">
        <v>47</v>
      </c>
      <c r="K102" s="83"/>
      <c r="M102" s="83">
        <v>10000</v>
      </c>
      <c r="P102" s="83">
        <v>50000</v>
      </c>
      <c r="S102" s="83">
        <v>18000</v>
      </c>
      <c r="V102" s="83">
        <v>2000</v>
      </c>
      <c r="W102" s="138">
        <f t="shared" si="4"/>
        <v>80000</v>
      </c>
    </row>
    <row r="103" spans="1:23" x14ac:dyDescent="0.25">
      <c r="A103" s="29"/>
      <c r="B103" s="29" t="s">
        <v>1779</v>
      </c>
      <c r="C103" s="29" t="s">
        <v>1778</v>
      </c>
      <c r="D103" s="34">
        <v>2140032</v>
      </c>
      <c r="H103" s="83" t="s">
        <v>1554</v>
      </c>
      <c r="I103" s="83">
        <v>48</v>
      </c>
      <c r="K103" s="83"/>
      <c r="M103" s="83">
        <v>61000</v>
      </c>
      <c r="P103" s="83">
        <v>96000</v>
      </c>
      <c r="S103" s="83">
        <v>63000</v>
      </c>
      <c r="V103" s="83">
        <v>45000</v>
      </c>
      <c r="W103" s="138">
        <f t="shared" si="4"/>
        <v>265000</v>
      </c>
    </row>
    <row r="104" spans="1:23" x14ac:dyDescent="0.25">
      <c r="A104" s="29"/>
      <c r="B104" s="29" t="s">
        <v>1784</v>
      </c>
      <c r="C104" s="29" t="s">
        <v>1783</v>
      </c>
      <c r="D104" s="34">
        <v>2140034</v>
      </c>
      <c r="H104" s="83" t="s">
        <v>1554</v>
      </c>
      <c r="I104" s="83">
        <v>49</v>
      </c>
      <c r="K104" s="83"/>
      <c r="M104" s="83">
        <v>11000</v>
      </c>
      <c r="P104" s="83">
        <v>42000</v>
      </c>
      <c r="S104" s="83">
        <v>9000</v>
      </c>
      <c r="V104" s="83">
        <v>7000</v>
      </c>
      <c r="W104" s="138">
        <f t="shared" si="4"/>
        <v>69000</v>
      </c>
    </row>
    <row r="105" spans="1:23" x14ac:dyDescent="0.25">
      <c r="A105" s="29"/>
      <c r="B105" s="24" t="s">
        <v>217</v>
      </c>
      <c r="C105" s="29" t="s">
        <v>1786</v>
      </c>
      <c r="D105" s="34">
        <v>2140036</v>
      </c>
      <c r="H105" s="83" t="s">
        <v>1554</v>
      </c>
      <c r="I105" s="83">
        <v>50</v>
      </c>
      <c r="K105" s="83"/>
      <c r="M105" s="83">
        <v>15000</v>
      </c>
      <c r="P105" s="83">
        <v>69000</v>
      </c>
      <c r="S105" s="83">
        <v>40000</v>
      </c>
      <c r="V105" s="83">
        <v>15000</v>
      </c>
      <c r="W105" s="138">
        <f t="shared" si="4"/>
        <v>139000</v>
      </c>
    </row>
    <row r="106" spans="1:23" x14ac:dyDescent="0.25">
      <c r="A106" s="29"/>
      <c r="B106" s="29" t="s">
        <v>1789</v>
      </c>
      <c r="C106" s="29" t="s">
        <v>1788</v>
      </c>
      <c r="D106" s="34">
        <v>2140056</v>
      </c>
      <c r="H106" s="83" t="s">
        <v>1554</v>
      </c>
      <c r="K106" s="83"/>
      <c r="M106" s="83">
        <v>44000</v>
      </c>
      <c r="P106" s="83">
        <v>48000</v>
      </c>
      <c r="S106" s="83">
        <v>38000</v>
      </c>
      <c r="V106" s="83">
        <v>30000</v>
      </c>
      <c r="W106" s="138">
        <f t="shared" si="4"/>
        <v>160000</v>
      </c>
    </row>
    <row r="107" spans="1:23" x14ac:dyDescent="0.25">
      <c r="A107" s="29"/>
      <c r="B107" s="29" t="s">
        <v>1789</v>
      </c>
      <c r="C107" s="29" t="s">
        <v>1791</v>
      </c>
      <c r="D107" s="34">
        <v>2140056</v>
      </c>
      <c r="H107" s="83" t="s">
        <v>1554</v>
      </c>
      <c r="K107" s="83"/>
      <c r="M107" s="83">
        <v>3000</v>
      </c>
      <c r="P107" s="83">
        <v>1000</v>
      </c>
      <c r="S107" s="83">
        <v>0</v>
      </c>
      <c r="V107" s="83">
        <v>1000</v>
      </c>
      <c r="W107" s="138">
        <f t="shared" si="4"/>
        <v>5000</v>
      </c>
    </row>
    <row r="108" spans="1:23" x14ac:dyDescent="0.25">
      <c r="B108" s="29" t="s">
        <v>1794</v>
      </c>
      <c r="C108" s="83" t="s">
        <v>256</v>
      </c>
      <c r="D108" s="34">
        <v>2140056</v>
      </c>
      <c r="H108" s="83" t="s">
        <v>1554</v>
      </c>
      <c r="K108" s="83"/>
      <c r="M108" s="142">
        <v>0</v>
      </c>
      <c r="P108" s="83">
        <v>0</v>
      </c>
      <c r="S108" s="83">
        <v>0</v>
      </c>
      <c r="V108" s="83">
        <v>1387000</v>
      </c>
      <c r="W108" s="83">
        <v>1387000</v>
      </c>
    </row>
    <row r="109" spans="1:23" x14ac:dyDescent="0.25">
      <c r="A109" s="29"/>
      <c r="B109" s="29" t="s">
        <v>1799</v>
      </c>
      <c r="C109" s="29" t="s">
        <v>2252</v>
      </c>
      <c r="D109" s="34">
        <v>2140056</v>
      </c>
      <c r="H109" s="83" t="s">
        <v>1554</v>
      </c>
      <c r="I109" s="83">
        <v>51</v>
      </c>
      <c r="K109" s="83"/>
      <c r="M109" s="142">
        <v>0</v>
      </c>
      <c r="P109" s="83">
        <v>0</v>
      </c>
      <c r="S109" s="83">
        <v>0</v>
      </c>
      <c r="V109" s="83">
        <v>906000</v>
      </c>
      <c r="W109" s="83">
        <v>906000</v>
      </c>
    </row>
    <row r="110" spans="1:23" x14ac:dyDescent="0.25">
      <c r="A110" s="29"/>
      <c r="B110" s="29" t="s">
        <v>1802</v>
      </c>
      <c r="C110" s="29" t="s">
        <v>1801</v>
      </c>
      <c r="D110" s="34">
        <v>2140080</v>
      </c>
      <c r="H110" s="83" t="s">
        <v>1554</v>
      </c>
      <c r="I110" s="83">
        <v>52</v>
      </c>
      <c r="K110" s="83"/>
      <c r="M110" s="83">
        <v>25000</v>
      </c>
      <c r="P110" s="83">
        <v>78000</v>
      </c>
      <c r="S110" s="83">
        <v>71000</v>
      </c>
      <c r="V110" s="83">
        <v>75000</v>
      </c>
      <c r="W110" s="138">
        <f>SUM(M110+P110+S110+V110)</f>
        <v>249000</v>
      </c>
    </row>
    <row r="111" spans="1:23" x14ac:dyDescent="0.25">
      <c r="A111" s="29"/>
      <c r="B111" s="29" t="s">
        <v>1805</v>
      </c>
      <c r="C111" s="29" t="s">
        <v>1804</v>
      </c>
      <c r="D111" s="34">
        <v>2200015</v>
      </c>
      <c r="H111" s="83" t="s">
        <v>1554</v>
      </c>
      <c r="I111" s="83">
        <v>53</v>
      </c>
      <c r="K111" s="83"/>
      <c r="M111" s="83">
        <v>20000</v>
      </c>
      <c r="P111" s="83">
        <v>26000</v>
      </c>
      <c r="S111" s="83">
        <v>20000</v>
      </c>
      <c r="V111" s="83">
        <v>20000</v>
      </c>
      <c r="W111" s="138">
        <f>SUM(M111+P111+S111+V111)</f>
        <v>86000</v>
      </c>
    </row>
    <row r="112" spans="1:23" x14ac:dyDescent="0.25">
      <c r="A112" s="29"/>
      <c r="B112" s="29" t="s">
        <v>1565</v>
      </c>
      <c r="C112" s="29" t="s">
        <v>2051</v>
      </c>
      <c r="D112" s="34">
        <v>2210016</v>
      </c>
      <c r="H112" s="83" t="s">
        <v>1554</v>
      </c>
      <c r="K112" s="83"/>
      <c r="M112" s="83">
        <v>1000</v>
      </c>
      <c r="P112" s="83">
        <v>14000</v>
      </c>
      <c r="S112" s="83">
        <v>27000</v>
      </c>
      <c r="V112" s="83">
        <v>27000</v>
      </c>
      <c r="W112" s="138">
        <f>SUM(M112+P112+S112+V112)</f>
        <v>69000</v>
      </c>
    </row>
    <row r="113" spans="1:23" x14ac:dyDescent="0.25">
      <c r="B113" s="29" t="s">
        <v>1565</v>
      </c>
      <c r="C113" s="83" t="s">
        <v>1037</v>
      </c>
      <c r="D113" s="34">
        <v>2210016</v>
      </c>
      <c r="H113" s="83" t="s">
        <v>1554</v>
      </c>
      <c r="K113" s="83"/>
      <c r="M113" s="83">
        <v>0</v>
      </c>
      <c r="P113" s="83">
        <v>2000</v>
      </c>
      <c r="S113" s="83">
        <v>2000</v>
      </c>
      <c r="V113" s="83">
        <v>1000</v>
      </c>
      <c r="W113" s="138">
        <f>SUM(M113+P113+S113+V113)</f>
        <v>5000</v>
      </c>
    </row>
    <row r="114" spans="1:23" x14ac:dyDescent="0.25">
      <c r="B114" s="29" t="s">
        <v>1565</v>
      </c>
      <c r="C114" s="83" t="s">
        <v>2253</v>
      </c>
      <c r="D114" s="34">
        <v>2210016</v>
      </c>
      <c r="H114" s="83" t="s">
        <v>1554</v>
      </c>
      <c r="I114" s="83">
        <v>54</v>
      </c>
      <c r="K114" s="83"/>
      <c r="M114" s="142">
        <v>0</v>
      </c>
      <c r="P114" s="83">
        <v>0</v>
      </c>
      <c r="S114" s="83">
        <v>0</v>
      </c>
      <c r="V114" s="83">
        <v>53000</v>
      </c>
      <c r="W114" s="83">
        <v>53000</v>
      </c>
    </row>
    <row r="115" spans="1:23" x14ac:dyDescent="0.25">
      <c r="B115" s="29" t="s">
        <v>1807</v>
      </c>
      <c r="C115" s="83" t="s">
        <v>1528</v>
      </c>
      <c r="D115" s="34">
        <v>2280080</v>
      </c>
      <c r="H115" s="83" t="s">
        <v>1554</v>
      </c>
      <c r="I115" s="83">
        <v>55</v>
      </c>
      <c r="K115" s="83"/>
      <c r="M115" s="142">
        <v>0</v>
      </c>
      <c r="P115" s="83">
        <v>0</v>
      </c>
      <c r="S115" s="83">
        <v>0</v>
      </c>
      <c r="V115" s="83">
        <v>115000</v>
      </c>
      <c r="W115" s="83">
        <v>115000</v>
      </c>
    </row>
    <row r="116" spans="1:23" x14ac:dyDescent="0.25">
      <c r="A116" s="29"/>
      <c r="B116" s="29" t="s">
        <v>1810</v>
      </c>
      <c r="C116" s="29" t="s">
        <v>1809</v>
      </c>
      <c r="D116" s="34">
        <v>2280100</v>
      </c>
      <c r="H116" s="83" t="s">
        <v>1554</v>
      </c>
      <c r="K116" s="83"/>
      <c r="M116" s="83">
        <v>378000</v>
      </c>
      <c r="P116" s="83">
        <v>521000</v>
      </c>
      <c r="S116" s="83">
        <v>420000</v>
      </c>
      <c r="V116" s="83">
        <v>215000</v>
      </c>
      <c r="W116" s="138">
        <f>SUM(M116+P116+S116+V116)</f>
        <v>1534000</v>
      </c>
    </row>
    <row r="117" spans="1:23" x14ac:dyDescent="0.25">
      <c r="A117" s="29"/>
      <c r="B117" s="29" t="s">
        <v>1810</v>
      </c>
      <c r="C117" s="29" t="s">
        <v>1809</v>
      </c>
      <c r="D117" s="34">
        <v>2280100</v>
      </c>
      <c r="H117" s="83" t="s">
        <v>1554</v>
      </c>
      <c r="I117" s="83">
        <v>56</v>
      </c>
      <c r="K117" s="83"/>
      <c r="M117" s="83">
        <v>376000</v>
      </c>
      <c r="P117" s="83">
        <v>539000</v>
      </c>
      <c r="S117" s="83">
        <v>353000</v>
      </c>
      <c r="V117" s="83">
        <v>179000</v>
      </c>
      <c r="W117" s="138">
        <f>SUM(M117+P117+S117+V117)</f>
        <v>1447000</v>
      </c>
    </row>
    <row r="118" spans="1:23" x14ac:dyDescent="0.25">
      <c r="B118" s="29" t="s">
        <v>1812</v>
      </c>
      <c r="C118" s="83" t="s">
        <v>271</v>
      </c>
      <c r="D118" s="34">
        <v>2280150</v>
      </c>
      <c r="H118" s="83" t="s">
        <v>1554</v>
      </c>
      <c r="I118" s="83">
        <v>57</v>
      </c>
      <c r="K118" s="83"/>
      <c r="M118" s="142">
        <v>0</v>
      </c>
      <c r="P118" s="83">
        <v>0</v>
      </c>
      <c r="S118" s="83">
        <v>0</v>
      </c>
      <c r="V118" s="83">
        <v>223000</v>
      </c>
      <c r="W118" s="83">
        <v>223000</v>
      </c>
    </row>
    <row r="119" spans="1:23" x14ac:dyDescent="0.25">
      <c r="A119" s="29"/>
      <c r="B119" s="29" t="s">
        <v>1815</v>
      </c>
      <c r="C119" s="29" t="s">
        <v>1814</v>
      </c>
      <c r="D119" s="34">
        <v>2280200</v>
      </c>
      <c r="H119" s="83" t="s">
        <v>1554</v>
      </c>
      <c r="I119" s="83">
        <v>58</v>
      </c>
      <c r="K119" s="83"/>
      <c r="M119" s="83">
        <v>14000</v>
      </c>
      <c r="P119" s="83">
        <v>131000</v>
      </c>
      <c r="S119" s="83">
        <v>116000</v>
      </c>
      <c r="V119" s="83">
        <v>17000</v>
      </c>
      <c r="W119" s="138">
        <f>SUM(M119+P119+S119+V119)</f>
        <v>278000</v>
      </c>
    </row>
    <row r="120" spans="1:23" x14ac:dyDescent="0.25">
      <c r="A120" s="29"/>
      <c r="B120" s="24"/>
      <c r="C120" s="29" t="s">
        <v>1817</v>
      </c>
      <c r="D120" s="80">
        <v>2810335</v>
      </c>
      <c r="H120" s="83" t="s">
        <v>1554</v>
      </c>
      <c r="I120" s="83">
        <v>59</v>
      </c>
      <c r="K120" s="83"/>
      <c r="M120" s="85">
        <v>0</v>
      </c>
      <c r="P120" s="85">
        <v>0</v>
      </c>
      <c r="S120" s="85">
        <v>0</v>
      </c>
      <c r="V120" s="85">
        <v>0</v>
      </c>
      <c r="W120" s="138">
        <v>76650</v>
      </c>
    </row>
    <row r="121" spans="1:23" x14ac:dyDescent="0.25">
      <c r="A121" s="29"/>
      <c r="B121" s="29" t="s">
        <v>1820</v>
      </c>
      <c r="C121" s="29" t="s">
        <v>1819</v>
      </c>
      <c r="D121" s="80">
        <v>2810365</v>
      </c>
      <c r="H121" s="83" t="s">
        <v>1554</v>
      </c>
      <c r="I121" s="83">
        <v>60</v>
      </c>
      <c r="K121" s="83"/>
      <c r="M121" s="83">
        <v>2000</v>
      </c>
      <c r="P121" s="83">
        <v>1000</v>
      </c>
      <c r="S121" s="83">
        <v>1000</v>
      </c>
      <c r="V121" s="83">
        <v>2000</v>
      </c>
      <c r="W121" s="138">
        <f>SUM(M121+P121+S121+V121)</f>
        <v>6000</v>
      </c>
    </row>
    <row r="122" spans="1:23" x14ac:dyDescent="0.25">
      <c r="A122" s="29"/>
      <c r="B122" s="29" t="s">
        <v>1823</v>
      </c>
      <c r="C122" s="29" t="s">
        <v>1822</v>
      </c>
      <c r="D122" s="34">
        <v>2840001</v>
      </c>
      <c r="H122" s="83" t="s">
        <v>1554</v>
      </c>
      <c r="K122" s="83"/>
      <c r="M122" s="83">
        <v>17000</v>
      </c>
      <c r="P122" s="83">
        <v>11000</v>
      </c>
      <c r="S122" s="83">
        <v>11000</v>
      </c>
      <c r="V122" s="83">
        <v>11000</v>
      </c>
      <c r="W122" s="138">
        <f>SUM(M122+P122+S122+V122)</f>
        <v>50000</v>
      </c>
    </row>
    <row r="123" spans="1:23" x14ac:dyDescent="0.25">
      <c r="A123" s="29"/>
      <c r="B123" s="29" t="s">
        <v>1823</v>
      </c>
      <c r="C123" s="29" t="s">
        <v>1825</v>
      </c>
      <c r="D123" s="34">
        <v>2840001</v>
      </c>
      <c r="H123" s="83" t="s">
        <v>1554</v>
      </c>
      <c r="I123" s="83">
        <v>61</v>
      </c>
      <c r="K123" s="83"/>
      <c r="M123" s="83">
        <v>1000</v>
      </c>
      <c r="P123" s="83">
        <v>103000</v>
      </c>
      <c r="S123" s="83">
        <v>9000</v>
      </c>
      <c r="V123" s="83">
        <v>0</v>
      </c>
      <c r="W123" s="138">
        <f>SUM(M123+P123+S123+V123)</f>
        <v>113000</v>
      </c>
    </row>
    <row r="124" spans="1:23" x14ac:dyDescent="0.25">
      <c r="A124" s="29"/>
      <c r="B124" s="29" t="s">
        <v>1828</v>
      </c>
      <c r="C124" s="29" t="s">
        <v>1827</v>
      </c>
      <c r="D124" s="34">
        <v>3290027</v>
      </c>
      <c r="H124" s="83" t="s">
        <v>1554</v>
      </c>
      <c r="K124" s="83"/>
      <c r="M124" s="83">
        <v>0</v>
      </c>
      <c r="P124" s="83">
        <v>0</v>
      </c>
      <c r="S124" s="83">
        <v>0</v>
      </c>
      <c r="V124" s="83">
        <v>76650</v>
      </c>
      <c r="W124" s="138">
        <v>76650</v>
      </c>
    </row>
    <row r="125" spans="1:23" x14ac:dyDescent="0.25">
      <c r="A125" s="29"/>
      <c r="B125" s="29" t="s">
        <v>1831</v>
      </c>
      <c r="C125" s="29" t="s">
        <v>1830</v>
      </c>
      <c r="D125" s="34">
        <v>3290027</v>
      </c>
      <c r="H125" s="83" t="s">
        <v>1554</v>
      </c>
      <c r="K125" s="83"/>
      <c r="M125" s="83">
        <v>92000</v>
      </c>
      <c r="P125" s="83">
        <v>225000</v>
      </c>
      <c r="S125" s="83">
        <v>321000</v>
      </c>
      <c r="V125" s="83">
        <v>192000</v>
      </c>
      <c r="W125" s="138">
        <f>SUM(M125+P125+S125+V125)</f>
        <v>830000</v>
      </c>
    </row>
    <row r="126" spans="1:23" x14ac:dyDescent="0.25">
      <c r="B126" s="29" t="s">
        <v>1831</v>
      </c>
      <c r="C126" s="83" t="s">
        <v>293</v>
      </c>
      <c r="D126" s="34">
        <v>3290027</v>
      </c>
      <c r="H126" s="83" t="s">
        <v>1554</v>
      </c>
      <c r="K126" s="83"/>
      <c r="M126" s="142">
        <v>0</v>
      </c>
      <c r="P126" s="83">
        <v>0</v>
      </c>
      <c r="S126" s="83">
        <v>0</v>
      </c>
      <c r="V126" s="83">
        <v>30000</v>
      </c>
      <c r="W126" s="83">
        <v>30000</v>
      </c>
    </row>
    <row r="127" spans="1:23" x14ac:dyDescent="0.25">
      <c r="B127" s="29" t="s">
        <v>1836</v>
      </c>
      <c r="C127" s="83" t="s">
        <v>296</v>
      </c>
      <c r="D127" s="34">
        <v>3290027</v>
      </c>
      <c r="H127" s="83" t="s">
        <v>1554</v>
      </c>
      <c r="I127" s="83">
        <v>62</v>
      </c>
      <c r="K127" s="83"/>
      <c r="M127" s="142">
        <v>0</v>
      </c>
      <c r="P127" s="83">
        <v>0</v>
      </c>
      <c r="S127" s="83">
        <v>0</v>
      </c>
      <c r="V127" s="83">
        <v>10000</v>
      </c>
      <c r="W127" s="83">
        <v>10000</v>
      </c>
    </row>
    <row r="128" spans="1:23" x14ac:dyDescent="0.25">
      <c r="B128" s="29" t="s">
        <v>1838</v>
      </c>
      <c r="C128" s="83" t="s">
        <v>299</v>
      </c>
      <c r="D128" s="34">
        <v>3290065</v>
      </c>
      <c r="H128" s="83" t="s">
        <v>1554</v>
      </c>
      <c r="I128" s="83">
        <v>63</v>
      </c>
      <c r="K128" s="83"/>
      <c r="M128" s="142">
        <v>0</v>
      </c>
      <c r="P128" s="83">
        <v>0</v>
      </c>
      <c r="S128" s="83">
        <v>0</v>
      </c>
      <c r="V128" s="83">
        <v>147000</v>
      </c>
      <c r="W128" s="83">
        <v>147000</v>
      </c>
    </row>
    <row r="129" spans="1:23" x14ac:dyDescent="0.25">
      <c r="A129" s="29"/>
      <c r="B129" s="29" t="s">
        <v>1843</v>
      </c>
      <c r="C129" s="29" t="s">
        <v>1842</v>
      </c>
      <c r="D129" s="34">
        <v>3360151</v>
      </c>
      <c r="H129" s="83" t="s">
        <v>1554</v>
      </c>
      <c r="I129" s="83">
        <v>64</v>
      </c>
      <c r="K129" s="83"/>
      <c r="M129" s="83">
        <v>265000</v>
      </c>
      <c r="P129" s="83">
        <v>136000</v>
      </c>
      <c r="S129" s="83">
        <v>176000</v>
      </c>
      <c r="V129" s="83">
        <v>239000</v>
      </c>
      <c r="W129" s="138">
        <f t="shared" ref="W129:W140" si="5">SUM(M129+P129+S129+V129)</f>
        <v>816000</v>
      </c>
    </row>
    <row r="130" spans="1:23" x14ac:dyDescent="0.25">
      <c r="A130" s="29"/>
      <c r="B130" s="29" t="s">
        <v>1846</v>
      </c>
      <c r="C130" s="29" t="s">
        <v>1845</v>
      </c>
      <c r="D130" s="34">
        <v>3360154</v>
      </c>
      <c r="H130" s="83" t="s">
        <v>1554</v>
      </c>
      <c r="I130" s="83">
        <v>65</v>
      </c>
      <c r="K130" s="83"/>
      <c r="M130" s="83">
        <v>48000</v>
      </c>
      <c r="P130" s="83">
        <v>32000</v>
      </c>
      <c r="S130" s="83">
        <v>32000</v>
      </c>
      <c r="V130" s="83">
        <v>44000</v>
      </c>
      <c r="W130" s="138">
        <f t="shared" si="5"/>
        <v>156000</v>
      </c>
    </row>
    <row r="131" spans="1:23" x14ac:dyDescent="0.25">
      <c r="A131" s="29"/>
      <c r="B131" s="29" t="s">
        <v>1849</v>
      </c>
      <c r="C131" s="29" t="s">
        <v>1848</v>
      </c>
      <c r="D131" s="34">
        <v>3360174</v>
      </c>
      <c r="H131" s="83" t="s">
        <v>1554</v>
      </c>
      <c r="I131" s="83">
        <v>66</v>
      </c>
      <c r="K131" s="83"/>
      <c r="M131" s="83">
        <v>8000</v>
      </c>
      <c r="P131" s="83">
        <v>10000</v>
      </c>
      <c r="S131" s="83">
        <v>11000</v>
      </c>
      <c r="V131" s="83">
        <v>12000</v>
      </c>
      <c r="W131" s="138">
        <f t="shared" si="5"/>
        <v>41000</v>
      </c>
    </row>
    <row r="132" spans="1:23" x14ac:dyDescent="0.25">
      <c r="A132" s="29"/>
      <c r="B132" s="29" t="s">
        <v>1852</v>
      </c>
      <c r="C132" s="29" t="s">
        <v>1851</v>
      </c>
      <c r="D132" s="34">
        <v>3360190</v>
      </c>
      <c r="H132" s="83" t="s">
        <v>1554</v>
      </c>
      <c r="I132" s="83">
        <v>67</v>
      </c>
      <c r="K132" s="83"/>
      <c r="M132" s="83">
        <v>1000</v>
      </c>
      <c r="P132" s="83">
        <v>1000</v>
      </c>
      <c r="S132" s="83">
        <v>2000</v>
      </c>
      <c r="V132" s="83">
        <v>1000</v>
      </c>
      <c r="W132" s="138">
        <f t="shared" si="5"/>
        <v>5000</v>
      </c>
    </row>
    <row r="133" spans="1:23" x14ac:dyDescent="0.25">
      <c r="A133" s="29"/>
      <c r="B133" s="83" t="s">
        <v>1854</v>
      </c>
      <c r="C133" s="29" t="s">
        <v>1853</v>
      </c>
      <c r="D133" s="34">
        <v>3360205</v>
      </c>
      <c r="H133" s="83" t="s">
        <v>1554</v>
      </c>
      <c r="K133" s="83"/>
      <c r="M133" s="83">
        <v>47000</v>
      </c>
      <c r="P133" s="83">
        <v>60000</v>
      </c>
      <c r="S133" s="83">
        <v>49000</v>
      </c>
      <c r="V133" s="83">
        <v>38000</v>
      </c>
      <c r="W133" s="138">
        <f t="shared" si="5"/>
        <v>194000</v>
      </c>
    </row>
    <row r="134" spans="1:23" x14ac:dyDescent="0.25">
      <c r="A134" s="29"/>
      <c r="B134" s="83" t="s">
        <v>1855</v>
      </c>
      <c r="C134" s="29" t="s">
        <v>1853</v>
      </c>
      <c r="D134" s="34">
        <v>3360205</v>
      </c>
      <c r="H134" s="83" t="s">
        <v>1554</v>
      </c>
      <c r="K134" s="83"/>
      <c r="M134" s="83">
        <v>0</v>
      </c>
      <c r="P134" s="83">
        <v>0</v>
      </c>
      <c r="S134" s="83">
        <v>6000</v>
      </c>
      <c r="V134" s="83">
        <v>9000</v>
      </c>
      <c r="W134" s="138">
        <f t="shared" si="5"/>
        <v>15000</v>
      </c>
    </row>
    <row r="135" spans="1:23" x14ac:dyDescent="0.25">
      <c r="A135" s="29"/>
      <c r="B135" s="83" t="s">
        <v>1856</v>
      </c>
      <c r="C135" s="29" t="s">
        <v>1853</v>
      </c>
      <c r="D135" s="34">
        <v>3360205</v>
      </c>
      <c r="H135" s="83" t="s">
        <v>1554</v>
      </c>
      <c r="K135" s="83"/>
      <c r="M135" s="83">
        <v>0</v>
      </c>
      <c r="P135" s="83">
        <v>0</v>
      </c>
      <c r="S135" s="83">
        <v>0</v>
      </c>
      <c r="V135" s="83">
        <v>0</v>
      </c>
      <c r="W135" s="138">
        <f t="shared" si="5"/>
        <v>0</v>
      </c>
    </row>
    <row r="136" spans="1:23" x14ac:dyDescent="0.25">
      <c r="A136" s="29"/>
      <c r="B136" s="83" t="s">
        <v>1856</v>
      </c>
      <c r="C136" s="29" t="s">
        <v>1853</v>
      </c>
      <c r="D136" s="34">
        <v>3360205</v>
      </c>
      <c r="H136" s="83" t="s">
        <v>1554</v>
      </c>
      <c r="I136" s="83">
        <v>68</v>
      </c>
      <c r="K136" s="83"/>
      <c r="M136" s="83">
        <v>3000</v>
      </c>
      <c r="P136" s="83">
        <v>2000</v>
      </c>
      <c r="S136" s="83">
        <v>2000</v>
      </c>
      <c r="V136" s="83">
        <v>2000</v>
      </c>
      <c r="W136" s="138">
        <f t="shared" si="5"/>
        <v>9000</v>
      </c>
    </row>
    <row r="137" spans="1:23" x14ac:dyDescent="0.25">
      <c r="B137" s="29" t="s">
        <v>1860</v>
      </c>
      <c r="C137" s="29" t="s">
        <v>1859</v>
      </c>
      <c r="D137" s="34">
        <v>3360500</v>
      </c>
      <c r="H137" s="83" t="s">
        <v>1554</v>
      </c>
      <c r="K137" s="83"/>
      <c r="M137" s="85">
        <v>1114000</v>
      </c>
      <c r="P137" s="85">
        <v>1371000</v>
      </c>
      <c r="S137" s="85">
        <v>1018000</v>
      </c>
      <c r="V137" s="85">
        <v>766000</v>
      </c>
      <c r="W137" s="138">
        <f t="shared" si="5"/>
        <v>4269000</v>
      </c>
    </row>
    <row r="138" spans="1:23" x14ac:dyDescent="0.25">
      <c r="B138" s="29" t="s">
        <v>1860</v>
      </c>
      <c r="C138" s="29" t="s">
        <v>1859</v>
      </c>
      <c r="D138" s="34">
        <v>3360500</v>
      </c>
      <c r="H138" s="83" t="s">
        <v>1554</v>
      </c>
      <c r="K138" s="83"/>
      <c r="M138" s="85">
        <v>1175000</v>
      </c>
      <c r="P138" s="85">
        <v>1418000</v>
      </c>
      <c r="S138" s="85">
        <v>1240000</v>
      </c>
      <c r="V138" s="85">
        <v>1081000</v>
      </c>
      <c r="W138" s="138">
        <f t="shared" si="5"/>
        <v>4914000</v>
      </c>
    </row>
    <row r="139" spans="1:23" x14ac:dyDescent="0.25">
      <c r="B139" s="29" t="s">
        <v>1860</v>
      </c>
      <c r="C139" s="29" t="s">
        <v>1859</v>
      </c>
      <c r="D139" s="34">
        <v>3360500</v>
      </c>
      <c r="H139" s="83" t="s">
        <v>1554</v>
      </c>
      <c r="I139" s="83">
        <v>69</v>
      </c>
      <c r="K139" s="83"/>
      <c r="M139" s="85">
        <v>22000</v>
      </c>
      <c r="P139" s="85">
        <v>31000</v>
      </c>
      <c r="S139" s="85">
        <v>0</v>
      </c>
      <c r="V139" s="85">
        <v>3000</v>
      </c>
      <c r="W139" s="138">
        <f t="shared" si="5"/>
        <v>56000</v>
      </c>
    </row>
    <row r="140" spans="1:23" x14ac:dyDescent="0.25">
      <c r="A140" s="29"/>
      <c r="B140" s="83" t="s">
        <v>338</v>
      </c>
      <c r="C140" s="29" t="s">
        <v>1865</v>
      </c>
      <c r="D140" s="34">
        <v>3820018</v>
      </c>
      <c r="H140" s="83" t="s">
        <v>1554</v>
      </c>
      <c r="I140" s="83">
        <v>70</v>
      </c>
      <c r="K140" s="83"/>
      <c r="M140" s="83">
        <v>18000</v>
      </c>
      <c r="P140" s="83">
        <v>19000</v>
      </c>
      <c r="S140" s="83">
        <v>18000</v>
      </c>
      <c r="V140" s="83">
        <v>15000</v>
      </c>
      <c r="W140" s="138">
        <f t="shared" si="5"/>
        <v>70000</v>
      </c>
    </row>
    <row r="141" spans="1:23" x14ac:dyDescent="0.25">
      <c r="A141" s="29"/>
      <c r="B141" s="81" t="s">
        <v>2250</v>
      </c>
      <c r="C141" s="29" t="s">
        <v>1868</v>
      </c>
      <c r="D141" s="81">
        <v>3890106</v>
      </c>
      <c r="H141" s="83" t="s">
        <v>1554</v>
      </c>
      <c r="I141" s="83">
        <v>71</v>
      </c>
      <c r="K141" s="83"/>
      <c r="M141" s="85">
        <v>0</v>
      </c>
      <c r="P141" s="85">
        <v>0</v>
      </c>
      <c r="S141" s="85">
        <v>0</v>
      </c>
      <c r="V141" s="85">
        <v>76650</v>
      </c>
      <c r="W141" s="138">
        <v>76650</v>
      </c>
    </row>
    <row r="142" spans="1:23" x14ac:dyDescent="0.25">
      <c r="A142" s="29"/>
      <c r="B142" s="83" t="s">
        <v>944</v>
      </c>
      <c r="C142" s="29" t="s">
        <v>1870</v>
      </c>
      <c r="D142" s="34">
        <v>3900020</v>
      </c>
      <c r="H142" s="83" t="s">
        <v>1554</v>
      </c>
      <c r="K142" s="83"/>
      <c r="M142" s="83">
        <v>115000</v>
      </c>
      <c r="P142" s="83">
        <v>48000</v>
      </c>
      <c r="S142" s="83">
        <v>96000</v>
      </c>
      <c r="V142" s="83">
        <v>53000</v>
      </c>
      <c r="W142" s="138">
        <f>SUM(M142+P142+S142+V142)</f>
        <v>312000</v>
      </c>
    </row>
    <row r="143" spans="1:23" x14ac:dyDescent="0.25">
      <c r="A143" s="29"/>
      <c r="B143" s="83" t="s">
        <v>944</v>
      </c>
      <c r="C143" s="29" t="s">
        <v>1870</v>
      </c>
      <c r="D143" s="34">
        <v>3900020</v>
      </c>
      <c r="H143" s="83" t="s">
        <v>1554</v>
      </c>
      <c r="I143" s="83">
        <v>72</v>
      </c>
      <c r="K143" s="83"/>
      <c r="M143" s="83">
        <v>111000</v>
      </c>
      <c r="P143" s="83">
        <v>52000</v>
      </c>
      <c r="S143" s="83">
        <v>85000</v>
      </c>
      <c r="V143" s="83">
        <v>60000</v>
      </c>
      <c r="W143" s="138">
        <f>SUM(M143+P143+S143+V143)</f>
        <v>308000</v>
      </c>
    </row>
    <row r="144" spans="1:23" x14ac:dyDescent="0.25">
      <c r="B144" s="29" t="s">
        <v>1874</v>
      </c>
      <c r="C144" s="83" t="s">
        <v>1422</v>
      </c>
      <c r="D144" s="34">
        <v>3900025</v>
      </c>
      <c r="H144" s="83" t="s">
        <v>1554</v>
      </c>
      <c r="I144" s="83">
        <v>73</v>
      </c>
      <c r="K144" s="83"/>
      <c r="M144" s="142">
        <v>0</v>
      </c>
      <c r="P144" s="83">
        <v>0</v>
      </c>
      <c r="S144" s="83">
        <v>0</v>
      </c>
      <c r="V144" s="83">
        <v>76650</v>
      </c>
      <c r="W144" s="138">
        <v>76650</v>
      </c>
    </row>
    <row r="145" spans="1:23" x14ac:dyDescent="0.25">
      <c r="A145" s="29"/>
      <c r="B145" s="24" t="s">
        <v>2250</v>
      </c>
      <c r="C145" s="29" t="s">
        <v>1876</v>
      </c>
      <c r="D145" s="24">
        <v>3410030</v>
      </c>
      <c r="H145" s="83" t="s">
        <v>1554</v>
      </c>
      <c r="I145" s="83">
        <v>74</v>
      </c>
      <c r="K145" s="83"/>
      <c r="M145" s="83">
        <v>0</v>
      </c>
      <c r="P145" s="83">
        <v>0</v>
      </c>
      <c r="S145" s="83">
        <v>0</v>
      </c>
      <c r="V145" s="83">
        <v>76650</v>
      </c>
      <c r="W145" s="138">
        <v>76650</v>
      </c>
    </row>
    <row r="146" spans="1:23" x14ac:dyDescent="0.25">
      <c r="B146" s="29" t="s">
        <v>1879</v>
      </c>
      <c r="C146" s="83" t="s">
        <v>370</v>
      </c>
      <c r="D146" s="34">
        <v>3900038</v>
      </c>
      <c r="H146" s="83" t="s">
        <v>1554</v>
      </c>
      <c r="I146" s="83">
        <v>75</v>
      </c>
      <c r="K146" s="83"/>
      <c r="M146" s="142">
        <v>0</v>
      </c>
      <c r="P146" s="83">
        <v>0</v>
      </c>
      <c r="S146" s="83">
        <v>0</v>
      </c>
      <c r="V146" s="83">
        <v>0</v>
      </c>
      <c r="W146" s="138">
        <v>76650</v>
      </c>
    </row>
    <row r="147" spans="1:23" x14ac:dyDescent="0.25">
      <c r="A147" s="29"/>
      <c r="B147" s="83" t="s">
        <v>1434</v>
      </c>
      <c r="C147" s="29" t="s">
        <v>1883</v>
      </c>
      <c r="D147" s="34">
        <v>3900060</v>
      </c>
      <c r="H147" s="83" t="s">
        <v>1554</v>
      </c>
      <c r="K147" s="83"/>
      <c r="M147" s="83">
        <v>0</v>
      </c>
      <c r="P147" s="83">
        <v>0</v>
      </c>
      <c r="S147" s="83">
        <v>0</v>
      </c>
      <c r="V147" s="83">
        <v>62000</v>
      </c>
      <c r="W147" s="138"/>
    </row>
    <row r="148" spans="1:23" x14ac:dyDescent="0.25">
      <c r="A148" s="29"/>
      <c r="B148" s="83" t="s">
        <v>1440</v>
      </c>
      <c r="C148" s="29" t="s">
        <v>1883</v>
      </c>
      <c r="D148" s="34">
        <v>3900060</v>
      </c>
      <c r="H148" s="83" t="s">
        <v>1554</v>
      </c>
      <c r="I148" s="83">
        <v>76</v>
      </c>
      <c r="K148" s="83"/>
      <c r="M148" s="83">
        <v>0</v>
      </c>
      <c r="P148" s="83">
        <v>1000</v>
      </c>
      <c r="S148" s="83">
        <v>131000</v>
      </c>
      <c r="V148" s="83">
        <v>125000</v>
      </c>
      <c r="W148" s="138">
        <f>SUM(M148+P148+S148+V148)</f>
        <v>257000</v>
      </c>
    </row>
    <row r="149" spans="1:23" x14ac:dyDescent="0.25">
      <c r="B149" s="83" t="s">
        <v>1465</v>
      </c>
      <c r="C149" s="83" t="s">
        <v>1466</v>
      </c>
      <c r="D149" s="34">
        <v>3970034</v>
      </c>
      <c r="H149" s="83" t="s">
        <v>1554</v>
      </c>
      <c r="I149" s="83">
        <v>77</v>
      </c>
      <c r="K149" s="83"/>
      <c r="M149" s="142">
        <v>28000</v>
      </c>
      <c r="P149" s="83">
        <v>67000</v>
      </c>
      <c r="S149" s="83">
        <v>49000</v>
      </c>
      <c r="V149" s="83">
        <v>20000</v>
      </c>
      <c r="W149" s="138">
        <f>SUM(M149+P149+S149+V149)</f>
        <v>164000</v>
      </c>
    </row>
    <row r="150" spans="1:23" x14ac:dyDescent="0.25">
      <c r="B150" s="83" t="s">
        <v>461</v>
      </c>
      <c r="C150" s="83" t="s">
        <v>462</v>
      </c>
      <c r="D150" s="34">
        <v>3970100</v>
      </c>
      <c r="H150" s="83" t="s">
        <v>1554</v>
      </c>
      <c r="K150" s="83"/>
      <c r="M150" s="142">
        <v>0</v>
      </c>
      <c r="P150" s="83">
        <v>0</v>
      </c>
      <c r="S150" s="83">
        <v>0</v>
      </c>
      <c r="V150" s="83">
        <v>464000</v>
      </c>
      <c r="W150" s="83">
        <v>464000</v>
      </c>
    </row>
    <row r="151" spans="1:23" x14ac:dyDescent="0.25">
      <c r="B151" s="83" t="s">
        <v>380</v>
      </c>
      <c r="C151" s="83" t="s">
        <v>452</v>
      </c>
      <c r="D151" s="34">
        <v>3970100</v>
      </c>
      <c r="H151" s="83" t="s">
        <v>1554</v>
      </c>
      <c r="K151" s="83"/>
      <c r="M151" s="142">
        <v>0</v>
      </c>
      <c r="P151" s="83">
        <v>0</v>
      </c>
      <c r="S151" s="83">
        <v>0</v>
      </c>
      <c r="V151" s="83">
        <v>1222000</v>
      </c>
      <c r="W151" s="83">
        <v>1222000</v>
      </c>
    </row>
    <row r="152" spans="1:23" x14ac:dyDescent="0.25">
      <c r="B152" s="83" t="s">
        <v>935</v>
      </c>
      <c r="C152" s="83" t="s">
        <v>937</v>
      </c>
      <c r="D152" s="34">
        <v>3970100</v>
      </c>
      <c r="H152" s="83" t="s">
        <v>1554</v>
      </c>
      <c r="I152" s="83">
        <v>78</v>
      </c>
      <c r="K152" s="83"/>
      <c r="M152" s="142">
        <v>250000</v>
      </c>
      <c r="P152" s="83">
        <v>215000</v>
      </c>
      <c r="S152" s="83">
        <v>181000</v>
      </c>
      <c r="V152" s="83">
        <v>163000</v>
      </c>
      <c r="W152" s="138">
        <f t="shared" ref="W152:W183" si="6">SUM(M152+P152+S152+V152)</f>
        <v>809000</v>
      </c>
    </row>
    <row r="153" spans="1:23" x14ac:dyDescent="0.25">
      <c r="A153" s="29"/>
      <c r="B153" s="83" t="s">
        <v>372</v>
      </c>
      <c r="C153" s="29" t="s">
        <v>1886</v>
      </c>
      <c r="D153" s="34">
        <v>3970101</v>
      </c>
      <c r="H153" s="83" t="s">
        <v>1554</v>
      </c>
      <c r="I153" s="83">
        <v>79</v>
      </c>
      <c r="K153" s="83"/>
      <c r="M153" s="83">
        <v>23000</v>
      </c>
      <c r="P153" s="83">
        <v>216000</v>
      </c>
      <c r="S153" s="83">
        <v>38000</v>
      </c>
      <c r="V153" s="83">
        <v>5000</v>
      </c>
      <c r="W153" s="138">
        <f t="shared" si="6"/>
        <v>282000</v>
      </c>
    </row>
    <row r="154" spans="1:23" x14ac:dyDescent="0.25">
      <c r="A154" s="29"/>
      <c r="B154" s="83" t="s">
        <v>376</v>
      </c>
      <c r="C154" s="29" t="s">
        <v>1889</v>
      </c>
      <c r="D154" s="34">
        <v>3971111</v>
      </c>
      <c r="H154" s="83" t="s">
        <v>1554</v>
      </c>
      <c r="I154" s="83">
        <v>80</v>
      </c>
      <c r="K154" s="83"/>
      <c r="M154" s="83">
        <v>52000</v>
      </c>
      <c r="P154" s="83">
        <v>30000</v>
      </c>
      <c r="S154" s="83">
        <v>51000</v>
      </c>
      <c r="V154" s="83">
        <v>101000</v>
      </c>
      <c r="W154" s="138">
        <f t="shared" si="6"/>
        <v>234000</v>
      </c>
    </row>
    <row r="155" spans="1:23" x14ac:dyDescent="0.25">
      <c r="B155" s="83" t="s">
        <v>454</v>
      </c>
      <c r="C155" s="83" t="s">
        <v>464</v>
      </c>
      <c r="D155" s="34">
        <v>3970117</v>
      </c>
      <c r="H155" s="83" t="s">
        <v>1554</v>
      </c>
      <c r="I155" s="83">
        <v>81</v>
      </c>
      <c r="K155" s="83"/>
      <c r="M155" s="142">
        <v>0</v>
      </c>
      <c r="P155" s="83">
        <v>0</v>
      </c>
      <c r="S155" s="83">
        <v>0</v>
      </c>
      <c r="V155" s="83">
        <v>76650</v>
      </c>
      <c r="W155" s="138">
        <f t="shared" si="6"/>
        <v>76650</v>
      </c>
    </row>
    <row r="156" spans="1:23" x14ac:dyDescent="0.25">
      <c r="A156" s="29"/>
      <c r="B156" s="29" t="s">
        <v>2260</v>
      </c>
      <c r="C156" s="29" t="s">
        <v>1895</v>
      </c>
      <c r="D156" s="34">
        <v>3970145</v>
      </c>
      <c r="E156" s="32"/>
      <c r="H156" s="83" t="s">
        <v>1554</v>
      </c>
      <c r="I156" s="83">
        <v>82</v>
      </c>
      <c r="K156" s="83"/>
      <c r="M156" s="85">
        <v>2000</v>
      </c>
      <c r="P156" s="85">
        <v>3000</v>
      </c>
      <c r="S156" s="85">
        <v>2000</v>
      </c>
      <c r="V156" s="85">
        <v>2000</v>
      </c>
      <c r="W156" s="138">
        <f t="shared" si="6"/>
        <v>9000</v>
      </c>
    </row>
    <row r="157" spans="1:23" x14ac:dyDescent="0.25">
      <c r="A157" s="29"/>
      <c r="B157" s="29" t="s">
        <v>1899</v>
      </c>
      <c r="C157" s="29" t="s">
        <v>1898</v>
      </c>
      <c r="D157" s="34">
        <v>3970147</v>
      </c>
      <c r="E157" s="32"/>
      <c r="H157" s="83" t="s">
        <v>1554</v>
      </c>
      <c r="I157" s="83">
        <v>83</v>
      </c>
      <c r="K157" s="83"/>
      <c r="M157" s="85">
        <v>0</v>
      </c>
      <c r="P157" s="85">
        <v>0</v>
      </c>
      <c r="S157" s="85">
        <v>0</v>
      </c>
      <c r="V157" s="85">
        <v>76650</v>
      </c>
      <c r="W157" s="138">
        <f t="shared" si="6"/>
        <v>76650</v>
      </c>
    </row>
    <row r="158" spans="1:23" x14ac:dyDescent="0.25">
      <c r="A158" s="29"/>
      <c r="B158" s="83" t="s">
        <v>405</v>
      </c>
      <c r="C158" s="29" t="s">
        <v>1901</v>
      </c>
      <c r="D158" s="34">
        <v>3970139</v>
      </c>
      <c r="E158" s="32"/>
      <c r="H158" s="83" t="s">
        <v>1554</v>
      </c>
      <c r="K158" s="83"/>
      <c r="M158" s="83">
        <v>0</v>
      </c>
      <c r="P158" s="83">
        <v>3000</v>
      </c>
      <c r="S158" s="83">
        <v>3000</v>
      </c>
      <c r="V158" s="83">
        <v>3000</v>
      </c>
      <c r="W158" s="138">
        <f t="shared" si="6"/>
        <v>9000</v>
      </c>
    </row>
    <row r="159" spans="1:23" x14ac:dyDescent="0.25">
      <c r="A159" s="29"/>
      <c r="B159" s="83" t="s">
        <v>409</v>
      </c>
      <c r="C159" s="29" t="s">
        <v>1901</v>
      </c>
      <c r="D159" s="34">
        <v>3970139</v>
      </c>
      <c r="E159" s="32"/>
      <c r="H159" s="83" t="s">
        <v>1554</v>
      </c>
      <c r="I159" s="83">
        <v>84</v>
      </c>
      <c r="K159" s="83"/>
      <c r="M159" s="83">
        <v>2000</v>
      </c>
      <c r="P159" s="83">
        <v>1000</v>
      </c>
      <c r="S159" s="83">
        <v>0</v>
      </c>
      <c r="V159" s="83">
        <v>0</v>
      </c>
      <c r="W159" s="138">
        <f t="shared" si="6"/>
        <v>3000</v>
      </c>
    </row>
    <row r="160" spans="1:23" x14ac:dyDescent="0.25">
      <c r="A160" s="29"/>
      <c r="B160" s="83" t="s">
        <v>380</v>
      </c>
      <c r="C160" s="29" t="s">
        <v>1903</v>
      </c>
      <c r="D160" s="34">
        <v>3970124</v>
      </c>
      <c r="E160" s="32"/>
      <c r="H160" s="83" t="s">
        <v>1554</v>
      </c>
      <c r="K160" s="83"/>
      <c r="M160" s="83">
        <v>3000</v>
      </c>
      <c r="P160" s="83">
        <v>4000</v>
      </c>
      <c r="S160" s="83">
        <v>11000</v>
      </c>
      <c r="V160" s="83">
        <v>11000</v>
      </c>
      <c r="W160" s="138">
        <f t="shared" si="6"/>
        <v>29000</v>
      </c>
    </row>
    <row r="161" spans="1:23" x14ac:dyDescent="0.25">
      <c r="A161" s="29"/>
      <c r="B161" s="83" t="s">
        <v>380</v>
      </c>
      <c r="C161" s="29" t="s">
        <v>1903</v>
      </c>
      <c r="D161" s="34">
        <v>3970124</v>
      </c>
      <c r="E161" s="32"/>
      <c r="H161" s="83" t="s">
        <v>1554</v>
      </c>
      <c r="K161" s="83"/>
      <c r="M161" s="83">
        <v>1000</v>
      </c>
      <c r="P161" s="83">
        <v>116000</v>
      </c>
      <c r="S161" s="83">
        <v>74000</v>
      </c>
      <c r="V161" s="83">
        <v>0</v>
      </c>
      <c r="W161" s="138">
        <f t="shared" si="6"/>
        <v>191000</v>
      </c>
    </row>
    <row r="162" spans="1:23" x14ac:dyDescent="0.25">
      <c r="B162" s="83" t="s">
        <v>439</v>
      </c>
      <c r="C162" s="83" t="s">
        <v>441</v>
      </c>
      <c r="D162" s="34">
        <v>3970124</v>
      </c>
      <c r="E162" s="32"/>
      <c r="G162" s="83" t="s">
        <v>1570</v>
      </c>
      <c r="H162" s="83" t="s">
        <v>1554</v>
      </c>
      <c r="K162" s="83"/>
      <c r="M162" s="83">
        <v>45000</v>
      </c>
      <c r="P162" s="83">
        <v>54000</v>
      </c>
      <c r="S162" s="83">
        <v>60000</v>
      </c>
      <c r="V162" s="83">
        <v>0</v>
      </c>
      <c r="W162" s="138">
        <f t="shared" si="6"/>
        <v>159000</v>
      </c>
    </row>
    <row r="163" spans="1:23" x14ac:dyDescent="0.25">
      <c r="B163" s="83" t="s">
        <v>1388</v>
      </c>
      <c r="C163" s="83" t="s">
        <v>1390</v>
      </c>
      <c r="D163" s="34">
        <v>3970124</v>
      </c>
      <c r="E163" s="32"/>
      <c r="H163" s="83" t="s">
        <v>1554</v>
      </c>
      <c r="K163" s="83"/>
      <c r="M163" s="83">
        <v>3000</v>
      </c>
      <c r="P163" s="83">
        <v>2000</v>
      </c>
      <c r="S163" s="83">
        <v>2000</v>
      </c>
      <c r="V163" s="83">
        <v>1000</v>
      </c>
      <c r="W163" s="138">
        <f t="shared" si="6"/>
        <v>8000</v>
      </c>
    </row>
    <row r="164" spans="1:23" x14ac:dyDescent="0.25">
      <c r="B164" s="83" t="s">
        <v>411</v>
      </c>
      <c r="C164" s="83" t="s">
        <v>414</v>
      </c>
      <c r="D164" s="34">
        <v>3970124</v>
      </c>
      <c r="E164" s="32"/>
      <c r="H164" s="83" t="s">
        <v>1554</v>
      </c>
      <c r="K164" s="83"/>
      <c r="M164" s="83">
        <v>0</v>
      </c>
      <c r="P164" s="83">
        <v>1000</v>
      </c>
      <c r="S164" s="83">
        <v>0</v>
      </c>
      <c r="V164" s="83">
        <v>0</v>
      </c>
      <c r="W164" s="138">
        <f t="shared" si="6"/>
        <v>1000</v>
      </c>
    </row>
    <row r="165" spans="1:23" x14ac:dyDescent="0.25">
      <c r="B165" s="83" t="s">
        <v>1392</v>
      </c>
      <c r="C165" s="83" t="s">
        <v>414</v>
      </c>
      <c r="D165" s="34">
        <v>3970124</v>
      </c>
      <c r="E165" s="32"/>
      <c r="H165" s="83" t="s">
        <v>1554</v>
      </c>
      <c r="K165" s="83"/>
      <c r="M165" s="83">
        <v>6000</v>
      </c>
      <c r="P165" s="83">
        <v>6000</v>
      </c>
      <c r="S165" s="83">
        <v>4000</v>
      </c>
      <c r="V165" s="83">
        <v>5000</v>
      </c>
      <c r="W165" s="138">
        <f t="shared" si="6"/>
        <v>21000</v>
      </c>
    </row>
    <row r="166" spans="1:23" x14ac:dyDescent="0.25">
      <c r="B166" s="83" t="s">
        <v>1394</v>
      </c>
      <c r="C166" s="83" t="s">
        <v>416</v>
      </c>
      <c r="D166" s="34">
        <v>3970124</v>
      </c>
      <c r="E166" s="32"/>
      <c r="H166" s="83" t="s">
        <v>1554</v>
      </c>
      <c r="K166" s="83"/>
      <c r="M166" s="83">
        <v>32000</v>
      </c>
      <c r="P166" s="83">
        <v>34000</v>
      </c>
      <c r="S166" s="83">
        <v>42000</v>
      </c>
      <c r="V166" s="83">
        <v>35000</v>
      </c>
      <c r="W166" s="138">
        <f t="shared" si="6"/>
        <v>143000</v>
      </c>
    </row>
    <row r="167" spans="1:23" x14ac:dyDescent="0.25">
      <c r="B167" s="83" t="s">
        <v>411</v>
      </c>
      <c r="C167" s="83" t="s">
        <v>416</v>
      </c>
      <c r="D167" s="34">
        <v>3970124</v>
      </c>
      <c r="E167" s="32"/>
      <c r="H167" s="83" t="s">
        <v>1554</v>
      </c>
      <c r="K167" s="83"/>
      <c r="M167" s="83">
        <v>2000</v>
      </c>
      <c r="P167" s="83">
        <v>2000</v>
      </c>
      <c r="S167" s="83">
        <v>1000</v>
      </c>
      <c r="V167" s="83">
        <v>3000</v>
      </c>
      <c r="W167" s="138">
        <f t="shared" si="6"/>
        <v>8000</v>
      </c>
    </row>
    <row r="168" spans="1:23" x14ac:dyDescent="0.25">
      <c r="B168" s="83" t="s">
        <v>418</v>
      </c>
      <c r="C168" s="83" t="s">
        <v>416</v>
      </c>
      <c r="D168" s="34">
        <v>3970124</v>
      </c>
      <c r="E168" s="32"/>
      <c r="H168" s="83" t="s">
        <v>1554</v>
      </c>
      <c r="K168" s="83"/>
      <c r="M168" s="83">
        <v>1000</v>
      </c>
      <c r="P168" s="83">
        <v>1000</v>
      </c>
      <c r="S168" s="83">
        <v>2000</v>
      </c>
      <c r="V168" s="83">
        <v>4000</v>
      </c>
      <c r="W168" s="138">
        <f t="shared" si="6"/>
        <v>8000</v>
      </c>
    </row>
    <row r="169" spans="1:23" x14ac:dyDescent="0.25">
      <c r="B169" s="83" t="s">
        <v>398</v>
      </c>
      <c r="C169" s="83" t="s">
        <v>443</v>
      </c>
      <c r="D169" s="34">
        <v>3970124</v>
      </c>
      <c r="E169" s="32"/>
      <c r="H169" s="83" t="s">
        <v>1554</v>
      </c>
      <c r="K169" s="83"/>
      <c r="M169" s="83">
        <v>36000</v>
      </c>
      <c r="P169" s="83">
        <v>53000</v>
      </c>
      <c r="S169" s="83">
        <v>41000</v>
      </c>
      <c r="V169" s="83">
        <v>0</v>
      </c>
      <c r="W169" s="138">
        <f t="shared" si="6"/>
        <v>130000</v>
      </c>
    </row>
    <row r="170" spans="1:23" x14ac:dyDescent="0.25">
      <c r="B170" s="83" t="s">
        <v>420</v>
      </c>
      <c r="C170" s="83" t="s">
        <v>421</v>
      </c>
      <c r="D170" s="34">
        <v>3970124</v>
      </c>
      <c r="E170" s="32"/>
      <c r="H170" s="83" t="s">
        <v>1554</v>
      </c>
      <c r="K170" s="83"/>
      <c r="M170" s="83">
        <v>0</v>
      </c>
      <c r="P170" s="83">
        <v>0</v>
      </c>
      <c r="S170" s="83">
        <v>1000</v>
      </c>
      <c r="V170" s="83">
        <v>2000</v>
      </c>
      <c r="W170" s="138">
        <f t="shared" si="6"/>
        <v>3000</v>
      </c>
    </row>
    <row r="171" spans="1:23" x14ac:dyDescent="0.25">
      <c r="B171" s="83" t="s">
        <v>423</v>
      </c>
      <c r="C171" s="83" t="s">
        <v>421</v>
      </c>
      <c r="D171" s="34">
        <v>3970124</v>
      </c>
      <c r="E171" s="32"/>
      <c r="H171" s="83" t="s">
        <v>1554</v>
      </c>
      <c r="K171" s="83"/>
      <c r="M171" s="83">
        <v>2000</v>
      </c>
      <c r="P171" s="83">
        <v>1000</v>
      </c>
      <c r="S171" s="83">
        <v>2000</v>
      </c>
      <c r="V171" s="83">
        <v>2000</v>
      </c>
      <c r="W171" s="138">
        <f t="shared" si="6"/>
        <v>7000</v>
      </c>
    </row>
    <row r="172" spans="1:23" x14ac:dyDescent="0.25">
      <c r="B172" s="83" t="s">
        <v>426</v>
      </c>
      <c r="C172" s="83" t="s">
        <v>421</v>
      </c>
      <c r="D172" s="34">
        <v>3970124</v>
      </c>
      <c r="E172" s="32"/>
      <c r="H172" s="83" t="s">
        <v>1554</v>
      </c>
      <c r="K172" s="83"/>
      <c r="M172" s="83">
        <v>1000</v>
      </c>
      <c r="P172" s="83">
        <v>2000</v>
      </c>
      <c r="S172" s="83">
        <v>2000</v>
      </c>
      <c r="V172" s="83">
        <v>2000</v>
      </c>
      <c r="W172" s="138">
        <f t="shared" si="6"/>
        <v>7000</v>
      </c>
    </row>
    <row r="173" spans="1:23" x14ac:dyDescent="0.25">
      <c r="B173" s="83" t="s">
        <v>429</v>
      </c>
      <c r="C173" s="83" t="s">
        <v>421</v>
      </c>
      <c r="D173" s="34">
        <v>3970124</v>
      </c>
      <c r="E173" s="32"/>
      <c r="H173" s="83" t="s">
        <v>1554</v>
      </c>
      <c r="K173" s="83"/>
      <c r="M173" s="83">
        <v>1000</v>
      </c>
      <c r="P173" s="83">
        <v>0</v>
      </c>
      <c r="S173" s="83">
        <v>0</v>
      </c>
      <c r="V173" s="83">
        <v>1000</v>
      </c>
      <c r="W173" s="138">
        <f t="shared" si="6"/>
        <v>2000</v>
      </c>
    </row>
    <row r="174" spans="1:23" x14ac:dyDescent="0.25">
      <c r="B174" s="83" t="s">
        <v>432</v>
      </c>
      <c r="C174" s="83" t="s">
        <v>421</v>
      </c>
      <c r="D174" s="34">
        <v>3970124</v>
      </c>
      <c r="E174" s="32"/>
      <c r="H174" s="83" t="s">
        <v>1554</v>
      </c>
      <c r="K174" s="83"/>
      <c r="M174" s="83">
        <v>0</v>
      </c>
      <c r="P174" s="83">
        <v>32000</v>
      </c>
      <c r="S174" s="83">
        <v>37000</v>
      </c>
      <c r="V174" s="83">
        <v>33000</v>
      </c>
      <c r="W174" s="138">
        <f t="shared" si="6"/>
        <v>102000</v>
      </c>
    </row>
    <row r="175" spans="1:23" x14ac:dyDescent="0.25">
      <c r="B175" s="83" t="s">
        <v>436</v>
      </c>
      <c r="C175" s="83" t="s">
        <v>437</v>
      </c>
      <c r="D175" s="34">
        <v>3970124</v>
      </c>
      <c r="E175" s="32"/>
      <c r="G175" s="83" t="s">
        <v>1570</v>
      </c>
      <c r="H175" s="83" t="s">
        <v>1554</v>
      </c>
      <c r="K175" s="83"/>
      <c r="M175" s="83">
        <v>24000</v>
      </c>
      <c r="P175" s="83">
        <v>35000</v>
      </c>
      <c r="S175" s="83">
        <v>29000</v>
      </c>
      <c r="V175" s="83">
        <v>0</v>
      </c>
      <c r="W175" s="138">
        <f t="shared" si="6"/>
        <v>88000</v>
      </c>
    </row>
    <row r="176" spans="1:23" x14ac:dyDescent="0.25">
      <c r="B176" s="83" t="s">
        <v>445</v>
      </c>
      <c r="C176" s="83" t="s">
        <v>446</v>
      </c>
      <c r="D176" s="34">
        <v>3970124</v>
      </c>
      <c r="E176" s="32"/>
      <c r="G176" s="83" t="s">
        <v>1570</v>
      </c>
      <c r="H176" s="83" t="s">
        <v>1554</v>
      </c>
      <c r="K176" s="83"/>
      <c r="M176" s="83">
        <v>30000</v>
      </c>
      <c r="P176" s="83">
        <v>43000</v>
      </c>
      <c r="S176" s="83">
        <v>34000</v>
      </c>
      <c r="V176" s="83">
        <v>0</v>
      </c>
      <c r="W176" s="138">
        <f t="shared" si="6"/>
        <v>107000</v>
      </c>
    </row>
    <row r="177" spans="1:23" x14ac:dyDescent="0.25">
      <c r="B177" s="83" t="s">
        <v>482</v>
      </c>
      <c r="C177" s="83" t="s">
        <v>421</v>
      </c>
      <c r="D177" s="34">
        <v>3970124</v>
      </c>
      <c r="E177" s="32"/>
      <c r="H177" s="83" t="s">
        <v>1554</v>
      </c>
      <c r="K177" s="83"/>
      <c r="M177" s="83">
        <v>12000</v>
      </c>
      <c r="P177" s="83">
        <v>13000</v>
      </c>
      <c r="S177" s="83">
        <v>11000</v>
      </c>
      <c r="V177" s="83">
        <v>11000</v>
      </c>
      <c r="W177" s="138">
        <f t="shared" si="6"/>
        <v>47000</v>
      </c>
    </row>
    <row r="178" spans="1:23" x14ac:dyDescent="0.25">
      <c r="B178" s="83" t="s">
        <v>499</v>
      </c>
      <c r="C178" s="83" t="s">
        <v>421</v>
      </c>
      <c r="D178" s="34">
        <v>3970124</v>
      </c>
      <c r="E178" s="32"/>
      <c r="H178" s="83" t="s">
        <v>1554</v>
      </c>
      <c r="K178" s="83"/>
      <c r="M178" s="83">
        <v>55000</v>
      </c>
      <c r="P178" s="83">
        <v>74000</v>
      </c>
      <c r="S178" s="83">
        <v>45000</v>
      </c>
      <c r="V178" s="83">
        <v>33000</v>
      </c>
      <c r="W178" s="138">
        <f t="shared" si="6"/>
        <v>207000</v>
      </c>
    </row>
    <row r="179" spans="1:23" x14ac:dyDescent="0.25">
      <c r="B179" s="83" t="s">
        <v>1396</v>
      </c>
      <c r="C179" s="83" t="s">
        <v>421</v>
      </c>
      <c r="D179" s="34">
        <v>3970124</v>
      </c>
      <c r="E179" s="32"/>
      <c r="H179" s="83" t="s">
        <v>1554</v>
      </c>
      <c r="K179" s="83"/>
      <c r="M179" s="83">
        <v>94000</v>
      </c>
      <c r="P179" s="83">
        <v>241000</v>
      </c>
      <c r="S179" s="83">
        <v>221000</v>
      </c>
      <c r="V179" s="83">
        <v>46000</v>
      </c>
      <c r="W179" s="138">
        <f t="shared" si="6"/>
        <v>602000</v>
      </c>
    </row>
    <row r="180" spans="1:23" x14ac:dyDescent="0.25">
      <c r="B180" s="83" t="s">
        <v>1398</v>
      </c>
      <c r="C180" s="83" t="s">
        <v>421</v>
      </c>
      <c r="D180" s="34">
        <v>3970124</v>
      </c>
      <c r="E180" s="32"/>
      <c r="H180" s="83" t="s">
        <v>1554</v>
      </c>
      <c r="K180" s="83"/>
      <c r="M180" s="83">
        <v>66000</v>
      </c>
      <c r="P180" s="83">
        <v>88000</v>
      </c>
      <c r="S180" s="83">
        <v>21000</v>
      </c>
      <c r="V180" s="83">
        <v>18000</v>
      </c>
      <c r="W180" s="138">
        <f t="shared" si="6"/>
        <v>193000</v>
      </c>
    </row>
    <row r="181" spans="1:23" x14ac:dyDescent="0.25">
      <c r="A181" s="29"/>
      <c r="B181" s="83" t="s">
        <v>386</v>
      </c>
      <c r="C181" s="29" t="s">
        <v>1907</v>
      </c>
      <c r="D181" s="34">
        <v>3970124</v>
      </c>
      <c r="E181" s="32"/>
      <c r="H181" s="83" t="s">
        <v>1554</v>
      </c>
      <c r="K181" s="83"/>
      <c r="M181" s="83">
        <v>0</v>
      </c>
      <c r="P181" s="83">
        <v>25000</v>
      </c>
      <c r="S181" s="83">
        <v>8000</v>
      </c>
      <c r="V181" s="83">
        <v>17000</v>
      </c>
      <c r="W181" s="138">
        <f t="shared" si="6"/>
        <v>50000</v>
      </c>
    </row>
    <row r="182" spans="1:23" x14ac:dyDescent="0.25">
      <c r="A182" s="29"/>
      <c r="B182" s="83" t="s">
        <v>391</v>
      </c>
      <c r="C182" s="29" t="s">
        <v>1907</v>
      </c>
      <c r="D182" s="34">
        <v>3970124</v>
      </c>
      <c r="E182" s="32"/>
      <c r="H182" s="83" t="s">
        <v>1554</v>
      </c>
      <c r="K182" s="83"/>
      <c r="M182" s="83">
        <v>53000</v>
      </c>
      <c r="P182" s="83">
        <v>52000</v>
      </c>
      <c r="S182" s="83">
        <v>42000</v>
      </c>
      <c r="V182" s="83">
        <v>55000</v>
      </c>
      <c r="W182" s="138">
        <f t="shared" si="6"/>
        <v>202000</v>
      </c>
    </row>
    <row r="183" spans="1:23" x14ac:dyDescent="0.25">
      <c r="A183" s="29"/>
      <c r="B183" s="83" t="s">
        <v>395</v>
      </c>
      <c r="C183" s="29" t="s">
        <v>1907</v>
      </c>
      <c r="D183" s="34">
        <v>3970124</v>
      </c>
      <c r="E183" s="32"/>
      <c r="H183" s="83" t="s">
        <v>1554</v>
      </c>
      <c r="K183" s="83"/>
      <c r="M183" s="83">
        <v>36000</v>
      </c>
      <c r="P183" s="83">
        <v>0</v>
      </c>
      <c r="S183" s="83">
        <v>0</v>
      </c>
      <c r="V183" s="83">
        <v>0</v>
      </c>
      <c r="W183" s="138">
        <f t="shared" si="6"/>
        <v>36000</v>
      </c>
    </row>
    <row r="184" spans="1:23" x14ac:dyDescent="0.25">
      <c r="A184" s="29"/>
      <c r="B184" s="83" t="s">
        <v>397</v>
      </c>
      <c r="C184" s="29" t="s">
        <v>1907</v>
      </c>
      <c r="D184" s="34">
        <v>3970124</v>
      </c>
      <c r="E184" s="84"/>
      <c r="H184" s="83" t="s">
        <v>1554</v>
      </c>
      <c r="K184" s="83"/>
      <c r="M184" s="83">
        <v>42000</v>
      </c>
      <c r="P184" s="83">
        <v>57000</v>
      </c>
      <c r="S184" s="83">
        <v>0</v>
      </c>
      <c r="V184" s="83">
        <v>0</v>
      </c>
      <c r="W184" s="138">
        <f t="shared" ref="W184:W215" si="7">SUM(M184+P184+S184+V184)</f>
        <v>99000</v>
      </c>
    </row>
    <row r="185" spans="1:23" x14ac:dyDescent="0.25">
      <c r="A185" s="29"/>
      <c r="B185" s="83" t="s">
        <v>398</v>
      </c>
      <c r="C185" s="29" t="s">
        <v>1907</v>
      </c>
      <c r="D185" s="34">
        <v>3970124</v>
      </c>
      <c r="E185" s="84"/>
      <c r="H185" s="83" t="s">
        <v>1554</v>
      </c>
      <c r="K185" s="83"/>
      <c r="M185" s="83">
        <v>0</v>
      </c>
      <c r="P185" s="83">
        <v>1000</v>
      </c>
      <c r="S185" s="83">
        <v>0</v>
      </c>
      <c r="V185" s="83">
        <v>2000</v>
      </c>
      <c r="W185" s="138">
        <f t="shared" si="7"/>
        <v>3000</v>
      </c>
    </row>
    <row r="186" spans="1:23" x14ac:dyDescent="0.25">
      <c r="A186" s="29"/>
      <c r="B186" s="83" t="s">
        <v>403</v>
      </c>
      <c r="C186" s="29" t="s">
        <v>1907</v>
      </c>
      <c r="D186" s="34">
        <v>3970124</v>
      </c>
      <c r="E186" s="84"/>
      <c r="H186" s="83" t="s">
        <v>1554</v>
      </c>
      <c r="K186" s="83"/>
      <c r="M186" s="83">
        <v>44000</v>
      </c>
      <c r="P186" s="83">
        <v>74000</v>
      </c>
      <c r="S186" s="83">
        <v>332000</v>
      </c>
      <c r="V186" s="83">
        <v>396000</v>
      </c>
      <c r="W186" s="138">
        <f t="shared" si="7"/>
        <v>846000</v>
      </c>
    </row>
    <row r="187" spans="1:23" x14ac:dyDescent="0.25">
      <c r="B187" s="83" t="s">
        <v>448</v>
      </c>
      <c r="C187" s="83" t="s">
        <v>449</v>
      </c>
      <c r="D187" s="34">
        <v>3970124</v>
      </c>
      <c r="E187" s="84"/>
      <c r="G187" s="83" t="s">
        <v>1570</v>
      </c>
      <c r="H187" s="83" t="s">
        <v>1554</v>
      </c>
      <c r="K187" s="83"/>
      <c r="M187" s="83">
        <v>8000</v>
      </c>
      <c r="P187" s="83">
        <v>9000</v>
      </c>
      <c r="S187" s="83">
        <v>9000</v>
      </c>
      <c r="V187" s="83">
        <v>0</v>
      </c>
      <c r="W187" s="138">
        <f t="shared" si="7"/>
        <v>26000</v>
      </c>
    </row>
    <row r="188" spans="1:23" x14ac:dyDescent="0.25">
      <c r="B188" s="83" t="s">
        <v>458</v>
      </c>
      <c r="C188" s="83" t="s">
        <v>459</v>
      </c>
      <c r="D188" s="34">
        <v>3970124</v>
      </c>
      <c r="E188" s="84"/>
      <c r="G188" s="83" t="s">
        <v>1570</v>
      </c>
      <c r="H188" s="83" t="s">
        <v>1554</v>
      </c>
      <c r="K188" s="83"/>
      <c r="M188" s="83">
        <v>36000</v>
      </c>
      <c r="P188" s="83">
        <v>31000</v>
      </c>
      <c r="S188" s="83">
        <v>45000</v>
      </c>
      <c r="V188" s="83">
        <v>0</v>
      </c>
      <c r="W188" s="138">
        <f t="shared" si="7"/>
        <v>112000</v>
      </c>
    </row>
    <row r="189" spans="1:23" x14ac:dyDescent="0.25">
      <c r="B189" s="83" t="s">
        <v>466</v>
      </c>
      <c r="C189" s="83" t="s">
        <v>468</v>
      </c>
      <c r="D189" s="34">
        <v>3970124</v>
      </c>
      <c r="E189" s="84"/>
      <c r="H189" s="83" t="s">
        <v>1554</v>
      </c>
      <c r="K189" s="83"/>
      <c r="M189" s="83">
        <v>0</v>
      </c>
      <c r="P189" s="83">
        <v>0</v>
      </c>
      <c r="S189" s="83">
        <v>0</v>
      </c>
      <c r="V189" s="83">
        <v>0</v>
      </c>
      <c r="W189" s="138">
        <f t="shared" si="7"/>
        <v>0</v>
      </c>
    </row>
    <row r="190" spans="1:23" x14ac:dyDescent="0.25">
      <c r="B190" s="83" t="s">
        <v>398</v>
      </c>
      <c r="C190" s="83" t="s">
        <v>468</v>
      </c>
      <c r="D190" s="34">
        <v>3970124</v>
      </c>
      <c r="E190" s="84"/>
      <c r="H190" s="83" t="s">
        <v>1554</v>
      </c>
      <c r="K190" s="83"/>
      <c r="M190" s="83">
        <v>0</v>
      </c>
      <c r="P190" s="83">
        <v>0</v>
      </c>
      <c r="S190" s="83">
        <v>0</v>
      </c>
      <c r="V190" s="83">
        <v>0</v>
      </c>
      <c r="W190" s="138">
        <f t="shared" si="7"/>
        <v>0</v>
      </c>
    </row>
    <row r="191" spans="1:23" x14ac:dyDescent="0.25">
      <c r="B191" s="83" t="s">
        <v>471</v>
      </c>
      <c r="C191" s="83" t="s">
        <v>472</v>
      </c>
      <c r="D191" s="34">
        <v>3970124</v>
      </c>
      <c r="E191" s="84"/>
      <c r="H191" s="83" t="s">
        <v>1554</v>
      </c>
      <c r="K191" s="83"/>
      <c r="M191" s="83">
        <v>0</v>
      </c>
      <c r="P191" s="83">
        <v>1000</v>
      </c>
      <c r="S191" s="83">
        <v>0</v>
      </c>
      <c r="V191" s="83">
        <v>1000</v>
      </c>
      <c r="W191" s="138">
        <f t="shared" si="7"/>
        <v>2000</v>
      </c>
    </row>
    <row r="192" spans="1:23" x14ac:dyDescent="0.25">
      <c r="B192" s="83" t="s">
        <v>475</v>
      </c>
      <c r="C192" s="83" t="s">
        <v>472</v>
      </c>
      <c r="D192" s="34">
        <v>3970124</v>
      </c>
      <c r="E192" s="84"/>
      <c r="H192" s="83" t="s">
        <v>1554</v>
      </c>
      <c r="K192" s="83"/>
      <c r="M192" s="83">
        <v>2000</v>
      </c>
      <c r="P192" s="83">
        <v>0</v>
      </c>
      <c r="S192" s="83">
        <v>0</v>
      </c>
      <c r="V192" s="83">
        <v>0</v>
      </c>
      <c r="W192" s="138">
        <f t="shared" si="7"/>
        <v>2000</v>
      </c>
    </row>
    <row r="193" spans="1:23" x14ac:dyDescent="0.25">
      <c r="B193" s="83" t="s">
        <v>477</v>
      </c>
      <c r="C193" s="83" t="s">
        <v>478</v>
      </c>
      <c r="D193" s="34">
        <v>3970124</v>
      </c>
      <c r="E193" s="84"/>
      <c r="H193" s="83" t="s">
        <v>1554</v>
      </c>
      <c r="K193" s="83"/>
      <c r="M193" s="83">
        <v>0</v>
      </c>
      <c r="P193" s="83">
        <v>0</v>
      </c>
      <c r="S193" s="83">
        <v>0</v>
      </c>
      <c r="V193" s="83">
        <v>0</v>
      </c>
      <c r="W193" s="138">
        <f t="shared" si="7"/>
        <v>0</v>
      </c>
    </row>
    <row r="194" spans="1:23" x14ac:dyDescent="0.25">
      <c r="B194" s="83" t="s">
        <v>398</v>
      </c>
      <c r="C194" s="83" t="s">
        <v>478</v>
      </c>
      <c r="D194" s="34">
        <v>3970124</v>
      </c>
      <c r="E194" s="84"/>
      <c r="H194" s="83" t="s">
        <v>1554</v>
      </c>
      <c r="K194" s="83"/>
      <c r="M194" s="83">
        <v>0</v>
      </c>
      <c r="P194" s="83">
        <v>0</v>
      </c>
      <c r="S194" s="83">
        <v>0</v>
      </c>
      <c r="V194" s="83">
        <v>0</v>
      </c>
      <c r="W194" s="138">
        <f t="shared" si="7"/>
        <v>0</v>
      </c>
    </row>
    <row r="195" spans="1:23" x14ac:dyDescent="0.25">
      <c r="B195" s="83" t="s">
        <v>484</v>
      </c>
      <c r="C195" s="83" t="s">
        <v>486</v>
      </c>
      <c r="D195" s="34">
        <v>3970124</v>
      </c>
      <c r="E195" s="84"/>
      <c r="H195" s="83" t="s">
        <v>1554</v>
      </c>
      <c r="K195" s="83"/>
      <c r="M195" s="83">
        <v>0</v>
      </c>
      <c r="P195" s="83">
        <v>2000</v>
      </c>
      <c r="S195" s="83">
        <v>2000</v>
      </c>
      <c r="V195" s="83">
        <v>0</v>
      </c>
      <c r="W195" s="138">
        <f t="shared" si="7"/>
        <v>4000</v>
      </c>
    </row>
    <row r="196" spans="1:23" x14ac:dyDescent="0.25">
      <c r="B196" s="83" t="s">
        <v>488</v>
      </c>
      <c r="C196" s="83" t="s">
        <v>489</v>
      </c>
      <c r="D196" s="34">
        <v>3970124</v>
      </c>
      <c r="E196" s="84"/>
      <c r="H196" s="83" t="s">
        <v>1554</v>
      </c>
      <c r="K196" s="83"/>
      <c r="M196" s="83">
        <v>0</v>
      </c>
      <c r="P196" s="83">
        <v>0</v>
      </c>
      <c r="S196" s="83">
        <v>0</v>
      </c>
      <c r="V196" s="83">
        <v>0</v>
      </c>
      <c r="W196" s="138">
        <f t="shared" si="7"/>
        <v>0</v>
      </c>
    </row>
    <row r="197" spans="1:23" x14ac:dyDescent="0.25">
      <c r="B197" s="83" t="s">
        <v>398</v>
      </c>
      <c r="C197" s="83" t="s">
        <v>489</v>
      </c>
      <c r="D197" s="34">
        <v>3970124</v>
      </c>
      <c r="E197" s="84"/>
      <c r="H197" s="83" t="s">
        <v>1554</v>
      </c>
      <c r="K197" s="83"/>
      <c r="M197" s="83">
        <v>0</v>
      </c>
      <c r="P197" s="83">
        <v>0</v>
      </c>
      <c r="S197" s="83">
        <v>0</v>
      </c>
      <c r="V197" s="83">
        <v>0</v>
      </c>
      <c r="W197" s="138">
        <f t="shared" si="7"/>
        <v>0</v>
      </c>
    </row>
    <row r="198" spans="1:23" x14ac:dyDescent="0.25">
      <c r="B198" s="83" t="s">
        <v>398</v>
      </c>
      <c r="C198" s="83" t="s">
        <v>489</v>
      </c>
      <c r="D198" s="34">
        <v>3970124</v>
      </c>
      <c r="E198" s="84"/>
      <c r="H198" s="83" t="s">
        <v>1554</v>
      </c>
      <c r="K198" s="83"/>
      <c r="M198" s="83">
        <v>11000</v>
      </c>
      <c r="P198" s="83">
        <v>18000</v>
      </c>
      <c r="S198" s="83">
        <v>14000</v>
      </c>
      <c r="V198" s="83">
        <v>14000</v>
      </c>
      <c r="W198" s="138">
        <f t="shared" si="7"/>
        <v>57000</v>
      </c>
    </row>
    <row r="199" spans="1:23" x14ac:dyDescent="0.25">
      <c r="B199" s="83" t="s">
        <v>493</v>
      </c>
      <c r="C199" s="83" t="s">
        <v>489</v>
      </c>
      <c r="D199" s="34">
        <v>3970124</v>
      </c>
      <c r="E199" s="84"/>
      <c r="H199" s="83" t="s">
        <v>1554</v>
      </c>
      <c r="K199" s="83"/>
      <c r="M199" s="83">
        <v>19000</v>
      </c>
      <c r="P199" s="83">
        <v>18000</v>
      </c>
      <c r="S199" s="83">
        <v>15000</v>
      </c>
      <c r="V199" s="83">
        <v>12000</v>
      </c>
      <c r="W199" s="138">
        <f t="shared" si="7"/>
        <v>64000</v>
      </c>
    </row>
    <row r="200" spans="1:23" x14ac:dyDescent="0.25">
      <c r="B200" s="83" t="s">
        <v>398</v>
      </c>
      <c r="C200" s="83" t="s">
        <v>497</v>
      </c>
      <c r="D200" s="34">
        <v>3970124</v>
      </c>
      <c r="E200" s="84"/>
      <c r="H200" s="83" t="s">
        <v>1554</v>
      </c>
      <c r="K200" s="83"/>
      <c r="M200" s="83">
        <v>0</v>
      </c>
      <c r="P200" s="83">
        <v>0</v>
      </c>
      <c r="S200" s="83">
        <v>0</v>
      </c>
      <c r="V200" s="83">
        <v>0</v>
      </c>
      <c r="W200" s="138">
        <f t="shared" si="7"/>
        <v>0</v>
      </c>
    </row>
    <row r="201" spans="1:23" x14ac:dyDescent="0.25">
      <c r="B201" s="83" t="s">
        <v>471</v>
      </c>
      <c r="C201" s="83" t="s">
        <v>503</v>
      </c>
      <c r="D201" s="34">
        <v>3970124</v>
      </c>
      <c r="E201" s="84"/>
      <c r="H201" s="83" t="s">
        <v>1554</v>
      </c>
      <c r="K201" s="83"/>
      <c r="M201" s="83">
        <v>0</v>
      </c>
      <c r="P201" s="83">
        <v>0</v>
      </c>
      <c r="S201" s="83">
        <v>0</v>
      </c>
      <c r="V201" s="83">
        <v>0</v>
      </c>
      <c r="W201" s="138">
        <f t="shared" si="7"/>
        <v>0</v>
      </c>
    </row>
    <row r="202" spans="1:23" x14ac:dyDescent="0.25">
      <c r="B202" s="83" t="s">
        <v>767</v>
      </c>
      <c r="C202" s="83" t="s">
        <v>388</v>
      </c>
      <c r="D202" s="34">
        <v>3970124</v>
      </c>
      <c r="E202" s="84"/>
      <c r="H202" s="83" t="s">
        <v>1554</v>
      </c>
      <c r="K202" s="83"/>
      <c r="M202" s="83">
        <v>0</v>
      </c>
      <c r="P202" s="83">
        <v>46000</v>
      </c>
      <c r="S202" s="83">
        <v>36000</v>
      </c>
      <c r="V202" s="83">
        <v>20000</v>
      </c>
      <c r="W202" s="138">
        <f t="shared" si="7"/>
        <v>102000</v>
      </c>
    </row>
    <row r="203" spans="1:23" x14ac:dyDescent="0.25">
      <c r="B203" s="83" t="s">
        <v>799</v>
      </c>
      <c r="C203" s="83" t="s">
        <v>388</v>
      </c>
      <c r="D203" s="34">
        <v>3970124</v>
      </c>
      <c r="E203" s="84"/>
      <c r="H203" s="83" t="s">
        <v>1554</v>
      </c>
      <c r="K203" s="83"/>
      <c r="M203" s="83">
        <v>0</v>
      </c>
      <c r="P203" s="83">
        <v>0</v>
      </c>
      <c r="S203" s="83">
        <v>1000</v>
      </c>
      <c r="V203" s="83">
        <v>0</v>
      </c>
      <c r="W203" s="138">
        <f t="shared" si="7"/>
        <v>1000</v>
      </c>
    </row>
    <row r="204" spans="1:23" x14ac:dyDescent="0.25">
      <c r="B204" s="83" t="s">
        <v>1178</v>
      </c>
      <c r="C204" s="83" t="s">
        <v>1180</v>
      </c>
      <c r="D204" s="34">
        <v>3970124</v>
      </c>
      <c r="E204" s="84"/>
      <c r="H204" s="83" t="s">
        <v>1554</v>
      </c>
      <c r="K204" s="83"/>
      <c r="M204" s="83">
        <v>11000</v>
      </c>
      <c r="P204" s="83">
        <v>13000</v>
      </c>
      <c r="S204" s="83">
        <v>13000</v>
      </c>
      <c r="V204" s="83">
        <v>9000</v>
      </c>
      <c r="W204" s="138">
        <f t="shared" si="7"/>
        <v>46000</v>
      </c>
    </row>
    <row r="205" spans="1:23" x14ac:dyDescent="0.25">
      <c r="B205" s="83" t="s">
        <v>1311</v>
      </c>
      <c r="C205" s="83" t="s">
        <v>1315</v>
      </c>
      <c r="D205" s="34">
        <v>3970124</v>
      </c>
      <c r="E205" s="84"/>
      <c r="H205" s="83" t="s">
        <v>1554</v>
      </c>
      <c r="K205" s="83"/>
      <c r="M205" s="83">
        <v>73000</v>
      </c>
      <c r="P205" s="83">
        <v>26000</v>
      </c>
      <c r="S205" s="83">
        <v>43000</v>
      </c>
      <c r="V205" s="83">
        <v>5000</v>
      </c>
      <c r="W205" s="138">
        <f t="shared" si="7"/>
        <v>147000</v>
      </c>
    </row>
    <row r="206" spans="1:23" x14ac:dyDescent="0.25">
      <c r="B206" s="83" t="s">
        <v>799</v>
      </c>
      <c r="C206" s="83" t="s">
        <v>388</v>
      </c>
      <c r="D206" s="34">
        <v>3970124</v>
      </c>
      <c r="E206" s="84"/>
      <c r="H206" s="83" t="s">
        <v>1554</v>
      </c>
      <c r="K206" s="83"/>
      <c r="M206" s="83">
        <v>0</v>
      </c>
      <c r="P206" s="83">
        <v>0</v>
      </c>
      <c r="S206" s="83">
        <v>1000</v>
      </c>
      <c r="V206" s="83">
        <v>0</v>
      </c>
      <c r="W206" s="138">
        <f t="shared" si="7"/>
        <v>1000</v>
      </c>
    </row>
    <row r="207" spans="1:23" x14ac:dyDescent="0.25">
      <c r="B207" s="83" t="s">
        <v>803</v>
      </c>
      <c r="C207" s="83" t="s">
        <v>497</v>
      </c>
      <c r="D207" s="34">
        <v>3970124</v>
      </c>
      <c r="E207" s="84"/>
      <c r="H207" s="83" t="s">
        <v>1554</v>
      </c>
      <c r="K207" s="83"/>
      <c r="M207" s="83">
        <v>0</v>
      </c>
      <c r="P207" s="83">
        <v>0</v>
      </c>
      <c r="S207" s="83">
        <v>1000</v>
      </c>
      <c r="V207" s="83">
        <v>0</v>
      </c>
      <c r="W207" s="138">
        <f t="shared" si="7"/>
        <v>1000</v>
      </c>
    </row>
    <row r="208" spans="1:23" x14ac:dyDescent="0.25">
      <c r="A208" s="29"/>
      <c r="B208" s="29" t="s">
        <v>1919</v>
      </c>
      <c r="C208" s="29" t="s">
        <v>1907</v>
      </c>
      <c r="D208" s="34">
        <v>3970124</v>
      </c>
      <c r="E208" s="32"/>
      <c r="H208" s="83" t="s">
        <v>1554</v>
      </c>
      <c r="I208" s="83">
        <v>85</v>
      </c>
      <c r="K208" s="83"/>
      <c r="M208" s="83">
        <v>0</v>
      </c>
      <c r="P208" s="83">
        <v>0</v>
      </c>
      <c r="S208" s="83">
        <v>0</v>
      </c>
      <c r="V208" s="83">
        <v>0</v>
      </c>
      <c r="W208" s="138">
        <f t="shared" si="7"/>
        <v>0</v>
      </c>
    </row>
    <row r="209" spans="1:23" x14ac:dyDescent="0.25">
      <c r="A209" s="24"/>
      <c r="B209" s="83" t="s">
        <v>1289</v>
      </c>
      <c r="C209" s="24" t="s">
        <v>1916</v>
      </c>
      <c r="D209" s="34">
        <v>3970055</v>
      </c>
      <c r="H209" s="83" t="s">
        <v>1554</v>
      </c>
      <c r="K209" s="83"/>
      <c r="M209" s="83">
        <v>8000</v>
      </c>
      <c r="P209" s="83">
        <v>8000</v>
      </c>
      <c r="S209" s="83">
        <v>7000</v>
      </c>
      <c r="V209" s="83">
        <v>8000</v>
      </c>
      <c r="W209" s="138">
        <f t="shared" si="7"/>
        <v>31000</v>
      </c>
    </row>
    <row r="210" spans="1:23" x14ac:dyDescent="0.25">
      <c r="B210" s="83" t="s">
        <v>958</v>
      </c>
      <c r="C210" s="83" t="s">
        <v>962</v>
      </c>
      <c r="D210" s="34">
        <v>3970055</v>
      </c>
      <c r="H210" s="83" t="s">
        <v>1554</v>
      </c>
      <c r="K210" s="83"/>
      <c r="M210" s="83">
        <v>10000</v>
      </c>
      <c r="P210" s="83">
        <v>17000</v>
      </c>
      <c r="S210" s="83">
        <v>15000</v>
      </c>
      <c r="V210" s="83">
        <v>12000</v>
      </c>
      <c r="W210" s="138">
        <f t="shared" si="7"/>
        <v>54000</v>
      </c>
    </row>
    <row r="211" spans="1:23" x14ac:dyDescent="0.25">
      <c r="B211" s="83" t="s">
        <v>958</v>
      </c>
      <c r="C211" s="83" t="s">
        <v>966</v>
      </c>
      <c r="D211" s="34">
        <v>3970055</v>
      </c>
      <c r="H211" s="83" t="s">
        <v>1554</v>
      </c>
      <c r="I211" s="83">
        <v>86</v>
      </c>
      <c r="K211" s="83"/>
      <c r="M211" s="142">
        <v>0</v>
      </c>
      <c r="P211" s="83">
        <v>0</v>
      </c>
      <c r="S211" s="83">
        <v>0</v>
      </c>
      <c r="V211" s="83">
        <v>0</v>
      </c>
      <c r="W211" s="138">
        <f t="shared" si="7"/>
        <v>0</v>
      </c>
    </row>
    <row r="212" spans="1:23" x14ac:dyDescent="0.25">
      <c r="B212" s="83" t="s">
        <v>514</v>
      </c>
      <c r="C212" s="83" t="s">
        <v>515</v>
      </c>
      <c r="D212" s="83">
        <v>4370010</v>
      </c>
      <c r="H212" s="83" t="s">
        <v>1554</v>
      </c>
      <c r="I212" s="83">
        <v>87</v>
      </c>
      <c r="K212" s="83"/>
      <c r="M212" s="83">
        <v>44000</v>
      </c>
      <c r="P212" s="83">
        <v>69000</v>
      </c>
      <c r="S212" s="83">
        <v>35000</v>
      </c>
      <c r="V212" s="83">
        <v>19000</v>
      </c>
      <c r="W212" s="138">
        <f t="shared" si="7"/>
        <v>167000</v>
      </c>
    </row>
    <row r="213" spans="1:23" x14ac:dyDescent="0.25">
      <c r="B213" s="83" t="s">
        <v>505</v>
      </c>
      <c r="C213" s="83" t="s">
        <v>508</v>
      </c>
      <c r="D213" s="83">
        <v>4370020</v>
      </c>
      <c r="H213" s="83" t="s">
        <v>1554</v>
      </c>
      <c r="I213" s="83">
        <v>88</v>
      </c>
      <c r="K213" s="83"/>
      <c r="M213" s="83">
        <v>31000</v>
      </c>
      <c r="P213" s="83">
        <v>89000</v>
      </c>
      <c r="S213" s="83">
        <v>53000</v>
      </c>
      <c r="V213" s="83">
        <v>21000</v>
      </c>
      <c r="W213" s="138">
        <f t="shared" si="7"/>
        <v>194000</v>
      </c>
    </row>
    <row r="214" spans="1:23" x14ac:dyDescent="0.25">
      <c r="B214" s="83" t="s">
        <v>517</v>
      </c>
      <c r="C214" s="83" t="s">
        <v>518</v>
      </c>
      <c r="D214" s="83">
        <v>4370030</v>
      </c>
      <c r="H214" s="83" t="s">
        <v>1554</v>
      </c>
      <c r="I214" s="83">
        <v>89</v>
      </c>
      <c r="K214" s="83"/>
      <c r="M214" s="83">
        <v>9000</v>
      </c>
      <c r="P214" s="83">
        <v>23000</v>
      </c>
      <c r="S214" s="83">
        <v>49000</v>
      </c>
      <c r="V214" s="83">
        <v>19000</v>
      </c>
      <c r="W214" s="138">
        <f t="shared" si="7"/>
        <v>100000</v>
      </c>
    </row>
    <row r="215" spans="1:23" x14ac:dyDescent="0.25">
      <c r="B215" s="83" t="s">
        <v>510</v>
      </c>
      <c r="C215" s="83" t="s">
        <v>512</v>
      </c>
      <c r="D215" s="83">
        <v>4370040</v>
      </c>
      <c r="H215" s="83" t="s">
        <v>1554</v>
      </c>
      <c r="I215" s="83">
        <v>90</v>
      </c>
      <c r="K215" s="83"/>
      <c r="M215" s="83">
        <v>29000</v>
      </c>
      <c r="P215" s="83">
        <v>104000</v>
      </c>
      <c r="S215" s="83">
        <v>51000</v>
      </c>
      <c r="V215" s="83">
        <v>12000</v>
      </c>
      <c r="W215" s="138">
        <f t="shared" si="7"/>
        <v>196000</v>
      </c>
    </row>
    <row r="216" spans="1:23" x14ac:dyDescent="0.25">
      <c r="B216" s="83" t="s">
        <v>1322</v>
      </c>
      <c r="C216" s="83" t="s">
        <v>1326</v>
      </c>
      <c r="D216" s="34">
        <v>4370050</v>
      </c>
      <c r="H216" s="83" t="s">
        <v>1554</v>
      </c>
      <c r="I216" s="83">
        <v>91</v>
      </c>
      <c r="K216" s="83"/>
      <c r="M216" s="83">
        <v>12000</v>
      </c>
      <c r="P216" s="83">
        <v>70000</v>
      </c>
      <c r="S216" s="83">
        <v>23000</v>
      </c>
      <c r="V216" s="83">
        <v>17000</v>
      </c>
      <c r="W216" s="138">
        <f t="shared" ref="W216:W220" si="8">SUM(M216+P216+S216+V216)</f>
        <v>122000</v>
      </c>
    </row>
    <row r="217" spans="1:23" x14ac:dyDescent="0.25">
      <c r="A217" s="29"/>
      <c r="B217" s="29" t="s">
        <v>1922</v>
      </c>
      <c r="C217" s="29" t="s">
        <v>1921</v>
      </c>
      <c r="D217" s="34">
        <v>4380007</v>
      </c>
      <c r="H217" s="83" t="s">
        <v>1554</v>
      </c>
      <c r="I217" s="83">
        <v>92</v>
      </c>
      <c r="K217" s="83"/>
      <c r="M217" s="83">
        <v>4000</v>
      </c>
      <c r="P217" s="83">
        <v>6000</v>
      </c>
      <c r="S217" s="83">
        <v>6000</v>
      </c>
      <c r="V217" s="83">
        <v>5000</v>
      </c>
      <c r="W217" s="138">
        <f t="shared" si="8"/>
        <v>21000</v>
      </c>
    </row>
    <row r="218" spans="1:23" x14ac:dyDescent="0.25">
      <c r="A218" s="29"/>
      <c r="B218" s="29" t="s">
        <v>1925</v>
      </c>
      <c r="C218" s="29" t="s">
        <v>1924</v>
      </c>
      <c r="D218" s="34">
        <v>4320150</v>
      </c>
      <c r="H218" s="83" t="s">
        <v>1554</v>
      </c>
      <c r="K218" s="83"/>
      <c r="M218" s="83">
        <v>114000</v>
      </c>
      <c r="P218" s="83">
        <v>67000</v>
      </c>
      <c r="S218" s="83">
        <v>62000</v>
      </c>
      <c r="V218" s="83">
        <v>43000</v>
      </c>
      <c r="W218" s="138">
        <f t="shared" si="8"/>
        <v>286000</v>
      </c>
    </row>
    <row r="219" spans="1:23" x14ac:dyDescent="0.25">
      <c r="A219" s="29"/>
      <c r="B219" s="29" t="s">
        <v>1925</v>
      </c>
      <c r="C219" s="29" t="s">
        <v>1924</v>
      </c>
      <c r="D219" s="34">
        <v>4320150</v>
      </c>
      <c r="H219" s="83" t="s">
        <v>1554</v>
      </c>
      <c r="I219" s="83">
        <v>93</v>
      </c>
      <c r="K219" s="83"/>
      <c r="M219" s="83">
        <v>141000</v>
      </c>
      <c r="P219" s="83">
        <v>72000</v>
      </c>
      <c r="S219" s="83">
        <v>82000</v>
      </c>
      <c r="V219" s="83">
        <v>59000</v>
      </c>
      <c r="W219" s="138">
        <f t="shared" si="8"/>
        <v>354000</v>
      </c>
    </row>
    <row r="220" spans="1:23" x14ac:dyDescent="0.25">
      <c r="A220" s="29"/>
      <c r="B220" s="29" t="s">
        <v>1930</v>
      </c>
      <c r="C220" s="29" t="s">
        <v>1929</v>
      </c>
      <c r="D220" s="34">
        <v>4500009</v>
      </c>
      <c r="H220" s="83" t="s">
        <v>1554</v>
      </c>
      <c r="I220" s="83">
        <v>94</v>
      </c>
      <c r="K220" s="83"/>
      <c r="M220" s="142">
        <v>6000</v>
      </c>
      <c r="P220" s="83">
        <v>7000</v>
      </c>
      <c r="S220" s="83">
        <v>12000</v>
      </c>
      <c r="V220" s="83">
        <v>62000</v>
      </c>
      <c r="W220" s="138">
        <f t="shared" si="8"/>
        <v>87000</v>
      </c>
    </row>
    <row r="221" spans="1:23" x14ac:dyDescent="0.25">
      <c r="B221" s="29"/>
      <c r="C221" s="29" t="s">
        <v>1932</v>
      </c>
      <c r="D221" s="34">
        <v>4500021</v>
      </c>
      <c r="H221" s="83" t="s">
        <v>1554</v>
      </c>
      <c r="I221" s="83">
        <v>95</v>
      </c>
      <c r="K221" s="83"/>
      <c r="M221" s="142">
        <v>0</v>
      </c>
      <c r="P221" s="83">
        <v>0</v>
      </c>
      <c r="S221" s="83">
        <v>0</v>
      </c>
      <c r="V221" s="83">
        <v>100000</v>
      </c>
      <c r="W221" s="138">
        <v>100000</v>
      </c>
    </row>
    <row r="222" spans="1:23" x14ac:dyDescent="0.25">
      <c r="B222" s="29" t="s">
        <v>1934</v>
      </c>
      <c r="C222" s="83" t="s">
        <v>552</v>
      </c>
      <c r="D222" s="34">
        <v>4500022</v>
      </c>
      <c r="H222" s="83" t="s">
        <v>1554</v>
      </c>
      <c r="I222" s="83">
        <v>96</v>
      </c>
      <c r="K222" s="83"/>
      <c r="M222" s="142">
        <v>0</v>
      </c>
      <c r="P222" s="83">
        <v>0</v>
      </c>
      <c r="S222" s="83">
        <v>0</v>
      </c>
      <c r="V222" s="83">
        <v>136000</v>
      </c>
      <c r="W222" s="138">
        <v>136000</v>
      </c>
    </row>
    <row r="223" spans="1:23" x14ac:dyDescent="0.25">
      <c r="A223" s="29"/>
      <c r="B223" s="29" t="s">
        <v>1938</v>
      </c>
      <c r="C223" s="29" t="s">
        <v>1937</v>
      </c>
      <c r="D223" s="34">
        <v>4500029</v>
      </c>
      <c r="H223" s="83" t="s">
        <v>1554</v>
      </c>
      <c r="I223" s="83">
        <v>97</v>
      </c>
      <c r="K223" s="83"/>
      <c r="M223" s="83">
        <v>14000</v>
      </c>
      <c r="P223" s="83">
        <v>61000</v>
      </c>
      <c r="S223" s="83">
        <v>23000</v>
      </c>
      <c r="V223" s="83">
        <v>9000</v>
      </c>
      <c r="W223" s="138">
        <f>SUM(M223+P223+S223+V223)</f>
        <v>107000</v>
      </c>
    </row>
    <row r="224" spans="1:23" x14ac:dyDescent="0.25">
      <c r="A224" s="29"/>
      <c r="B224" s="29" t="s">
        <v>1941</v>
      </c>
      <c r="C224" s="29" t="s">
        <v>1940</v>
      </c>
      <c r="D224" s="34">
        <v>4500035</v>
      </c>
      <c r="H224" s="83" t="s">
        <v>1554</v>
      </c>
      <c r="I224" s="83">
        <v>98</v>
      </c>
      <c r="K224" s="83"/>
      <c r="M224" s="83">
        <v>17000</v>
      </c>
      <c r="P224" s="83">
        <v>11000</v>
      </c>
      <c r="S224" s="83">
        <v>8000</v>
      </c>
      <c r="V224" s="83">
        <v>15000</v>
      </c>
      <c r="W224" s="138">
        <f>SUM(M224+P224+S224+V224)</f>
        <v>51000</v>
      </c>
    </row>
    <row r="225" spans="1:23" x14ac:dyDescent="0.25">
      <c r="A225" s="29"/>
      <c r="B225" s="29" t="s">
        <v>1944</v>
      </c>
      <c r="C225" s="29" t="s">
        <v>1943</v>
      </c>
      <c r="D225" s="34">
        <v>4500040</v>
      </c>
      <c r="H225" s="83" t="s">
        <v>1554</v>
      </c>
      <c r="I225" s="83">
        <v>99</v>
      </c>
      <c r="K225" s="83"/>
      <c r="M225" s="83">
        <v>15000</v>
      </c>
      <c r="P225" s="83">
        <v>90000</v>
      </c>
      <c r="S225" s="83">
        <v>45000</v>
      </c>
      <c r="V225" s="83">
        <v>3000</v>
      </c>
      <c r="W225" s="138">
        <f>SUM(M225+P225+S225+V225)</f>
        <v>153000</v>
      </c>
    </row>
    <row r="226" spans="1:23" x14ac:dyDescent="0.25">
      <c r="A226" s="29"/>
      <c r="B226" s="29" t="s">
        <v>1871</v>
      </c>
      <c r="C226" s="29" t="s">
        <v>1946</v>
      </c>
      <c r="D226" s="34">
        <v>4500059</v>
      </c>
      <c r="H226" s="83" t="s">
        <v>1554</v>
      </c>
      <c r="I226" s="83">
        <v>100</v>
      </c>
      <c r="K226" s="83"/>
      <c r="M226" s="83">
        <v>187000</v>
      </c>
      <c r="P226" s="83">
        <v>102000</v>
      </c>
      <c r="S226" s="83">
        <v>145000</v>
      </c>
      <c r="V226" s="83">
        <v>137000</v>
      </c>
      <c r="W226" s="138">
        <f>SUM(M226+P226+S226+V226)</f>
        <v>571000</v>
      </c>
    </row>
    <row r="227" spans="1:23" x14ac:dyDescent="0.25">
      <c r="A227" s="29"/>
      <c r="B227" s="29" t="s">
        <v>1949</v>
      </c>
      <c r="C227" s="29" t="s">
        <v>1948</v>
      </c>
      <c r="D227" s="24">
        <v>4520015</v>
      </c>
      <c r="H227" s="83" t="s">
        <v>1554</v>
      </c>
      <c r="K227" s="83"/>
      <c r="M227" s="83">
        <v>58000</v>
      </c>
      <c r="P227" s="83">
        <v>48000</v>
      </c>
      <c r="S227" s="83">
        <v>50000</v>
      </c>
      <c r="V227" s="83">
        <v>53000</v>
      </c>
      <c r="W227" s="138">
        <f>SUM(M227+P227+S227+V227)</f>
        <v>209000</v>
      </c>
    </row>
    <row r="228" spans="1:23" x14ac:dyDescent="0.25">
      <c r="B228" s="29" t="s">
        <v>1951</v>
      </c>
      <c r="C228" s="83" t="s">
        <v>602</v>
      </c>
      <c r="D228" s="24">
        <v>4520015</v>
      </c>
      <c r="H228" s="83" t="s">
        <v>1554</v>
      </c>
      <c r="I228" s="83">
        <v>101</v>
      </c>
      <c r="K228" s="83"/>
      <c r="M228" s="142">
        <v>0</v>
      </c>
      <c r="P228" s="83">
        <v>0</v>
      </c>
      <c r="S228" s="83">
        <v>0</v>
      </c>
      <c r="V228" s="83">
        <v>1028000</v>
      </c>
      <c r="W228" s="138">
        <v>1028000</v>
      </c>
    </row>
    <row r="229" spans="1:23" x14ac:dyDescent="0.25">
      <c r="A229" s="29"/>
      <c r="B229" s="29" t="s">
        <v>1956</v>
      </c>
      <c r="C229" s="29" t="s">
        <v>1955</v>
      </c>
      <c r="D229" s="24">
        <v>4520012</v>
      </c>
      <c r="H229" s="83" t="s">
        <v>1554</v>
      </c>
      <c r="I229" s="83">
        <v>102</v>
      </c>
      <c r="K229" s="83"/>
      <c r="M229" s="83">
        <v>3000</v>
      </c>
      <c r="P229" s="83">
        <v>3000</v>
      </c>
      <c r="S229" s="83">
        <v>2000</v>
      </c>
      <c r="V229" s="83">
        <v>76650</v>
      </c>
      <c r="W229" s="138">
        <v>76650</v>
      </c>
    </row>
    <row r="230" spans="1:23" x14ac:dyDescent="0.25">
      <c r="A230" s="29"/>
      <c r="B230" s="29" t="s">
        <v>1959</v>
      </c>
      <c r="C230" s="29" t="s">
        <v>1958</v>
      </c>
      <c r="D230" s="24">
        <v>4520018</v>
      </c>
      <c r="H230" s="83" t="s">
        <v>1554</v>
      </c>
      <c r="I230" s="83">
        <v>103</v>
      </c>
      <c r="K230" s="83"/>
      <c r="M230" s="83">
        <v>67000</v>
      </c>
      <c r="P230" s="83">
        <v>15000</v>
      </c>
      <c r="S230" s="83">
        <v>11000</v>
      </c>
      <c r="V230" s="83">
        <v>23000</v>
      </c>
      <c r="W230" s="138">
        <f t="shared" ref="W230:W250" si="9">SUM(M230+P230+S230+V230)</f>
        <v>116000</v>
      </c>
    </row>
    <row r="231" spans="1:23" x14ac:dyDescent="0.25">
      <c r="A231" s="29"/>
      <c r="B231" s="29" t="s">
        <v>1962</v>
      </c>
      <c r="C231" s="29" t="s">
        <v>1961</v>
      </c>
      <c r="D231" s="24">
        <v>4520020</v>
      </c>
      <c r="H231" s="83" t="s">
        <v>1554</v>
      </c>
      <c r="I231" s="83">
        <v>104</v>
      </c>
      <c r="K231" s="83"/>
      <c r="M231" s="83">
        <v>52000</v>
      </c>
      <c r="P231" s="83">
        <v>49000</v>
      </c>
      <c r="S231" s="83">
        <v>118000</v>
      </c>
      <c r="V231" s="83">
        <v>44000</v>
      </c>
      <c r="W231" s="138">
        <f t="shared" si="9"/>
        <v>263000</v>
      </c>
    </row>
    <row r="232" spans="1:23" x14ac:dyDescent="0.25">
      <c r="A232" s="29"/>
      <c r="B232" s="29" t="s">
        <v>1965</v>
      </c>
      <c r="C232" s="29" t="s">
        <v>1964</v>
      </c>
      <c r="D232" s="24">
        <v>4520046</v>
      </c>
      <c r="H232" s="83" t="s">
        <v>1554</v>
      </c>
      <c r="I232" s="83">
        <v>105</v>
      </c>
      <c r="K232" s="83"/>
      <c r="M232" s="83">
        <v>17000</v>
      </c>
      <c r="P232" s="83">
        <v>20000</v>
      </c>
      <c r="S232" s="83">
        <v>18000</v>
      </c>
      <c r="V232" s="83">
        <v>18000</v>
      </c>
      <c r="W232" s="138">
        <f t="shared" si="9"/>
        <v>73000</v>
      </c>
    </row>
    <row r="233" spans="1:23" x14ac:dyDescent="0.25">
      <c r="A233" s="29"/>
      <c r="B233" s="24" t="s">
        <v>1373</v>
      </c>
      <c r="C233" s="29" t="s">
        <v>1967</v>
      </c>
      <c r="D233" s="24">
        <v>4520054</v>
      </c>
      <c r="H233" s="83" t="s">
        <v>1554</v>
      </c>
      <c r="K233" s="83"/>
      <c r="M233" s="83">
        <v>1000</v>
      </c>
      <c r="P233" s="83">
        <v>2000</v>
      </c>
      <c r="S233" s="83">
        <v>2000</v>
      </c>
      <c r="V233" s="83">
        <v>2000</v>
      </c>
      <c r="W233" s="138">
        <f t="shared" si="9"/>
        <v>7000</v>
      </c>
    </row>
    <row r="234" spans="1:23" x14ac:dyDescent="0.25">
      <c r="A234" s="29"/>
      <c r="B234" s="83" t="s">
        <v>1092</v>
      </c>
      <c r="C234" s="29" t="s">
        <v>1967</v>
      </c>
      <c r="D234" s="24">
        <v>4520054</v>
      </c>
      <c r="H234" s="83" t="s">
        <v>1554</v>
      </c>
      <c r="K234" s="83"/>
      <c r="M234" s="83">
        <v>118000</v>
      </c>
      <c r="P234" s="83">
        <v>114000</v>
      </c>
      <c r="S234" s="83">
        <v>101000</v>
      </c>
      <c r="V234" s="83">
        <v>193000</v>
      </c>
      <c r="W234" s="138">
        <f t="shared" si="9"/>
        <v>526000</v>
      </c>
    </row>
    <row r="235" spans="1:23" x14ac:dyDescent="0.25">
      <c r="A235" s="29"/>
      <c r="B235" s="83" t="s">
        <v>1092</v>
      </c>
      <c r="C235" s="29" t="s">
        <v>1967</v>
      </c>
      <c r="D235" s="24">
        <v>4520054</v>
      </c>
      <c r="H235" s="83" t="s">
        <v>1554</v>
      </c>
      <c r="K235" s="83"/>
      <c r="M235" s="83">
        <v>124000</v>
      </c>
      <c r="P235" s="83">
        <v>119000</v>
      </c>
      <c r="S235" s="83">
        <v>105000</v>
      </c>
      <c r="V235" s="83">
        <v>202000</v>
      </c>
      <c r="W235" s="138">
        <f t="shared" si="9"/>
        <v>550000</v>
      </c>
    </row>
    <row r="236" spans="1:23" x14ac:dyDescent="0.25">
      <c r="A236" s="29"/>
      <c r="B236" s="83" t="s">
        <v>1095</v>
      </c>
      <c r="C236" s="29" t="s">
        <v>1967</v>
      </c>
      <c r="D236" s="24">
        <v>4520054</v>
      </c>
      <c r="H236" s="83" t="s">
        <v>1554</v>
      </c>
      <c r="K236" s="83"/>
      <c r="M236" s="83">
        <v>0</v>
      </c>
      <c r="P236" s="83">
        <v>0</v>
      </c>
      <c r="S236" s="83">
        <v>0</v>
      </c>
      <c r="V236" s="83">
        <v>0</v>
      </c>
      <c r="W236" s="138">
        <f t="shared" si="9"/>
        <v>0</v>
      </c>
    </row>
    <row r="237" spans="1:23" x14ac:dyDescent="0.25">
      <c r="A237" s="29"/>
      <c r="B237" s="83" t="s">
        <v>1097</v>
      </c>
      <c r="C237" s="29" t="s">
        <v>1967</v>
      </c>
      <c r="D237" s="24">
        <v>4520054</v>
      </c>
      <c r="H237" s="83" t="s">
        <v>1554</v>
      </c>
      <c r="K237" s="83"/>
      <c r="M237" s="83">
        <v>6000</v>
      </c>
      <c r="P237" s="83">
        <v>6000</v>
      </c>
      <c r="S237" s="83">
        <v>7000</v>
      </c>
      <c r="V237" s="83">
        <v>5000</v>
      </c>
      <c r="W237" s="138">
        <f t="shared" si="9"/>
        <v>24000</v>
      </c>
    </row>
    <row r="238" spans="1:23" x14ac:dyDescent="0.25">
      <c r="A238" s="29"/>
      <c r="B238" s="29" t="s">
        <v>1969</v>
      </c>
      <c r="C238" s="29" t="s">
        <v>1967</v>
      </c>
      <c r="D238" s="24">
        <v>4520054</v>
      </c>
      <c r="H238" s="83" t="s">
        <v>1554</v>
      </c>
      <c r="I238" s="83">
        <v>106</v>
      </c>
      <c r="K238" s="83"/>
      <c r="M238" s="85">
        <v>0</v>
      </c>
      <c r="P238" s="85">
        <v>0</v>
      </c>
      <c r="S238" s="85">
        <v>0</v>
      </c>
      <c r="V238" s="85">
        <v>0</v>
      </c>
      <c r="W238" s="138">
        <f t="shared" si="9"/>
        <v>0</v>
      </c>
    </row>
    <row r="239" spans="1:23" x14ac:dyDescent="0.25">
      <c r="A239" s="29"/>
      <c r="B239" s="83" t="s">
        <v>563</v>
      </c>
      <c r="C239" s="29" t="s">
        <v>1971</v>
      </c>
      <c r="D239" s="24">
        <v>4520395</v>
      </c>
      <c r="H239" s="83" t="s">
        <v>1554</v>
      </c>
      <c r="K239" s="83"/>
      <c r="M239" s="83">
        <v>2000</v>
      </c>
      <c r="P239" s="83">
        <v>3000</v>
      </c>
      <c r="S239" s="83">
        <v>2000</v>
      </c>
      <c r="V239" s="83">
        <v>9000</v>
      </c>
      <c r="W239" s="138">
        <f t="shared" si="9"/>
        <v>16000</v>
      </c>
    </row>
    <row r="240" spans="1:23" x14ac:dyDescent="0.25">
      <c r="A240" s="29"/>
      <c r="B240" s="83" t="s">
        <v>125</v>
      </c>
      <c r="C240" s="29" t="s">
        <v>1971</v>
      </c>
      <c r="D240" s="24">
        <v>4520395</v>
      </c>
      <c r="H240" s="83" t="s">
        <v>1554</v>
      </c>
      <c r="K240" s="83"/>
      <c r="M240" s="83">
        <v>2000</v>
      </c>
      <c r="P240" s="83">
        <v>2000</v>
      </c>
      <c r="S240" s="83">
        <v>1000</v>
      </c>
      <c r="V240" s="83">
        <v>1000</v>
      </c>
      <c r="W240" s="138">
        <f t="shared" si="9"/>
        <v>6000</v>
      </c>
    </row>
    <row r="241" spans="1:23" x14ac:dyDescent="0.25">
      <c r="A241" s="29"/>
      <c r="B241" s="83" t="s">
        <v>570</v>
      </c>
      <c r="C241" s="29" t="s">
        <v>1971</v>
      </c>
      <c r="D241" s="24">
        <v>4520395</v>
      </c>
      <c r="H241" s="83" t="s">
        <v>1554</v>
      </c>
      <c r="K241" s="83"/>
      <c r="M241" s="83">
        <v>7000</v>
      </c>
      <c r="P241" s="83">
        <v>9000</v>
      </c>
      <c r="S241" s="83">
        <v>8000</v>
      </c>
      <c r="V241" s="83">
        <v>8000</v>
      </c>
      <c r="W241" s="138">
        <f t="shared" si="9"/>
        <v>32000</v>
      </c>
    </row>
    <row r="242" spans="1:23" x14ac:dyDescent="0.25">
      <c r="A242" s="29"/>
      <c r="B242" s="83" t="s">
        <v>125</v>
      </c>
      <c r="C242" s="29" t="s">
        <v>1971</v>
      </c>
      <c r="D242" s="24">
        <v>4520395</v>
      </c>
      <c r="H242" s="83" t="s">
        <v>1554</v>
      </c>
      <c r="K242" s="83"/>
      <c r="M242" s="83">
        <v>0</v>
      </c>
      <c r="P242" s="83">
        <v>1000</v>
      </c>
      <c r="S242" s="83">
        <v>0</v>
      </c>
      <c r="V242" s="83">
        <v>0</v>
      </c>
      <c r="W242" s="138">
        <f t="shared" si="9"/>
        <v>1000</v>
      </c>
    </row>
    <row r="243" spans="1:23" x14ac:dyDescent="0.25">
      <c r="A243" s="29"/>
      <c r="B243" s="83" t="s">
        <v>125</v>
      </c>
      <c r="C243" s="29" t="s">
        <v>1971</v>
      </c>
      <c r="D243" s="24">
        <v>4520395</v>
      </c>
      <c r="H243" s="83" t="s">
        <v>1554</v>
      </c>
      <c r="K243" s="83"/>
      <c r="M243" s="83">
        <v>10000</v>
      </c>
      <c r="P243" s="83">
        <v>8000</v>
      </c>
      <c r="S243" s="83">
        <v>27000</v>
      </c>
      <c r="V243" s="83">
        <v>16000</v>
      </c>
      <c r="W243" s="138">
        <f t="shared" si="9"/>
        <v>61000</v>
      </c>
    </row>
    <row r="244" spans="1:23" x14ac:dyDescent="0.25">
      <c r="A244" s="29"/>
      <c r="B244" s="83" t="s">
        <v>125</v>
      </c>
      <c r="C244" s="29" t="s">
        <v>1971</v>
      </c>
      <c r="D244" s="24">
        <v>4520395</v>
      </c>
      <c r="H244" s="83" t="s">
        <v>1554</v>
      </c>
      <c r="I244" s="83">
        <v>107</v>
      </c>
      <c r="K244" s="83"/>
      <c r="M244" s="83">
        <v>0</v>
      </c>
      <c r="P244" s="83">
        <v>1000</v>
      </c>
      <c r="S244" s="83">
        <v>0</v>
      </c>
      <c r="V244" s="83">
        <v>0</v>
      </c>
      <c r="W244" s="138">
        <f t="shared" si="9"/>
        <v>1000</v>
      </c>
    </row>
    <row r="245" spans="1:23" x14ac:dyDescent="0.25">
      <c r="A245" s="29"/>
      <c r="B245" s="83" t="s">
        <v>607</v>
      </c>
      <c r="C245" s="29" t="s">
        <v>1977</v>
      </c>
      <c r="D245" s="24">
        <v>4520427</v>
      </c>
      <c r="H245" s="83" t="s">
        <v>1554</v>
      </c>
      <c r="K245" s="83"/>
      <c r="M245" s="83">
        <v>24000</v>
      </c>
      <c r="P245" s="83">
        <v>24000</v>
      </c>
      <c r="S245" s="83">
        <v>26000</v>
      </c>
      <c r="V245" s="83">
        <v>21000</v>
      </c>
      <c r="W245" s="138">
        <f t="shared" si="9"/>
        <v>95000</v>
      </c>
    </row>
    <row r="246" spans="1:23" x14ac:dyDescent="0.25">
      <c r="A246" s="29"/>
      <c r="B246" s="83" t="s">
        <v>611</v>
      </c>
      <c r="C246" s="29" t="s">
        <v>1977</v>
      </c>
      <c r="D246" s="24">
        <v>4520427</v>
      </c>
      <c r="H246" s="83" t="s">
        <v>1554</v>
      </c>
      <c r="K246" s="83"/>
      <c r="M246" s="83">
        <v>12000</v>
      </c>
      <c r="P246" s="83">
        <v>18000</v>
      </c>
      <c r="S246" s="83">
        <v>15000</v>
      </c>
      <c r="V246" s="83">
        <v>10000</v>
      </c>
      <c r="W246" s="138">
        <f t="shared" si="9"/>
        <v>55000</v>
      </c>
    </row>
    <row r="247" spans="1:23" x14ac:dyDescent="0.25">
      <c r="A247" s="29"/>
      <c r="B247" s="83" t="s">
        <v>614</v>
      </c>
      <c r="C247" s="29" t="s">
        <v>1977</v>
      </c>
      <c r="D247" s="24">
        <v>4520427</v>
      </c>
      <c r="H247" s="83" t="s">
        <v>1554</v>
      </c>
      <c r="K247" s="83"/>
      <c r="M247" s="83">
        <v>1000</v>
      </c>
      <c r="P247" s="83">
        <v>1000</v>
      </c>
      <c r="S247" s="83">
        <v>0</v>
      </c>
      <c r="V247" s="83">
        <v>1000</v>
      </c>
      <c r="W247" s="138">
        <f t="shared" si="9"/>
        <v>3000</v>
      </c>
    </row>
    <row r="248" spans="1:23" x14ac:dyDescent="0.25">
      <c r="A248" s="29"/>
      <c r="B248" s="83" t="s">
        <v>880</v>
      </c>
      <c r="C248" s="29" t="s">
        <v>1977</v>
      </c>
      <c r="D248" s="24">
        <v>4520427</v>
      </c>
      <c r="H248" s="83" t="s">
        <v>1554</v>
      </c>
      <c r="K248" s="83"/>
      <c r="M248" s="83">
        <v>3000</v>
      </c>
      <c r="P248" s="83">
        <v>3000</v>
      </c>
      <c r="S248" s="83">
        <v>3000</v>
      </c>
      <c r="V248" s="83">
        <v>3000</v>
      </c>
      <c r="W248" s="138">
        <f t="shared" si="9"/>
        <v>12000</v>
      </c>
    </row>
    <row r="249" spans="1:23" x14ac:dyDescent="0.25">
      <c r="A249" s="29"/>
      <c r="B249" s="83" t="s">
        <v>906</v>
      </c>
      <c r="C249" s="29" t="s">
        <v>1977</v>
      </c>
      <c r="D249" s="24">
        <v>4520427</v>
      </c>
      <c r="G249" s="83" t="s">
        <v>1570</v>
      </c>
      <c r="H249" s="83" t="s">
        <v>1554</v>
      </c>
      <c r="K249" s="83"/>
      <c r="M249" s="83">
        <v>172000</v>
      </c>
      <c r="P249" s="83">
        <v>250000</v>
      </c>
      <c r="S249" s="83">
        <v>15000</v>
      </c>
      <c r="V249" s="83">
        <v>0</v>
      </c>
      <c r="W249" s="138">
        <f t="shared" si="9"/>
        <v>437000</v>
      </c>
    </row>
    <row r="250" spans="1:23" x14ac:dyDescent="0.25">
      <c r="A250" s="29"/>
      <c r="B250" s="83" t="s">
        <v>1085</v>
      </c>
      <c r="C250" s="29" t="s">
        <v>1977</v>
      </c>
      <c r="D250" s="24">
        <v>4520427</v>
      </c>
      <c r="H250" s="83" t="s">
        <v>1554</v>
      </c>
      <c r="I250" s="83">
        <v>108</v>
      </c>
      <c r="K250" s="83"/>
      <c r="M250" s="83">
        <v>15000</v>
      </c>
      <c r="P250" s="83">
        <v>15000</v>
      </c>
      <c r="S250" s="83">
        <v>17000</v>
      </c>
      <c r="V250" s="83">
        <v>16000</v>
      </c>
      <c r="W250" s="138">
        <f t="shared" si="9"/>
        <v>63000</v>
      </c>
    </row>
    <row r="251" spans="1:23" x14ac:dyDescent="0.25">
      <c r="A251" s="29"/>
      <c r="B251" s="29" t="s">
        <v>1980</v>
      </c>
      <c r="C251" s="29" t="s">
        <v>1979</v>
      </c>
      <c r="D251" s="24">
        <v>4520590</v>
      </c>
      <c r="H251" s="83" t="s">
        <v>1554</v>
      </c>
      <c r="I251" s="83">
        <v>109</v>
      </c>
      <c r="K251" s="83"/>
      <c r="M251" s="142">
        <v>0</v>
      </c>
      <c r="P251" s="83">
        <v>0</v>
      </c>
      <c r="S251" s="83">
        <v>0</v>
      </c>
      <c r="V251" s="83">
        <v>157000</v>
      </c>
      <c r="W251" s="83">
        <v>157000</v>
      </c>
    </row>
    <row r="252" spans="1:23" x14ac:dyDescent="0.25">
      <c r="B252" s="29" t="s">
        <v>1983</v>
      </c>
      <c r="C252" s="83" t="s">
        <v>605</v>
      </c>
      <c r="D252" s="24">
        <v>4520652</v>
      </c>
      <c r="H252" s="83" t="s">
        <v>1554</v>
      </c>
      <c r="I252" s="83">
        <v>110</v>
      </c>
      <c r="K252" s="83"/>
      <c r="M252" s="142">
        <v>0</v>
      </c>
      <c r="P252" s="83">
        <v>0</v>
      </c>
      <c r="S252" s="83">
        <v>0</v>
      </c>
      <c r="V252" s="83">
        <v>3346000</v>
      </c>
      <c r="W252" s="83">
        <v>3346000</v>
      </c>
    </row>
    <row r="253" spans="1:23" x14ac:dyDescent="0.25">
      <c r="A253" s="29"/>
      <c r="B253" s="29" t="s">
        <v>1987</v>
      </c>
      <c r="C253" s="29" t="s">
        <v>1986</v>
      </c>
      <c r="D253" s="24">
        <v>4520490</v>
      </c>
      <c r="H253" s="83" t="s">
        <v>1554</v>
      </c>
      <c r="I253" s="83">
        <v>111</v>
      </c>
      <c r="K253" s="83"/>
      <c r="M253" s="83">
        <v>10000</v>
      </c>
      <c r="P253" s="83">
        <v>11000</v>
      </c>
      <c r="S253" s="83">
        <v>10000</v>
      </c>
      <c r="V253" s="83">
        <v>7000</v>
      </c>
      <c r="W253" s="138">
        <f t="shared" ref="W253:W260" si="10">SUM(M253+P253+S253+V253)</f>
        <v>38000</v>
      </c>
    </row>
    <row r="254" spans="1:23" x14ac:dyDescent="0.25">
      <c r="A254" s="29"/>
      <c r="B254" s="29" t="s">
        <v>1990</v>
      </c>
      <c r="C254" s="29" t="s">
        <v>1989</v>
      </c>
      <c r="D254" s="24">
        <v>4520510</v>
      </c>
      <c r="H254" s="83" t="s">
        <v>1554</v>
      </c>
      <c r="K254" s="83"/>
      <c r="M254" s="83">
        <v>232000</v>
      </c>
      <c r="P254" s="83">
        <v>111000</v>
      </c>
      <c r="S254" s="83">
        <v>164000</v>
      </c>
      <c r="V254" s="83">
        <v>118000</v>
      </c>
      <c r="W254" s="138">
        <f t="shared" si="10"/>
        <v>625000</v>
      </c>
    </row>
    <row r="255" spans="1:23" x14ac:dyDescent="0.25">
      <c r="A255" s="29"/>
      <c r="B255" s="29" t="s">
        <v>1877</v>
      </c>
      <c r="C255" s="29" t="s">
        <v>1989</v>
      </c>
      <c r="D255" s="24">
        <v>4520510</v>
      </c>
      <c r="H255" s="83" t="s">
        <v>1554</v>
      </c>
      <c r="K255" s="83"/>
      <c r="M255" s="83">
        <v>36000</v>
      </c>
      <c r="P255" s="83">
        <v>44000</v>
      </c>
      <c r="S255" s="83">
        <v>5000</v>
      </c>
      <c r="V255" s="83">
        <v>0</v>
      </c>
      <c r="W255" s="138">
        <f t="shared" si="10"/>
        <v>85000</v>
      </c>
    </row>
    <row r="256" spans="1:23" x14ac:dyDescent="0.25">
      <c r="A256" s="29"/>
      <c r="B256" s="83" t="s">
        <v>1503</v>
      </c>
      <c r="C256" s="29" t="s">
        <v>1989</v>
      </c>
      <c r="D256" s="24">
        <v>4520510</v>
      </c>
      <c r="G256" s="83" t="s">
        <v>1570</v>
      </c>
      <c r="H256" s="83" t="s">
        <v>1554</v>
      </c>
      <c r="I256" s="83">
        <v>112</v>
      </c>
      <c r="K256" s="83"/>
      <c r="M256" s="83">
        <v>69000</v>
      </c>
      <c r="P256" s="83">
        <v>499000</v>
      </c>
      <c r="S256" s="83">
        <v>245000</v>
      </c>
      <c r="V256" s="83">
        <v>0</v>
      </c>
      <c r="W256" s="138">
        <f t="shared" si="10"/>
        <v>813000</v>
      </c>
    </row>
    <row r="257" spans="1:23" x14ac:dyDescent="0.25">
      <c r="A257" s="29"/>
      <c r="B257" s="29" t="s">
        <v>1994</v>
      </c>
      <c r="C257" s="29" t="s">
        <v>1993</v>
      </c>
      <c r="D257" s="24">
        <v>4540005</v>
      </c>
      <c r="H257" s="83" t="s">
        <v>1554</v>
      </c>
      <c r="K257" s="83"/>
      <c r="M257" s="83">
        <v>2000</v>
      </c>
      <c r="P257" s="83">
        <v>1000</v>
      </c>
      <c r="S257" s="83">
        <v>2000</v>
      </c>
      <c r="V257" s="83">
        <v>2000</v>
      </c>
      <c r="W257" s="138">
        <f t="shared" si="10"/>
        <v>7000</v>
      </c>
    </row>
    <row r="258" spans="1:23" x14ac:dyDescent="0.25">
      <c r="A258" s="29"/>
      <c r="B258" s="29" t="s">
        <v>1997</v>
      </c>
      <c r="C258" s="29" t="s">
        <v>1996</v>
      </c>
      <c r="D258" s="24">
        <v>4540005</v>
      </c>
      <c r="H258" s="83" t="s">
        <v>1554</v>
      </c>
      <c r="I258" s="83">
        <v>113</v>
      </c>
      <c r="K258" s="83"/>
      <c r="M258" s="83">
        <v>48000</v>
      </c>
      <c r="P258" s="83">
        <v>27000</v>
      </c>
      <c r="S258" s="83">
        <v>42000</v>
      </c>
      <c r="V258" s="83">
        <v>34000</v>
      </c>
      <c r="W258" s="138">
        <f t="shared" si="10"/>
        <v>151000</v>
      </c>
    </row>
    <row r="259" spans="1:23" x14ac:dyDescent="0.25">
      <c r="A259" s="29"/>
      <c r="B259" s="29" t="s">
        <v>2246</v>
      </c>
      <c r="C259" s="29" t="s">
        <v>1999</v>
      </c>
      <c r="D259" s="24">
        <v>4540006</v>
      </c>
      <c r="H259" s="83" t="s">
        <v>1554</v>
      </c>
      <c r="K259" s="83"/>
      <c r="M259" s="85">
        <v>10000</v>
      </c>
      <c r="P259" s="85">
        <v>67000</v>
      </c>
      <c r="S259" s="85">
        <v>21000</v>
      </c>
      <c r="V259" s="85">
        <v>0</v>
      </c>
      <c r="W259" s="138">
        <f t="shared" si="10"/>
        <v>98000</v>
      </c>
    </row>
    <row r="260" spans="1:23" x14ac:dyDescent="0.25">
      <c r="A260" s="29"/>
      <c r="B260" s="29" t="s">
        <v>2247</v>
      </c>
      <c r="C260" s="29" t="s">
        <v>1999</v>
      </c>
      <c r="D260" s="24">
        <v>4540006</v>
      </c>
      <c r="H260" s="83" t="s">
        <v>1554</v>
      </c>
      <c r="I260" s="83">
        <v>114</v>
      </c>
      <c r="K260" s="83"/>
      <c r="M260" s="85">
        <v>24000</v>
      </c>
      <c r="P260" s="85">
        <v>76000</v>
      </c>
      <c r="S260" s="85">
        <v>31000</v>
      </c>
      <c r="V260" s="85">
        <v>29000</v>
      </c>
      <c r="W260" s="138">
        <f t="shared" si="10"/>
        <v>160000</v>
      </c>
    </row>
    <row r="261" spans="1:23" x14ac:dyDescent="0.25">
      <c r="A261" s="29"/>
      <c r="B261" s="29" t="s">
        <v>2004</v>
      </c>
      <c r="C261" s="29" t="s">
        <v>2003</v>
      </c>
      <c r="D261" s="24">
        <v>4540011</v>
      </c>
      <c r="H261" s="83" t="s">
        <v>1554</v>
      </c>
      <c r="I261" s="83">
        <v>115</v>
      </c>
      <c r="K261" s="83"/>
      <c r="M261" s="83">
        <v>2000</v>
      </c>
      <c r="P261" s="83">
        <v>2000</v>
      </c>
      <c r="S261" s="83">
        <v>2000</v>
      </c>
      <c r="V261" s="83">
        <v>76650</v>
      </c>
      <c r="W261" s="138">
        <v>76650</v>
      </c>
    </row>
    <row r="262" spans="1:23" x14ac:dyDescent="0.25">
      <c r="A262" s="29"/>
      <c r="B262" s="29" t="s">
        <v>2000</v>
      </c>
      <c r="C262" s="29" t="s">
        <v>2006</v>
      </c>
      <c r="D262" s="24">
        <v>4540012</v>
      </c>
      <c r="H262" s="83" t="s">
        <v>1554</v>
      </c>
      <c r="I262" s="83">
        <v>116</v>
      </c>
      <c r="K262" s="83"/>
      <c r="M262" s="83">
        <v>25000</v>
      </c>
      <c r="P262" s="83">
        <v>26000</v>
      </c>
      <c r="S262" s="83">
        <v>25000</v>
      </c>
      <c r="V262" s="83">
        <v>27000</v>
      </c>
      <c r="W262" s="138">
        <f>SUM(M262+P262+S262+V262)</f>
        <v>103000</v>
      </c>
    </row>
    <row r="263" spans="1:23" x14ac:dyDescent="0.25">
      <c r="A263" s="29"/>
      <c r="B263" s="29" t="s">
        <v>2261</v>
      </c>
      <c r="C263" s="29" t="s">
        <v>2008</v>
      </c>
      <c r="D263" s="24">
        <v>4540014</v>
      </c>
      <c r="H263" s="83" t="s">
        <v>1554</v>
      </c>
      <c r="K263" s="83"/>
      <c r="M263" s="85">
        <v>0</v>
      </c>
      <c r="P263" s="85">
        <v>0</v>
      </c>
      <c r="S263" s="85">
        <v>0</v>
      </c>
      <c r="V263" s="85">
        <v>0</v>
      </c>
      <c r="W263" s="138">
        <f>SUM(M263+P263+S263+V263)</f>
        <v>0</v>
      </c>
    </row>
    <row r="264" spans="1:23" x14ac:dyDescent="0.25">
      <c r="A264" s="29"/>
      <c r="B264" s="29" t="s">
        <v>2261</v>
      </c>
      <c r="C264" s="29" t="s">
        <v>2008</v>
      </c>
      <c r="D264" s="24">
        <v>4540014</v>
      </c>
      <c r="H264" s="83" t="s">
        <v>1554</v>
      </c>
      <c r="I264" s="83">
        <v>117</v>
      </c>
      <c r="K264" s="83"/>
      <c r="M264" s="85">
        <v>0</v>
      </c>
      <c r="P264" s="85">
        <v>0</v>
      </c>
      <c r="S264" s="85">
        <v>0</v>
      </c>
      <c r="V264" s="85">
        <v>76650</v>
      </c>
      <c r="W264" s="138">
        <v>76650</v>
      </c>
    </row>
    <row r="265" spans="1:23" x14ac:dyDescent="0.25">
      <c r="A265" s="29"/>
      <c r="B265" s="29" t="s">
        <v>2015</v>
      </c>
      <c r="C265" s="29" t="s">
        <v>2011</v>
      </c>
      <c r="D265" s="24">
        <v>4540016</v>
      </c>
      <c r="H265" s="83" t="s">
        <v>1554</v>
      </c>
      <c r="I265" s="83">
        <v>118</v>
      </c>
      <c r="K265" s="83"/>
      <c r="M265" s="83">
        <v>0</v>
      </c>
      <c r="P265" s="83">
        <v>0</v>
      </c>
      <c r="S265" s="83">
        <v>0</v>
      </c>
      <c r="V265" s="83">
        <v>76650</v>
      </c>
      <c r="W265" s="138">
        <v>76650</v>
      </c>
    </row>
    <row r="266" spans="1:23" x14ac:dyDescent="0.25">
      <c r="A266" s="29"/>
      <c r="B266" s="29" t="s">
        <v>2018</v>
      </c>
      <c r="C266" s="29" t="s">
        <v>2014</v>
      </c>
      <c r="D266" s="24">
        <v>4540017</v>
      </c>
      <c r="H266" s="83" t="s">
        <v>1554</v>
      </c>
      <c r="I266" s="83">
        <v>119</v>
      </c>
      <c r="K266" s="83"/>
      <c r="M266" s="83">
        <v>1000</v>
      </c>
      <c r="P266" s="83">
        <v>1000</v>
      </c>
      <c r="S266" s="83">
        <v>1000</v>
      </c>
      <c r="V266" s="83">
        <v>76650</v>
      </c>
      <c r="W266" s="138">
        <v>76650</v>
      </c>
    </row>
    <row r="267" spans="1:23" x14ac:dyDescent="0.25">
      <c r="A267" s="29"/>
      <c r="B267" s="29" t="s">
        <v>2018</v>
      </c>
      <c r="C267" s="29" t="s">
        <v>2017</v>
      </c>
      <c r="D267" s="24">
        <v>4540020</v>
      </c>
      <c r="H267" s="83" t="s">
        <v>1554</v>
      </c>
      <c r="I267" s="83">
        <v>120</v>
      </c>
      <c r="K267" s="83"/>
      <c r="M267" s="83">
        <v>29000</v>
      </c>
      <c r="P267" s="83">
        <v>42000</v>
      </c>
      <c r="S267" s="83">
        <v>22000</v>
      </c>
      <c r="V267" s="83">
        <v>170000</v>
      </c>
      <c r="W267" s="138">
        <f>SUM(M267+P267+S267+V267)</f>
        <v>263000</v>
      </c>
    </row>
    <row r="268" spans="1:23" x14ac:dyDescent="0.25">
      <c r="A268" s="29"/>
      <c r="B268" s="29" t="s">
        <v>2021</v>
      </c>
      <c r="C268" s="29" t="s">
        <v>2020</v>
      </c>
      <c r="D268" s="24">
        <v>4540021</v>
      </c>
      <c r="H268" s="83" t="s">
        <v>1554</v>
      </c>
      <c r="I268" s="83">
        <v>121</v>
      </c>
      <c r="K268" s="83"/>
      <c r="M268" s="83">
        <v>16000</v>
      </c>
      <c r="P268" s="83">
        <v>17000</v>
      </c>
      <c r="S268" s="83">
        <v>13000</v>
      </c>
      <c r="V268" s="83">
        <v>12000</v>
      </c>
      <c r="W268" s="138">
        <f>SUM(M268+P268+S268+V268)</f>
        <v>58000</v>
      </c>
    </row>
    <row r="269" spans="1:23" x14ac:dyDescent="0.25">
      <c r="A269" s="29"/>
      <c r="B269" s="29" t="s">
        <v>2024</v>
      </c>
      <c r="C269" s="29" t="s">
        <v>2023</v>
      </c>
      <c r="D269" s="24">
        <v>4540026</v>
      </c>
      <c r="H269" s="83" t="s">
        <v>1554</v>
      </c>
      <c r="K269" s="83"/>
      <c r="M269" s="142">
        <v>0</v>
      </c>
      <c r="P269" s="83">
        <v>0</v>
      </c>
      <c r="S269" s="83">
        <v>0</v>
      </c>
      <c r="V269" s="83">
        <v>1255000</v>
      </c>
      <c r="W269" s="83">
        <v>1255000</v>
      </c>
    </row>
    <row r="270" spans="1:23" x14ac:dyDescent="0.25">
      <c r="B270" s="29" t="s">
        <v>2024</v>
      </c>
      <c r="C270" s="29" t="s">
        <v>2262</v>
      </c>
      <c r="D270" s="24">
        <v>4540026</v>
      </c>
      <c r="H270" s="83" t="s">
        <v>1554</v>
      </c>
      <c r="I270" s="83">
        <v>122</v>
      </c>
      <c r="K270" s="83"/>
      <c r="M270" s="142">
        <v>0</v>
      </c>
      <c r="P270" s="83">
        <v>0</v>
      </c>
      <c r="S270" s="83">
        <v>0</v>
      </c>
      <c r="V270" s="83">
        <v>177000</v>
      </c>
      <c r="W270" s="83">
        <v>177000</v>
      </c>
    </row>
    <row r="271" spans="1:23" x14ac:dyDescent="0.25">
      <c r="B271" s="29" t="s">
        <v>2028</v>
      </c>
      <c r="C271" s="83" t="s">
        <v>1348</v>
      </c>
      <c r="D271" s="24">
        <v>4540029</v>
      </c>
      <c r="H271" s="83" t="s">
        <v>1554</v>
      </c>
      <c r="K271" s="83"/>
      <c r="M271" s="83">
        <v>0</v>
      </c>
      <c r="P271" s="83">
        <v>0</v>
      </c>
      <c r="S271" s="83">
        <v>0</v>
      </c>
      <c r="V271" s="83">
        <v>0</v>
      </c>
      <c r="W271" s="138">
        <f t="shared" ref="W271:W296" si="11">SUM(M271+P271+S271+V271)</f>
        <v>0</v>
      </c>
    </row>
    <row r="272" spans="1:23" x14ac:dyDescent="0.25">
      <c r="B272" s="29" t="s">
        <v>2030</v>
      </c>
      <c r="C272" s="83" t="s">
        <v>1350</v>
      </c>
      <c r="D272" s="24">
        <v>4540029</v>
      </c>
      <c r="H272" s="83" t="s">
        <v>1554</v>
      </c>
      <c r="K272" s="83"/>
      <c r="M272" s="83">
        <v>47000</v>
      </c>
      <c r="P272" s="83">
        <v>42000</v>
      </c>
      <c r="S272" s="83">
        <v>35000</v>
      </c>
      <c r="V272" s="83">
        <v>50000</v>
      </c>
      <c r="W272" s="138">
        <f t="shared" si="11"/>
        <v>174000</v>
      </c>
    </row>
    <row r="273" spans="1:23" x14ac:dyDescent="0.25">
      <c r="B273" s="29" t="s">
        <v>2032</v>
      </c>
      <c r="C273" s="83" t="s">
        <v>1353</v>
      </c>
      <c r="D273" s="24">
        <v>4540029</v>
      </c>
      <c r="H273" s="83" t="s">
        <v>1554</v>
      </c>
      <c r="K273" s="83"/>
      <c r="M273" s="83">
        <v>0</v>
      </c>
      <c r="P273" s="83">
        <v>0</v>
      </c>
      <c r="S273" s="83">
        <v>0</v>
      </c>
      <c r="V273" s="83">
        <v>0</v>
      </c>
      <c r="W273" s="138">
        <f t="shared" si="11"/>
        <v>0</v>
      </c>
    </row>
    <row r="274" spans="1:23" x14ac:dyDescent="0.25">
      <c r="B274" s="29" t="s">
        <v>2034</v>
      </c>
      <c r="C274" s="83" t="s">
        <v>1355</v>
      </c>
      <c r="D274" s="24">
        <v>4540029</v>
      </c>
      <c r="H274" s="83" t="s">
        <v>1554</v>
      </c>
      <c r="I274" s="83">
        <v>123</v>
      </c>
      <c r="K274" s="83"/>
      <c r="M274" s="83">
        <v>0</v>
      </c>
      <c r="P274" s="83">
        <v>0</v>
      </c>
      <c r="S274" s="83">
        <v>0</v>
      </c>
      <c r="V274" s="83">
        <v>0</v>
      </c>
      <c r="W274" s="138">
        <f t="shared" si="11"/>
        <v>0</v>
      </c>
    </row>
    <row r="275" spans="1:23" x14ac:dyDescent="0.25">
      <c r="A275" s="29"/>
      <c r="B275" s="29" t="s">
        <v>2037</v>
      </c>
      <c r="C275" s="29" t="s">
        <v>2036</v>
      </c>
      <c r="D275" s="24">
        <v>4540037</v>
      </c>
      <c r="H275" s="83" t="s">
        <v>1554</v>
      </c>
      <c r="I275" s="83">
        <v>124</v>
      </c>
      <c r="K275" s="83"/>
      <c r="M275" s="83">
        <v>21000</v>
      </c>
      <c r="P275" s="83">
        <v>21000</v>
      </c>
      <c r="S275" s="83">
        <v>19000</v>
      </c>
      <c r="V275" s="83">
        <v>17000</v>
      </c>
      <c r="W275" s="138">
        <f t="shared" si="11"/>
        <v>78000</v>
      </c>
    </row>
    <row r="276" spans="1:23" x14ac:dyDescent="0.25">
      <c r="B276" s="83" t="s">
        <v>727</v>
      </c>
      <c r="C276" s="83" t="s">
        <v>748</v>
      </c>
      <c r="D276" s="24">
        <v>4540043</v>
      </c>
      <c r="H276" s="83" t="s">
        <v>1554</v>
      </c>
      <c r="I276" s="83">
        <v>125</v>
      </c>
      <c r="K276" s="83"/>
      <c r="M276" s="142">
        <v>30000</v>
      </c>
      <c r="P276" s="83">
        <v>142000</v>
      </c>
      <c r="S276" s="83">
        <v>66000</v>
      </c>
      <c r="V276" s="83">
        <v>58000</v>
      </c>
      <c r="W276" s="138">
        <f t="shared" si="11"/>
        <v>296000</v>
      </c>
    </row>
    <row r="277" spans="1:23" x14ac:dyDescent="0.25">
      <c r="A277" s="29"/>
      <c r="B277" s="29" t="s">
        <v>2042</v>
      </c>
      <c r="C277" s="29" t="s">
        <v>2041</v>
      </c>
      <c r="D277" s="24">
        <v>4540045</v>
      </c>
      <c r="H277" s="83" t="s">
        <v>1554</v>
      </c>
      <c r="I277" s="83">
        <v>126</v>
      </c>
      <c r="K277" s="83"/>
      <c r="M277" s="83">
        <v>34000</v>
      </c>
      <c r="P277" s="83">
        <v>42000</v>
      </c>
      <c r="S277" s="83">
        <v>34000</v>
      </c>
      <c r="V277" s="83">
        <v>32000</v>
      </c>
      <c r="W277" s="138">
        <f t="shared" si="11"/>
        <v>142000</v>
      </c>
    </row>
    <row r="278" spans="1:23" x14ac:dyDescent="0.25">
      <c r="A278" s="29"/>
      <c r="B278" s="29" t="s">
        <v>2044</v>
      </c>
      <c r="C278" s="29" t="s">
        <v>2043</v>
      </c>
      <c r="D278" s="24">
        <v>4540047</v>
      </c>
      <c r="H278" s="83" t="s">
        <v>1554</v>
      </c>
      <c r="I278" s="83">
        <v>127</v>
      </c>
      <c r="K278" s="83"/>
      <c r="M278" s="83">
        <v>21000</v>
      </c>
      <c r="P278" s="83">
        <v>8000</v>
      </c>
      <c r="S278" s="83">
        <v>5000</v>
      </c>
      <c r="V278" s="83">
        <v>5000</v>
      </c>
      <c r="W278" s="138">
        <f t="shared" si="11"/>
        <v>39000</v>
      </c>
    </row>
    <row r="279" spans="1:23" x14ac:dyDescent="0.25">
      <c r="A279" s="29"/>
      <c r="B279" s="29" t="s">
        <v>2047</v>
      </c>
      <c r="C279" s="29" t="s">
        <v>2046</v>
      </c>
      <c r="D279" s="24">
        <v>4540049</v>
      </c>
      <c r="H279" s="83" t="s">
        <v>1554</v>
      </c>
      <c r="I279" s="83">
        <v>128</v>
      </c>
      <c r="K279" s="83"/>
      <c r="M279" s="83">
        <v>18000</v>
      </c>
      <c r="P279" s="83">
        <v>13000</v>
      </c>
      <c r="S279" s="83">
        <v>12000</v>
      </c>
      <c r="V279" s="83">
        <v>18000</v>
      </c>
      <c r="W279" s="138">
        <f t="shared" si="11"/>
        <v>61000</v>
      </c>
    </row>
    <row r="280" spans="1:23" x14ac:dyDescent="0.25">
      <c r="A280" s="29"/>
      <c r="B280" s="29" t="s">
        <v>1565</v>
      </c>
      <c r="C280" s="29" t="s">
        <v>1863</v>
      </c>
      <c r="D280" s="34">
        <v>2210016</v>
      </c>
      <c r="H280" s="83" t="s">
        <v>1554</v>
      </c>
      <c r="K280" s="83"/>
      <c r="M280" s="83">
        <v>0</v>
      </c>
      <c r="P280" s="83">
        <v>0</v>
      </c>
      <c r="S280" s="83">
        <v>0</v>
      </c>
      <c r="V280" s="83">
        <v>0</v>
      </c>
      <c r="W280" s="138">
        <f t="shared" si="11"/>
        <v>0</v>
      </c>
    </row>
    <row r="281" spans="1:23" x14ac:dyDescent="0.25">
      <c r="A281" s="29"/>
      <c r="B281" s="29" t="s">
        <v>1565</v>
      </c>
      <c r="C281" s="29" t="s">
        <v>2054</v>
      </c>
      <c r="D281" s="34">
        <v>2210016</v>
      </c>
      <c r="H281" s="83" t="s">
        <v>1554</v>
      </c>
      <c r="K281" s="83"/>
      <c r="M281" s="83">
        <v>0</v>
      </c>
      <c r="P281" s="83">
        <v>2000</v>
      </c>
      <c r="S281" s="83">
        <v>2000</v>
      </c>
      <c r="V281" s="83">
        <v>1000</v>
      </c>
      <c r="W281" s="138">
        <f t="shared" si="11"/>
        <v>5000</v>
      </c>
    </row>
    <row r="282" spans="1:23" x14ac:dyDescent="0.25">
      <c r="B282" s="29" t="s">
        <v>1565</v>
      </c>
      <c r="C282" s="83" t="s">
        <v>1042</v>
      </c>
      <c r="D282" s="34">
        <v>2210016</v>
      </c>
      <c r="H282" s="83" t="s">
        <v>1554</v>
      </c>
      <c r="K282" s="83"/>
      <c r="M282" s="83">
        <v>10000</v>
      </c>
      <c r="P282" s="83">
        <v>58000</v>
      </c>
      <c r="S282" s="83">
        <v>17000</v>
      </c>
      <c r="V282" s="83">
        <v>0</v>
      </c>
      <c r="W282" s="138">
        <f t="shared" si="11"/>
        <v>85000</v>
      </c>
    </row>
    <row r="283" spans="1:23" x14ac:dyDescent="0.25">
      <c r="B283" s="29" t="s">
        <v>1565</v>
      </c>
      <c r="C283" s="83" t="s">
        <v>1044</v>
      </c>
      <c r="D283" s="34">
        <v>2210016</v>
      </c>
      <c r="H283" s="83" t="s">
        <v>1554</v>
      </c>
      <c r="I283" s="83">
        <v>129</v>
      </c>
      <c r="K283" s="83"/>
      <c r="M283" s="83">
        <v>26000</v>
      </c>
      <c r="P283" s="83">
        <v>80000</v>
      </c>
      <c r="S283" s="83">
        <v>25000</v>
      </c>
      <c r="V283" s="83">
        <v>7000</v>
      </c>
      <c r="W283" s="138">
        <f t="shared" si="11"/>
        <v>138000</v>
      </c>
    </row>
    <row r="284" spans="1:23" x14ac:dyDescent="0.25">
      <c r="A284" s="29"/>
      <c r="B284" s="29" t="s">
        <v>1565</v>
      </c>
      <c r="C284" s="29" t="s">
        <v>2051</v>
      </c>
      <c r="D284" s="34">
        <v>2210016</v>
      </c>
      <c r="H284" s="83" t="s">
        <v>1554</v>
      </c>
      <c r="K284" s="83"/>
      <c r="M284" s="83">
        <v>1000</v>
      </c>
      <c r="P284" s="83">
        <v>14000</v>
      </c>
      <c r="S284" s="83">
        <v>27000</v>
      </c>
      <c r="V284" s="83">
        <v>27000</v>
      </c>
      <c r="W284" s="138">
        <f t="shared" si="11"/>
        <v>69000</v>
      </c>
    </row>
    <row r="285" spans="1:23" x14ac:dyDescent="0.25">
      <c r="A285" s="83" t="s">
        <v>20</v>
      </c>
      <c r="B285" s="83" t="s">
        <v>16</v>
      </c>
      <c r="C285" s="83" t="s">
        <v>20</v>
      </c>
      <c r="D285" s="83">
        <v>4540060</v>
      </c>
      <c r="H285" s="83" t="s">
        <v>1554</v>
      </c>
      <c r="K285" s="83"/>
      <c r="M285" s="83">
        <v>0</v>
      </c>
      <c r="P285" s="83">
        <v>50000</v>
      </c>
      <c r="S285" s="83">
        <v>14000</v>
      </c>
      <c r="V285" s="83">
        <v>0</v>
      </c>
      <c r="W285" s="138">
        <f t="shared" si="11"/>
        <v>64000</v>
      </c>
    </row>
    <row r="286" spans="1:23" x14ac:dyDescent="0.25">
      <c r="A286" s="83" t="s">
        <v>1506</v>
      </c>
      <c r="B286" s="83" t="s">
        <v>1505</v>
      </c>
      <c r="C286" s="83" t="s">
        <v>1506</v>
      </c>
      <c r="D286" s="83">
        <v>4540060</v>
      </c>
      <c r="G286" s="83" t="s">
        <v>1570</v>
      </c>
      <c r="H286" s="83" t="s">
        <v>1554</v>
      </c>
      <c r="K286" s="83"/>
      <c r="M286" s="83">
        <v>1000</v>
      </c>
      <c r="P286" s="83">
        <v>132000</v>
      </c>
      <c r="S286" s="83">
        <v>83000</v>
      </c>
      <c r="V286" s="83">
        <v>0</v>
      </c>
      <c r="W286" s="138">
        <f t="shared" si="11"/>
        <v>216000</v>
      </c>
    </row>
    <row r="287" spans="1:23" x14ac:dyDescent="0.25">
      <c r="A287" s="83" t="s">
        <v>1509</v>
      </c>
      <c r="B287" s="83" t="s">
        <v>1508</v>
      </c>
      <c r="C287" s="83" t="s">
        <v>1509</v>
      </c>
      <c r="D287" s="83">
        <v>4540060</v>
      </c>
      <c r="H287" s="83" t="s">
        <v>1554</v>
      </c>
      <c r="K287" s="83"/>
      <c r="M287" s="83">
        <v>36000</v>
      </c>
      <c r="P287" s="83">
        <v>17000</v>
      </c>
      <c r="S287" s="83">
        <v>15000</v>
      </c>
      <c r="V287" s="83">
        <v>17000</v>
      </c>
      <c r="W287" s="138">
        <f t="shared" si="11"/>
        <v>85000</v>
      </c>
    </row>
    <row r="288" spans="1:23" x14ac:dyDescent="0.25">
      <c r="A288" s="83" t="s">
        <v>1512</v>
      </c>
      <c r="B288" s="83" t="s">
        <v>1511</v>
      </c>
      <c r="C288" s="83" t="s">
        <v>1512</v>
      </c>
      <c r="D288" s="83">
        <v>4540060</v>
      </c>
      <c r="H288" s="83" t="s">
        <v>1554</v>
      </c>
      <c r="K288" s="83"/>
      <c r="M288" s="83">
        <v>3000</v>
      </c>
      <c r="P288" s="83">
        <v>3000</v>
      </c>
      <c r="S288" s="83">
        <v>4000</v>
      </c>
      <c r="V288" s="83">
        <v>3000</v>
      </c>
      <c r="W288" s="138">
        <f t="shared" si="11"/>
        <v>13000</v>
      </c>
    </row>
    <row r="289" spans="1:23" x14ac:dyDescent="0.25">
      <c r="A289" s="83" t="s">
        <v>1514</v>
      </c>
      <c r="B289" s="83" t="s">
        <v>1508</v>
      </c>
      <c r="C289" s="83" t="s">
        <v>1514</v>
      </c>
      <c r="D289" s="83">
        <v>4540060</v>
      </c>
      <c r="H289" s="83" t="s">
        <v>1554</v>
      </c>
      <c r="K289" s="83"/>
      <c r="M289" s="83">
        <v>6000</v>
      </c>
      <c r="P289" s="83">
        <v>7000</v>
      </c>
      <c r="S289" s="83">
        <v>5000</v>
      </c>
      <c r="V289" s="83">
        <v>5000</v>
      </c>
      <c r="W289" s="138">
        <f t="shared" si="11"/>
        <v>23000</v>
      </c>
    </row>
    <row r="290" spans="1:23" x14ac:dyDescent="0.25">
      <c r="A290" s="83" t="s">
        <v>1516</v>
      </c>
      <c r="B290" s="83" t="s">
        <v>1508</v>
      </c>
      <c r="C290" s="83" t="s">
        <v>1516</v>
      </c>
      <c r="D290" s="83">
        <v>4540060</v>
      </c>
      <c r="H290" s="83" t="s">
        <v>1554</v>
      </c>
      <c r="K290" s="83"/>
      <c r="M290" s="83">
        <v>31000</v>
      </c>
      <c r="P290" s="83">
        <v>23000</v>
      </c>
      <c r="S290" s="83">
        <v>20000</v>
      </c>
      <c r="V290" s="83">
        <v>16000</v>
      </c>
      <c r="W290" s="138">
        <f t="shared" si="11"/>
        <v>90000</v>
      </c>
    </row>
    <row r="291" spans="1:23" x14ac:dyDescent="0.25">
      <c r="A291" s="83" t="s">
        <v>1518</v>
      </c>
      <c r="B291" s="83" t="s">
        <v>16</v>
      </c>
      <c r="C291" s="83" t="s">
        <v>1518</v>
      </c>
      <c r="D291" s="83">
        <v>4540060</v>
      </c>
      <c r="H291" s="83" t="s">
        <v>1554</v>
      </c>
      <c r="I291" s="83">
        <v>130</v>
      </c>
      <c r="K291" s="83"/>
      <c r="M291" s="83">
        <v>9000</v>
      </c>
      <c r="P291" s="83">
        <v>57000</v>
      </c>
      <c r="S291" s="83">
        <v>21000</v>
      </c>
      <c r="V291" s="83">
        <v>5000</v>
      </c>
      <c r="W291" s="138">
        <f t="shared" si="11"/>
        <v>92000</v>
      </c>
    </row>
    <row r="292" spans="1:23" x14ac:dyDescent="0.25">
      <c r="A292" s="29" t="s">
        <v>2059</v>
      </c>
      <c r="B292" s="29" t="s">
        <v>2060</v>
      </c>
      <c r="C292" s="29" t="s">
        <v>2059</v>
      </c>
      <c r="D292" s="24">
        <v>4540112</v>
      </c>
      <c r="H292" s="83" t="s">
        <v>1554</v>
      </c>
      <c r="I292" s="83">
        <v>131</v>
      </c>
      <c r="K292" s="83"/>
      <c r="M292" s="83">
        <v>7000</v>
      </c>
      <c r="P292" s="83">
        <v>5000</v>
      </c>
      <c r="S292" s="83">
        <v>9000</v>
      </c>
      <c r="V292" s="83">
        <v>7000</v>
      </c>
      <c r="W292" s="138">
        <f t="shared" si="11"/>
        <v>28000</v>
      </c>
    </row>
    <row r="293" spans="1:23" x14ac:dyDescent="0.25">
      <c r="A293" s="29" t="s">
        <v>2062</v>
      </c>
      <c r="B293" s="29" t="s">
        <v>2063</v>
      </c>
      <c r="C293" s="29" t="s">
        <v>2062</v>
      </c>
      <c r="D293" s="24">
        <v>4540166</v>
      </c>
      <c r="H293" s="83" t="s">
        <v>1554</v>
      </c>
      <c r="I293" s="83">
        <v>132</v>
      </c>
      <c r="K293" s="83"/>
      <c r="M293" s="83">
        <v>3000</v>
      </c>
      <c r="P293" s="83">
        <v>3000</v>
      </c>
      <c r="S293" s="83">
        <v>3000</v>
      </c>
      <c r="V293" s="83">
        <v>5000</v>
      </c>
      <c r="W293" s="138">
        <f t="shared" si="11"/>
        <v>14000</v>
      </c>
    </row>
    <row r="294" spans="1:23" x14ac:dyDescent="0.25">
      <c r="A294" s="83" t="s">
        <v>527</v>
      </c>
      <c r="B294" s="29" t="s">
        <v>2065</v>
      </c>
      <c r="C294" s="83" t="s">
        <v>527</v>
      </c>
      <c r="D294" s="24">
        <v>4540172</v>
      </c>
      <c r="H294" s="83" t="s">
        <v>1554</v>
      </c>
      <c r="K294" s="83"/>
      <c r="M294" s="83">
        <v>15000</v>
      </c>
      <c r="P294" s="83">
        <v>71000</v>
      </c>
      <c r="S294" s="83">
        <v>34000</v>
      </c>
      <c r="V294" s="83">
        <v>13000</v>
      </c>
      <c r="W294" s="138">
        <f t="shared" si="11"/>
        <v>133000</v>
      </c>
    </row>
    <row r="295" spans="1:23" x14ac:dyDescent="0.25">
      <c r="A295" s="83" t="s">
        <v>737</v>
      </c>
      <c r="B295" s="29" t="s">
        <v>2067</v>
      </c>
      <c r="C295" s="83" t="s">
        <v>737</v>
      </c>
      <c r="D295" s="24">
        <v>4540172</v>
      </c>
      <c r="H295" s="83" t="s">
        <v>1554</v>
      </c>
      <c r="I295" s="83">
        <v>133</v>
      </c>
      <c r="K295" s="83"/>
      <c r="M295" s="83">
        <v>5000</v>
      </c>
      <c r="P295" s="83">
        <v>60000</v>
      </c>
      <c r="S295" s="83">
        <v>21000</v>
      </c>
      <c r="V295" s="83">
        <v>0</v>
      </c>
      <c r="W295" s="138">
        <f t="shared" si="11"/>
        <v>86000</v>
      </c>
    </row>
    <row r="296" spans="1:23" x14ac:dyDescent="0.25">
      <c r="A296" s="29" t="s">
        <v>2069</v>
      </c>
      <c r="B296" s="29" t="s">
        <v>2070</v>
      </c>
      <c r="C296" s="29" t="s">
        <v>2069</v>
      </c>
      <c r="D296" s="24">
        <v>4540177</v>
      </c>
      <c r="H296" s="83" t="s">
        <v>1554</v>
      </c>
      <c r="I296" s="83">
        <v>134</v>
      </c>
      <c r="K296" s="83"/>
      <c r="M296" s="83">
        <v>3000</v>
      </c>
      <c r="P296" s="83">
        <v>3000</v>
      </c>
      <c r="S296" s="83">
        <v>5000</v>
      </c>
      <c r="V296" s="83">
        <v>3000</v>
      </c>
      <c r="W296" s="138">
        <f t="shared" si="11"/>
        <v>14000</v>
      </c>
    </row>
    <row r="297" spans="1:23" x14ac:dyDescent="0.25">
      <c r="A297" s="29" t="s">
        <v>2072</v>
      </c>
      <c r="B297" s="29" t="s">
        <v>2073</v>
      </c>
      <c r="C297" s="29" t="s">
        <v>2072</v>
      </c>
      <c r="D297" s="24">
        <v>4540183</v>
      </c>
      <c r="H297" s="83" t="s">
        <v>1554</v>
      </c>
      <c r="I297" s="83">
        <v>135</v>
      </c>
      <c r="K297" s="83"/>
      <c r="M297" s="85">
        <v>0</v>
      </c>
      <c r="P297" s="85">
        <v>0</v>
      </c>
      <c r="S297" s="85">
        <v>0</v>
      </c>
      <c r="V297" s="85">
        <v>76650</v>
      </c>
      <c r="W297" s="138">
        <v>76650</v>
      </c>
    </row>
    <row r="298" spans="1:23" x14ac:dyDescent="0.25">
      <c r="A298" s="29" t="s">
        <v>2075</v>
      </c>
      <c r="B298" s="29" t="s">
        <v>2076</v>
      </c>
      <c r="C298" s="29" t="s">
        <v>2075</v>
      </c>
      <c r="D298" s="24">
        <v>4540192</v>
      </c>
      <c r="H298" s="83" t="s">
        <v>1554</v>
      </c>
      <c r="K298" s="83"/>
      <c r="M298" s="83">
        <v>32000</v>
      </c>
      <c r="P298" s="83">
        <v>40000</v>
      </c>
      <c r="S298" s="83">
        <v>17000</v>
      </c>
      <c r="V298" s="83">
        <v>18000</v>
      </c>
      <c r="W298" s="138">
        <f t="shared" ref="W298:W310" si="12">SUM(M298+P298+S298+V298)</f>
        <v>107000</v>
      </c>
    </row>
    <row r="299" spans="1:23" x14ac:dyDescent="0.25">
      <c r="A299" s="29" t="s">
        <v>2075</v>
      </c>
      <c r="B299" s="29" t="s">
        <v>2078</v>
      </c>
      <c r="C299" s="29" t="s">
        <v>2075</v>
      </c>
      <c r="D299" s="24">
        <v>4540192</v>
      </c>
      <c r="H299" s="83" t="s">
        <v>1554</v>
      </c>
      <c r="I299" s="83">
        <v>136</v>
      </c>
      <c r="K299" s="83"/>
      <c r="M299" s="83">
        <v>343000</v>
      </c>
      <c r="P299" s="83">
        <v>347000</v>
      </c>
      <c r="S299" s="83">
        <v>331000</v>
      </c>
      <c r="V299" s="83">
        <v>276000</v>
      </c>
      <c r="W299" s="138">
        <f t="shared" si="12"/>
        <v>1297000</v>
      </c>
    </row>
    <row r="300" spans="1:23" x14ac:dyDescent="0.25">
      <c r="A300" s="29" t="s">
        <v>2080</v>
      </c>
      <c r="B300" s="29" t="s">
        <v>2081</v>
      </c>
      <c r="C300" s="29" t="s">
        <v>2080</v>
      </c>
      <c r="D300" s="24">
        <v>4540195</v>
      </c>
      <c r="H300" s="83" t="s">
        <v>1554</v>
      </c>
      <c r="I300" s="83">
        <v>137</v>
      </c>
      <c r="K300" s="83"/>
      <c r="M300" s="83">
        <v>107000</v>
      </c>
      <c r="P300" s="83">
        <v>75000</v>
      </c>
      <c r="S300" s="83">
        <v>79000</v>
      </c>
      <c r="V300" s="83">
        <v>46000</v>
      </c>
      <c r="W300" s="138">
        <f t="shared" si="12"/>
        <v>307000</v>
      </c>
    </row>
    <row r="301" spans="1:23" x14ac:dyDescent="0.25">
      <c r="A301" s="29" t="s">
        <v>2082</v>
      </c>
      <c r="B301" s="29" t="s">
        <v>2083</v>
      </c>
      <c r="C301" s="29" t="s">
        <v>2082</v>
      </c>
      <c r="D301" s="24">
        <v>4540200</v>
      </c>
      <c r="H301" s="83" t="s">
        <v>1554</v>
      </c>
      <c r="K301" s="83"/>
      <c r="M301" s="83">
        <v>17000</v>
      </c>
      <c r="P301" s="83">
        <v>124000</v>
      </c>
      <c r="S301" s="83">
        <v>34000</v>
      </c>
      <c r="V301" s="83">
        <v>3000</v>
      </c>
      <c r="W301" s="138">
        <f t="shared" si="12"/>
        <v>178000</v>
      </c>
    </row>
    <row r="302" spans="1:23" x14ac:dyDescent="0.25">
      <c r="A302" s="83" t="s">
        <v>758</v>
      </c>
      <c r="B302" s="29" t="s">
        <v>2085</v>
      </c>
      <c r="C302" s="83" t="s">
        <v>758</v>
      </c>
      <c r="D302" s="24">
        <v>4540200</v>
      </c>
      <c r="H302" s="83" t="s">
        <v>1554</v>
      </c>
      <c r="I302" s="83">
        <v>138</v>
      </c>
      <c r="K302" s="83"/>
      <c r="M302" s="83">
        <v>28000</v>
      </c>
      <c r="P302" s="83">
        <v>31000</v>
      </c>
      <c r="S302" s="83">
        <v>30000</v>
      </c>
      <c r="V302" s="83">
        <v>28000</v>
      </c>
      <c r="W302" s="138">
        <f t="shared" si="12"/>
        <v>117000</v>
      </c>
    </row>
    <row r="303" spans="1:23" x14ac:dyDescent="0.25">
      <c r="A303" s="29" t="s">
        <v>2087</v>
      </c>
      <c r="B303" s="24" t="s">
        <v>2088</v>
      </c>
      <c r="C303" s="29" t="s">
        <v>2087</v>
      </c>
      <c r="D303" s="24">
        <v>4540205</v>
      </c>
      <c r="H303" s="83" t="s">
        <v>1554</v>
      </c>
      <c r="I303" s="83">
        <v>139</v>
      </c>
      <c r="K303" s="83"/>
      <c r="M303" s="83">
        <v>157000</v>
      </c>
      <c r="P303" s="83">
        <v>238000</v>
      </c>
      <c r="S303" s="83">
        <v>3000</v>
      </c>
      <c r="V303" s="83">
        <v>4000</v>
      </c>
      <c r="W303" s="138">
        <f t="shared" si="12"/>
        <v>402000</v>
      </c>
    </row>
    <row r="304" spans="1:23" x14ac:dyDescent="0.25">
      <c r="A304" s="29" t="s">
        <v>2090</v>
      </c>
      <c r="B304" s="29" t="s">
        <v>2091</v>
      </c>
      <c r="C304" s="29" t="s">
        <v>2090</v>
      </c>
      <c r="D304" s="24">
        <v>4540209</v>
      </c>
      <c r="H304" s="83" t="s">
        <v>1554</v>
      </c>
      <c r="I304" s="83">
        <v>140</v>
      </c>
      <c r="K304" s="83"/>
      <c r="M304" s="83">
        <v>24000</v>
      </c>
      <c r="P304" s="83">
        <v>23000</v>
      </c>
      <c r="S304" s="83">
        <v>20000</v>
      </c>
      <c r="V304" s="83">
        <v>14000</v>
      </c>
      <c r="W304" s="138">
        <f t="shared" si="12"/>
        <v>81000</v>
      </c>
    </row>
    <row r="305" spans="1:23" x14ac:dyDescent="0.25">
      <c r="A305" s="29" t="s">
        <v>2093</v>
      </c>
      <c r="B305" s="29" t="s">
        <v>2094</v>
      </c>
      <c r="C305" s="29" t="s">
        <v>2093</v>
      </c>
      <c r="D305" s="24">
        <v>4540210</v>
      </c>
      <c r="H305" s="83" t="s">
        <v>1554</v>
      </c>
      <c r="K305" s="83"/>
      <c r="M305" s="85">
        <v>0</v>
      </c>
      <c r="P305" s="85">
        <v>0</v>
      </c>
      <c r="S305" s="85">
        <v>0</v>
      </c>
      <c r="V305" s="85">
        <v>0</v>
      </c>
      <c r="W305" s="138">
        <f t="shared" si="12"/>
        <v>0</v>
      </c>
    </row>
    <row r="306" spans="1:23" x14ac:dyDescent="0.25">
      <c r="A306" s="29" t="s">
        <v>2093</v>
      </c>
      <c r="B306" s="29" t="s">
        <v>2096</v>
      </c>
      <c r="C306" s="29" t="s">
        <v>2093</v>
      </c>
      <c r="D306" s="24">
        <v>4540210</v>
      </c>
      <c r="H306" s="83" t="s">
        <v>1554</v>
      </c>
      <c r="K306" s="83"/>
      <c r="M306" s="83">
        <v>91000</v>
      </c>
      <c r="P306" s="83">
        <v>105000</v>
      </c>
      <c r="S306" s="83">
        <v>81000</v>
      </c>
      <c r="V306" s="83">
        <v>77000</v>
      </c>
      <c r="W306" s="138">
        <f t="shared" si="12"/>
        <v>354000</v>
      </c>
    </row>
    <row r="307" spans="1:23" x14ac:dyDescent="0.25">
      <c r="A307" s="29" t="s">
        <v>2093</v>
      </c>
      <c r="B307" s="24" t="s">
        <v>806</v>
      </c>
      <c r="C307" s="29" t="s">
        <v>2093</v>
      </c>
      <c r="D307" s="24">
        <v>4540210</v>
      </c>
      <c r="H307" s="83" t="s">
        <v>1554</v>
      </c>
      <c r="I307" s="83">
        <v>141</v>
      </c>
      <c r="K307" s="83"/>
      <c r="M307" s="83">
        <v>67000</v>
      </c>
      <c r="P307" s="83">
        <v>62000</v>
      </c>
      <c r="S307" s="83">
        <v>52000</v>
      </c>
      <c r="V307" s="83">
        <v>47000</v>
      </c>
      <c r="W307" s="138">
        <f t="shared" si="12"/>
        <v>228000</v>
      </c>
    </row>
    <row r="308" spans="1:23" x14ac:dyDescent="0.25">
      <c r="A308" s="29" t="s">
        <v>2099</v>
      </c>
      <c r="B308" s="29" t="s">
        <v>2100</v>
      </c>
      <c r="C308" s="29" t="s">
        <v>2099</v>
      </c>
      <c r="D308" s="24">
        <v>4540213</v>
      </c>
      <c r="H308" s="83" t="s">
        <v>1554</v>
      </c>
      <c r="I308" s="83">
        <v>142</v>
      </c>
      <c r="K308" s="83"/>
      <c r="M308" s="83">
        <v>3000</v>
      </c>
      <c r="P308" s="83">
        <v>5000</v>
      </c>
      <c r="S308" s="83">
        <v>14000</v>
      </c>
      <c r="V308" s="83">
        <v>2000</v>
      </c>
      <c r="W308" s="138">
        <f t="shared" si="12"/>
        <v>24000</v>
      </c>
    </row>
    <row r="309" spans="1:23" x14ac:dyDescent="0.25">
      <c r="A309" s="29"/>
      <c r="B309" s="29" t="s">
        <v>2103</v>
      </c>
      <c r="C309" s="29" t="s">
        <v>2102</v>
      </c>
      <c r="D309" s="24">
        <v>4540214</v>
      </c>
      <c r="H309" s="83" t="s">
        <v>1554</v>
      </c>
      <c r="I309" s="83">
        <v>143</v>
      </c>
      <c r="K309" s="83"/>
      <c r="M309" s="83">
        <v>6000</v>
      </c>
      <c r="P309" s="83">
        <v>9000</v>
      </c>
      <c r="S309" s="83">
        <v>5000</v>
      </c>
      <c r="V309" s="83">
        <v>6000</v>
      </c>
      <c r="W309" s="138">
        <f t="shared" si="12"/>
        <v>26000</v>
      </c>
    </row>
    <row r="310" spans="1:23" x14ac:dyDescent="0.25">
      <c r="A310" s="29"/>
      <c r="B310" s="29" t="s">
        <v>2106</v>
      </c>
      <c r="C310" s="29" t="s">
        <v>2105</v>
      </c>
      <c r="D310" s="24">
        <v>4540220</v>
      </c>
      <c r="H310" s="83" t="s">
        <v>1554</v>
      </c>
      <c r="I310" s="83">
        <v>144</v>
      </c>
      <c r="K310" s="83"/>
      <c r="M310" s="83">
        <v>24000</v>
      </c>
      <c r="P310" s="83">
        <v>44000</v>
      </c>
      <c r="S310" s="83">
        <v>18000</v>
      </c>
      <c r="V310" s="83">
        <v>15000</v>
      </c>
      <c r="W310" s="138">
        <f t="shared" si="12"/>
        <v>101000</v>
      </c>
    </row>
    <row r="311" spans="1:23" x14ac:dyDescent="0.25">
      <c r="A311" s="29"/>
      <c r="B311" s="29" t="s">
        <v>2109</v>
      </c>
      <c r="C311" s="29" t="s">
        <v>2108</v>
      </c>
      <c r="D311" s="24">
        <v>4540221</v>
      </c>
      <c r="H311" s="83" t="s">
        <v>1554</v>
      </c>
      <c r="I311" s="83">
        <v>145</v>
      </c>
      <c r="K311" s="83"/>
      <c r="M311" s="85">
        <v>0</v>
      </c>
      <c r="P311" s="85">
        <v>0</v>
      </c>
      <c r="S311" s="85">
        <v>0</v>
      </c>
      <c r="V311" s="85">
        <v>76650</v>
      </c>
      <c r="W311" s="138">
        <v>76650</v>
      </c>
    </row>
    <row r="312" spans="1:23" x14ac:dyDescent="0.25">
      <c r="A312" s="29"/>
      <c r="B312" s="29" t="s">
        <v>2112</v>
      </c>
      <c r="C312" s="29" t="s">
        <v>2111</v>
      </c>
      <c r="D312" s="24">
        <v>4540224</v>
      </c>
      <c r="H312" s="83" t="s">
        <v>1554</v>
      </c>
      <c r="I312" s="83">
        <v>146</v>
      </c>
      <c r="K312" s="83"/>
      <c r="M312" s="83">
        <v>5000</v>
      </c>
      <c r="P312" s="83">
        <v>9000</v>
      </c>
      <c r="S312" s="83">
        <v>10000</v>
      </c>
      <c r="V312" s="83">
        <v>9000</v>
      </c>
      <c r="W312" s="138">
        <f>SUM(M312+P312+S312+V312)</f>
        <v>33000</v>
      </c>
    </row>
    <row r="313" spans="1:23" x14ac:dyDescent="0.25">
      <c r="A313" s="29"/>
      <c r="B313" s="29" t="s">
        <v>2114</v>
      </c>
      <c r="C313" s="29" t="s">
        <v>2113</v>
      </c>
      <c r="D313" s="24">
        <v>4540225</v>
      </c>
      <c r="H313" s="83" t="s">
        <v>1554</v>
      </c>
      <c r="I313" s="83">
        <v>147</v>
      </c>
      <c r="K313" s="83"/>
      <c r="M313" s="85">
        <v>0</v>
      </c>
      <c r="P313" s="85">
        <v>0</v>
      </c>
      <c r="S313" s="85">
        <v>0</v>
      </c>
      <c r="V313" s="85">
        <v>76650</v>
      </c>
      <c r="W313" s="138">
        <v>76650</v>
      </c>
    </row>
    <row r="314" spans="1:23" x14ac:dyDescent="0.25">
      <c r="A314" s="29"/>
      <c r="B314" s="29" t="s">
        <v>2116</v>
      </c>
      <c r="C314" s="29" t="s">
        <v>2115</v>
      </c>
      <c r="D314" s="24">
        <v>4540232</v>
      </c>
      <c r="H314" s="83" t="s">
        <v>1554</v>
      </c>
      <c r="I314" s="83">
        <v>148</v>
      </c>
      <c r="K314" s="83"/>
      <c r="M314" s="83">
        <v>2000</v>
      </c>
      <c r="P314" s="83">
        <v>2000</v>
      </c>
      <c r="S314" s="83">
        <v>2000</v>
      </c>
      <c r="V314" s="83">
        <v>1000</v>
      </c>
      <c r="W314" s="138">
        <f t="shared" ref="W314:W321" si="13">SUM(M314+P314+S314+V314)</f>
        <v>7000</v>
      </c>
    </row>
    <row r="315" spans="1:23" x14ac:dyDescent="0.25">
      <c r="A315" s="29"/>
      <c r="B315" s="29" t="s">
        <v>2119</v>
      </c>
      <c r="C315" s="29" t="s">
        <v>2118</v>
      </c>
      <c r="D315" s="24">
        <v>4540240</v>
      </c>
      <c r="H315" s="83" t="s">
        <v>1554</v>
      </c>
      <c r="I315" s="83">
        <v>149</v>
      </c>
      <c r="K315" s="83"/>
      <c r="M315" s="83">
        <v>4000</v>
      </c>
      <c r="P315" s="83">
        <v>5000</v>
      </c>
      <c r="S315" s="83">
        <v>5000</v>
      </c>
      <c r="V315" s="83">
        <v>7000</v>
      </c>
      <c r="W315" s="138">
        <f t="shared" si="13"/>
        <v>21000</v>
      </c>
    </row>
    <row r="316" spans="1:23" x14ac:dyDescent="0.25">
      <c r="A316" s="29"/>
      <c r="B316" s="29" t="s">
        <v>2122</v>
      </c>
      <c r="C316" s="29" t="s">
        <v>2121</v>
      </c>
      <c r="D316" s="24">
        <v>4540248</v>
      </c>
      <c r="H316" s="83" t="s">
        <v>1554</v>
      </c>
      <c r="I316" s="83">
        <v>150</v>
      </c>
      <c r="K316" s="83"/>
      <c r="M316" s="83">
        <v>7000</v>
      </c>
      <c r="P316" s="83">
        <v>10000</v>
      </c>
      <c r="S316" s="83">
        <v>6000</v>
      </c>
      <c r="V316" s="83">
        <v>7000</v>
      </c>
      <c r="W316" s="138">
        <f t="shared" si="13"/>
        <v>30000</v>
      </c>
    </row>
    <row r="317" spans="1:23" x14ac:dyDescent="0.25">
      <c r="A317" s="29"/>
      <c r="B317" s="83" t="s">
        <v>1158</v>
      </c>
      <c r="C317" s="83" t="s">
        <v>1162</v>
      </c>
      <c r="D317" s="24">
        <v>4540255</v>
      </c>
      <c r="G317" s="83" t="s">
        <v>1570</v>
      </c>
      <c r="H317" s="83" t="s">
        <v>1554</v>
      </c>
      <c r="K317" s="83"/>
      <c r="M317" s="83">
        <v>39000</v>
      </c>
      <c r="P317" s="83">
        <v>285000</v>
      </c>
      <c r="S317" s="83">
        <v>46000</v>
      </c>
      <c r="V317" s="83">
        <v>0</v>
      </c>
      <c r="W317" s="138">
        <f t="shared" si="13"/>
        <v>370000</v>
      </c>
    </row>
    <row r="318" spans="1:23" x14ac:dyDescent="0.25">
      <c r="B318" s="83" t="s">
        <v>1158</v>
      </c>
      <c r="C318" s="83" t="s">
        <v>1164</v>
      </c>
      <c r="D318" s="24">
        <v>4540255</v>
      </c>
      <c r="H318" s="83" t="s">
        <v>1554</v>
      </c>
      <c r="K318" s="83"/>
      <c r="M318" s="142">
        <v>107000</v>
      </c>
      <c r="P318" s="83">
        <v>83000</v>
      </c>
      <c r="S318" s="83">
        <v>96000</v>
      </c>
      <c r="V318" s="83">
        <v>99000</v>
      </c>
      <c r="W318" s="138">
        <f t="shared" si="13"/>
        <v>385000</v>
      </c>
    </row>
    <row r="319" spans="1:23" x14ac:dyDescent="0.25">
      <c r="A319" s="29"/>
      <c r="B319" s="83" t="s">
        <v>978</v>
      </c>
      <c r="C319" s="29" t="s">
        <v>2124</v>
      </c>
      <c r="D319" s="24">
        <v>4540255</v>
      </c>
      <c r="H319" s="83" t="s">
        <v>1554</v>
      </c>
      <c r="K319" s="83"/>
      <c r="M319" s="83">
        <v>2000</v>
      </c>
      <c r="P319" s="83">
        <v>2000</v>
      </c>
      <c r="S319" s="83">
        <v>1000</v>
      </c>
      <c r="V319" s="83">
        <v>2000</v>
      </c>
      <c r="W319" s="138">
        <f t="shared" si="13"/>
        <v>7000</v>
      </c>
    </row>
    <row r="320" spans="1:23" x14ac:dyDescent="0.25">
      <c r="B320" s="29" t="s">
        <v>2127</v>
      </c>
      <c r="C320" s="83" t="s">
        <v>741</v>
      </c>
      <c r="D320" s="24">
        <v>4540255</v>
      </c>
      <c r="H320" s="83" t="s">
        <v>1554</v>
      </c>
      <c r="K320" s="83"/>
      <c r="M320" s="83">
        <v>40000</v>
      </c>
      <c r="P320" s="83">
        <v>70000</v>
      </c>
      <c r="S320" s="83">
        <v>53000</v>
      </c>
      <c r="V320" s="83">
        <v>47000</v>
      </c>
      <c r="W320" s="138">
        <f t="shared" si="13"/>
        <v>210000</v>
      </c>
    </row>
    <row r="321" spans="1:23" x14ac:dyDescent="0.25">
      <c r="B321" s="83" t="s">
        <v>1073</v>
      </c>
      <c r="C321" s="83" t="s">
        <v>982</v>
      </c>
      <c r="D321" s="24">
        <v>4540255</v>
      </c>
      <c r="H321" s="83" t="s">
        <v>1554</v>
      </c>
      <c r="K321" s="83"/>
      <c r="M321" s="83">
        <v>152000</v>
      </c>
      <c r="P321" s="83">
        <v>128000</v>
      </c>
      <c r="S321" s="83">
        <v>104000</v>
      </c>
      <c r="V321" s="83">
        <v>92000</v>
      </c>
      <c r="W321" s="138">
        <f t="shared" si="13"/>
        <v>476000</v>
      </c>
    </row>
    <row r="322" spans="1:23" x14ac:dyDescent="0.25">
      <c r="B322" s="29" t="s">
        <v>2130</v>
      </c>
      <c r="C322" s="83" t="s">
        <v>1259</v>
      </c>
      <c r="D322" s="24">
        <v>4540255</v>
      </c>
      <c r="H322" s="83" t="s">
        <v>1554</v>
      </c>
      <c r="K322" s="83"/>
      <c r="M322" s="142">
        <v>0</v>
      </c>
      <c r="P322" s="83">
        <v>0</v>
      </c>
      <c r="S322" s="83">
        <v>0</v>
      </c>
      <c r="V322" s="83">
        <v>876000</v>
      </c>
      <c r="W322" s="138">
        <v>876000</v>
      </c>
    </row>
    <row r="323" spans="1:23" x14ac:dyDescent="0.25">
      <c r="B323" s="24" t="s">
        <v>939</v>
      </c>
      <c r="C323" s="83" t="s">
        <v>741</v>
      </c>
      <c r="D323" s="24">
        <v>4540255</v>
      </c>
      <c r="H323" s="83" t="s">
        <v>1554</v>
      </c>
      <c r="K323" s="83"/>
      <c r="M323" s="83">
        <v>7000</v>
      </c>
      <c r="P323" s="83">
        <v>7000</v>
      </c>
      <c r="S323" s="83">
        <v>8000</v>
      </c>
      <c r="V323" s="83">
        <v>6000</v>
      </c>
      <c r="W323" s="138">
        <f>SUM(M323+P323+S323+V323)</f>
        <v>28000</v>
      </c>
    </row>
    <row r="324" spans="1:23" x14ac:dyDescent="0.25">
      <c r="B324" s="83" t="s">
        <v>739</v>
      </c>
      <c r="C324" s="83" t="s">
        <v>741</v>
      </c>
      <c r="D324" s="24">
        <v>4540255</v>
      </c>
      <c r="H324" s="83" t="s">
        <v>1554</v>
      </c>
      <c r="K324" s="83"/>
      <c r="M324" s="83">
        <v>0</v>
      </c>
      <c r="P324" s="83">
        <v>0</v>
      </c>
      <c r="S324" s="83">
        <v>34000</v>
      </c>
      <c r="V324" s="83">
        <v>46000</v>
      </c>
      <c r="W324" s="138">
        <f>SUM(M324+P324+S324+V324)</f>
        <v>80000</v>
      </c>
    </row>
    <row r="325" spans="1:23" x14ac:dyDescent="0.25">
      <c r="B325" s="83" t="s">
        <v>744</v>
      </c>
      <c r="C325" s="83" t="s">
        <v>741</v>
      </c>
      <c r="D325" s="24">
        <v>4540255</v>
      </c>
      <c r="H325" s="83" t="s">
        <v>1554</v>
      </c>
      <c r="I325" s="83">
        <v>151</v>
      </c>
      <c r="K325" s="83"/>
      <c r="M325" s="83">
        <v>59000</v>
      </c>
      <c r="P325" s="83">
        <v>4000</v>
      </c>
      <c r="S325" s="83">
        <v>0</v>
      </c>
      <c r="V325" s="83">
        <v>0</v>
      </c>
      <c r="W325" s="138">
        <f>SUM(M325+P325+S325+V325)</f>
        <v>63000</v>
      </c>
    </row>
    <row r="326" spans="1:23" x14ac:dyDescent="0.25">
      <c r="A326" s="29"/>
      <c r="B326" s="29" t="s">
        <v>2134</v>
      </c>
      <c r="C326" s="29" t="s">
        <v>2133</v>
      </c>
      <c r="D326" s="24">
        <v>4540260</v>
      </c>
      <c r="H326" s="83" t="s">
        <v>1554</v>
      </c>
      <c r="I326" s="83">
        <v>152</v>
      </c>
      <c r="K326" s="83"/>
      <c r="M326" s="142">
        <v>84000</v>
      </c>
      <c r="P326" s="83">
        <v>35000</v>
      </c>
      <c r="S326" s="83">
        <v>36000</v>
      </c>
      <c r="V326" s="83">
        <v>20000</v>
      </c>
      <c r="W326" s="138">
        <f>SUM(M326+P326+S326+V326)</f>
        <v>175000</v>
      </c>
    </row>
    <row r="327" spans="1:23" x14ac:dyDescent="0.25">
      <c r="B327" s="29" t="s">
        <v>2136</v>
      </c>
      <c r="C327" s="83" t="s">
        <v>31</v>
      </c>
      <c r="D327" s="24">
        <v>4540265</v>
      </c>
      <c r="H327" s="83" t="s">
        <v>1554</v>
      </c>
      <c r="I327" s="83">
        <v>153</v>
      </c>
      <c r="K327" s="83"/>
      <c r="M327" s="142">
        <v>0</v>
      </c>
      <c r="P327" s="83">
        <v>0</v>
      </c>
      <c r="S327" s="83">
        <v>0</v>
      </c>
      <c r="V327" s="83">
        <v>8201000</v>
      </c>
      <c r="W327" s="138">
        <v>8201000</v>
      </c>
    </row>
    <row r="328" spans="1:23" x14ac:dyDescent="0.25">
      <c r="A328" s="24"/>
      <c r="B328" s="29" t="s">
        <v>2140</v>
      </c>
      <c r="C328" s="24" t="s">
        <v>2139</v>
      </c>
      <c r="D328" s="123">
        <v>4540279</v>
      </c>
      <c r="H328" s="83" t="s">
        <v>1554</v>
      </c>
      <c r="I328" s="83">
        <v>154</v>
      </c>
      <c r="K328" s="83"/>
      <c r="M328" s="85">
        <v>0</v>
      </c>
      <c r="P328" s="85">
        <v>0</v>
      </c>
      <c r="S328" s="85">
        <v>0</v>
      </c>
      <c r="V328" s="85">
        <v>76650</v>
      </c>
      <c r="W328" s="138">
        <f>SUM(M328+P328+S328+V328)</f>
        <v>76650</v>
      </c>
    </row>
    <row r="329" spans="1:23" x14ac:dyDescent="0.25">
      <c r="A329" s="24"/>
      <c r="B329" s="29" t="s">
        <v>2037</v>
      </c>
      <c r="C329" s="24" t="s">
        <v>2142</v>
      </c>
      <c r="D329" s="123">
        <v>4540282</v>
      </c>
      <c r="H329" s="83" t="s">
        <v>1554</v>
      </c>
      <c r="I329" s="83">
        <v>155</v>
      </c>
      <c r="K329" s="83"/>
      <c r="M329" s="85">
        <v>0</v>
      </c>
      <c r="P329" s="85">
        <v>0</v>
      </c>
      <c r="S329" s="85">
        <v>0</v>
      </c>
      <c r="V329" s="85">
        <v>76650</v>
      </c>
      <c r="W329" s="138">
        <v>76650</v>
      </c>
    </row>
    <row r="330" spans="1:23" x14ac:dyDescent="0.25">
      <c r="A330" s="29"/>
      <c r="B330" s="29" t="s">
        <v>2145</v>
      </c>
      <c r="C330" s="29" t="s">
        <v>2144</v>
      </c>
      <c r="D330" s="24">
        <v>4540290</v>
      </c>
      <c r="H330" s="83" t="s">
        <v>1554</v>
      </c>
      <c r="I330" s="83">
        <v>156</v>
      </c>
      <c r="K330" s="83"/>
      <c r="M330" s="83">
        <v>50000</v>
      </c>
      <c r="P330" s="83">
        <v>110000</v>
      </c>
      <c r="S330" s="83">
        <v>103000</v>
      </c>
      <c r="V330" s="83">
        <v>36000</v>
      </c>
      <c r="W330" s="138">
        <f>SUM(M330+P330+S330+V330)</f>
        <v>299000</v>
      </c>
    </row>
    <row r="331" spans="1:23" x14ac:dyDescent="0.25">
      <c r="B331" s="29" t="s">
        <v>2147</v>
      </c>
      <c r="C331" s="83" t="s">
        <v>1194</v>
      </c>
      <c r="D331" s="24">
        <v>4540300</v>
      </c>
      <c r="H331" s="83" t="s">
        <v>1554</v>
      </c>
      <c r="K331" s="83"/>
      <c r="M331" s="83">
        <v>96000</v>
      </c>
      <c r="P331" s="83">
        <v>103000</v>
      </c>
      <c r="S331" s="83">
        <v>77000</v>
      </c>
      <c r="V331" s="83">
        <v>68000</v>
      </c>
      <c r="W331" s="138">
        <f>SUM(M331+P331+S331+V331)</f>
        <v>344000</v>
      </c>
    </row>
    <row r="332" spans="1:23" x14ac:dyDescent="0.25">
      <c r="B332" s="29"/>
      <c r="C332" s="83" t="s">
        <v>1197</v>
      </c>
      <c r="D332" s="24">
        <v>4540300</v>
      </c>
      <c r="H332" s="83" t="s">
        <v>1554</v>
      </c>
      <c r="I332" s="83">
        <v>157</v>
      </c>
      <c r="K332" s="83"/>
      <c r="M332" s="83">
        <v>0</v>
      </c>
      <c r="P332" s="83">
        <v>50000</v>
      </c>
      <c r="S332" s="83">
        <v>45000</v>
      </c>
      <c r="V332" s="83">
        <v>0</v>
      </c>
      <c r="W332" s="138">
        <f>SUM(M332+P332+S332+V332)</f>
        <v>95000</v>
      </c>
    </row>
    <row r="333" spans="1:23" x14ac:dyDescent="0.25">
      <c r="A333" s="29"/>
      <c r="B333" s="29" t="s">
        <v>2149</v>
      </c>
      <c r="C333" s="29" t="s">
        <v>2148</v>
      </c>
      <c r="D333" s="24">
        <v>4540302</v>
      </c>
      <c r="H333" s="83" t="s">
        <v>1554</v>
      </c>
      <c r="I333" s="83">
        <v>158</v>
      </c>
      <c r="K333" s="83"/>
      <c r="M333" s="83">
        <v>39000</v>
      </c>
      <c r="P333" s="83">
        <v>98000</v>
      </c>
      <c r="S333" s="83">
        <v>43000</v>
      </c>
      <c r="V333" s="83">
        <v>31000</v>
      </c>
      <c r="W333" s="138">
        <f>SUM(M333+P333+S333+V333)</f>
        <v>211000</v>
      </c>
    </row>
    <row r="334" spans="1:23" x14ac:dyDescent="0.25">
      <c r="A334" s="29"/>
      <c r="B334" s="29" t="s">
        <v>2152</v>
      </c>
      <c r="C334" s="29" t="s">
        <v>2151</v>
      </c>
      <c r="D334" s="24">
        <v>4540304</v>
      </c>
      <c r="H334" s="83" t="s">
        <v>1554</v>
      </c>
      <c r="I334" s="83">
        <v>159</v>
      </c>
      <c r="K334" s="83"/>
      <c r="M334" s="85">
        <v>0</v>
      </c>
      <c r="P334" s="85">
        <v>0</v>
      </c>
      <c r="S334" s="85">
        <v>0</v>
      </c>
      <c r="V334" s="85">
        <v>76650</v>
      </c>
      <c r="W334" s="138">
        <v>76650</v>
      </c>
    </row>
    <row r="335" spans="1:23" x14ac:dyDescent="0.25">
      <c r="A335" s="29"/>
      <c r="B335" s="29" t="s">
        <v>2155</v>
      </c>
      <c r="C335" s="29" t="s">
        <v>2154</v>
      </c>
      <c r="D335" s="24">
        <v>4540310</v>
      </c>
      <c r="H335" s="83" t="s">
        <v>1554</v>
      </c>
      <c r="I335" s="83">
        <v>160</v>
      </c>
      <c r="K335" s="83"/>
      <c r="M335" s="83">
        <v>7000</v>
      </c>
      <c r="P335" s="83">
        <v>87000</v>
      </c>
      <c r="S335" s="83">
        <v>21000</v>
      </c>
      <c r="V335" s="83">
        <v>4000</v>
      </c>
      <c r="W335" s="138">
        <f t="shared" ref="W335:W350" si="14">SUM(M335+P335+S335+V335)</f>
        <v>119000</v>
      </c>
    </row>
    <row r="336" spans="1:23" x14ac:dyDescent="0.25">
      <c r="A336" s="29"/>
      <c r="B336" s="29" t="s">
        <v>2158</v>
      </c>
      <c r="C336" s="29" t="s">
        <v>2157</v>
      </c>
      <c r="D336" s="24">
        <v>4540315</v>
      </c>
      <c r="H336" s="83" t="s">
        <v>1554</v>
      </c>
      <c r="K336" s="83"/>
      <c r="M336" s="83">
        <v>0</v>
      </c>
      <c r="P336" s="83">
        <v>0</v>
      </c>
      <c r="S336" s="83">
        <v>1000</v>
      </c>
      <c r="V336" s="83">
        <v>1000</v>
      </c>
      <c r="W336" s="138">
        <f t="shared" si="14"/>
        <v>2000</v>
      </c>
    </row>
    <row r="337" spans="1:23" x14ac:dyDescent="0.25">
      <c r="A337" s="29"/>
      <c r="B337" s="29" t="s">
        <v>2160</v>
      </c>
      <c r="C337" s="29" t="s">
        <v>2157</v>
      </c>
      <c r="D337" s="24">
        <v>4540315</v>
      </c>
      <c r="H337" s="83" t="s">
        <v>1554</v>
      </c>
      <c r="K337" s="83"/>
      <c r="M337" s="83">
        <v>0</v>
      </c>
      <c r="P337" s="83">
        <v>1000</v>
      </c>
      <c r="S337" s="83">
        <v>1000</v>
      </c>
      <c r="V337" s="83">
        <v>1000</v>
      </c>
      <c r="W337" s="138">
        <f t="shared" si="14"/>
        <v>3000</v>
      </c>
    </row>
    <row r="338" spans="1:23" x14ac:dyDescent="0.25">
      <c r="A338" s="29"/>
      <c r="B338" s="29" t="s">
        <v>2162</v>
      </c>
      <c r="C338" s="29" t="s">
        <v>2157</v>
      </c>
      <c r="D338" s="24">
        <v>4540315</v>
      </c>
      <c r="H338" s="83" t="s">
        <v>1554</v>
      </c>
      <c r="K338" s="83"/>
      <c r="M338" s="83">
        <v>14000</v>
      </c>
      <c r="P338" s="83">
        <v>15000</v>
      </c>
      <c r="S338" s="83">
        <v>14000</v>
      </c>
      <c r="V338" s="83">
        <v>14000</v>
      </c>
      <c r="W338" s="138">
        <f t="shared" si="14"/>
        <v>57000</v>
      </c>
    </row>
    <row r="339" spans="1:23" x14ac:dyDescent="0.25">
      <c r="A339" s="29"/>
      <c r="B339" s="29" t="s">
        <v>2164</v>
      </c>
      <c r="C339" s="29" t="s">
        <v>2157</v>
      </c>
      <c r="D339" s="24">
        <v>4540315</v>
      </c>
      <c r="H339" s="83" t="s">
        <v>1554</v>
      </c>
      <c r="K339" s="83"/>
      <c r="M339" s="83">
        <v>11000</v>
      </c>
      <c r="P339" s="83">
        <v>18000</v>
      </c>
      <c r="S339" s="83">
        <v>14000</v>
      </c>
      <c r="V339" s="83">
        <v>8000</v>
      </c>
      <c r="W339" s="138">
        <f t="shared" si="14"/>
        <v>51000</v>
      </c>
    </row>
    <row r="340" spans="1:23" x14ac:dyDescent="0.25">
      <c r="A340" s="29"/>
      <c r="B340" s="29" t="s">
        <v>2166</v>
      </c>
      <c r="C340" s="29" t="s">
        <v>2157</v>
      </c>
      <c r="D340" s="24">
        <v>4540315</v>
      </c>
      <c r="H340" s="83" t="s">
        <v>1554</v>
      </c>
      <c r="K340" s="83"/>
      <c r="M340" s="85">
        <v>0</v>
      </c>
      <c r="P340" s="85">
        <v>0</v>
      </c>
      <c r="S340" s="85">
        <v>0</v>
      </c>
      <c r="V340" s="85">
        <v>0</v>
      </c>
      <c r="W340" s="138">
        <f t="shared" si="14"/>
        <v>0</v>
      </c>
    </row>
    <row r="341" spans="1:23" x14ac:dyDescent="0.25">
      <c r="A341" s="29"/>
      <c r="B341" s="29" t="s">
        <v>2168</v>
      </c>
      <c r="C341" s="29" t="s">
        <v>2157</v>
      </c>
      <c r="D341" s="24">
        <v>4540315</v>
      </c>
      <c r="H341" s="83" t="s">
        <v>1554</v>
      </c>
      <c r="K341" s="83"/>
      <c r="M341" s="83">
        <v>34000</v>
      </c>
      <c r="P341" s="83">
        <v>171000</v>
      </c>
      <c r="S341" s="83">
        <v>31000</v>
      </c>
      <c r="V341" s="83">
        <v>45000</v>
      </c>
      <c r="W341" s="138">
        <f t="shared" si="14"/>
        <v>281000</v>
      </c>
    </row>
    <row r="342" spans="1:23" x14ac:dyDescent="0.25">
      <c r="A342" s="29"/>
      <c r="B342" s="29" t="s">
        <v>2168</v>
      </c>
      <c r="C342" s="29" t="s">
        <v>2157</v>
      </c>
      <c r="D342" s="24">
        <v>4540315</v>
      </c>
      <c r="H342" s="83" t="s">
        <v>1554</v>
      </c>
      <c r="K342" s="83"/>
      <c r="M342" s="83">
        <v>67000</v>
      </c>
      <c r="P342" s="83">
        <v>29000</v>
      </c>
      <c r="S342" s="83">
        <v>17000</v>
      </c>
      <c r="V342" s="83">
        <v>14000</v>
      </c>
      <c r="W342" s="138">
        <f t="shared" si="14"/>
        <v>127000</v>
      </c>
    </row>
    <row r="343" spans="1:23" x14ac:dyDescent="0.25">
      <c r="A343" s="29"/>
      <c r="B343" s="29" t="s">
        <v>2171</v>
      </c>
      <c r="C343" s="29" t="s">
        <v>2157</v>
      </c>
      <c r="D343" s="24">
        <v>4540315</v>
      </c>
      <c r="H343" s="83" t="s">
        <v>1554</v>
      </c>
      <c r="K343" s="83"/>
      <c r="M343" s="83">
        <v>7000</v>
      </c>
      <c r="P343" s="83">
        <v>14000</v>
      </c>
      <c r="S343" s="83">
        <v>10000</v>
      </c>
      <c r="V343" s="83">
        <v>15000</v>
      </c>
      <c r="W343" s="138">
        <f t="shared" si="14"/>
        <v>46000</v>
      </c>
    </row>
    <row r="344" spans="1:23" x14ac:dyDescent="0.25">
      <c r="A344" s="29"/>
      <c r="B344" s="29" t="s">
        <v>2173</v>
      </c>
      <c r="C344" s="29" t="s">
        <v>2157</v>
      </c>
      <c r="D344" s="24">
        <v>4540315</v>
      </c>
      <c r="H344" s="83" t="s">
        <v>1554</v>
      </c>
      <c r="K344" s="83"/>
      <c r="M344" s="85">
        <v>0</v>
      </c>
      <c r="P344" s="85">
        <v>0</v>
      </c>
      <c r="S344" s="85">
        <v>0</v>
      </c>
      <c r="V344" s="85">
        <v>0</v>
      </c>
      <c r="W344" s="138">
        <f t="shared" si="14"/>
        <v>0</v>
      </c>
    </row>
    <row r="345" spans="1:23" x14ac:dyDescent="0.25">
      <c r="A345" s="29"/>
      <c r="B345" s="29" t="s">
        <v>2175</v>
      </c>
      <c r="C345" s="29" t="s">
        <v>2157</v>
      </c>
      <c r="D345" s="24">
        <v>4540315</v>
      </c>
      <c r="H345" s="83" t="s">
        <v>1554</v>
      </c>
      <c r="K345" s="83"/>
      <c r="M345" s="83">
        <v>11000</v>
      </c>
      <c r="P345" s="83">
        <v>9000</v>
      </c>
      <c r="S345" s="83">
        <v>8000</v>
      </c>
      <c r="V345" s="83">
        <v>7000</v>
      </c>
      <c r="W345" s="138">
        <f t="shared" si="14"/>
        <v>35000</v>
      </c>
    </row>
    <row r="346" spans="1:23" x14ac:dyDescent="0.25">
      <c r="A346" s="29"/>
      <c r="B346" s="29" t="s">
        <v>2177</v>
      </c>
      <c r="C346" s="29" t="s">
        <v>2157</v>
      </c>
      <c r="D346" s="24">
        <v>4540315</v>
      </c>
      <c r="H346" s="83" t="s">
        <v>1554</v>
      </c>
      <c r="K346" s="83"/>
      <c r="M346" s="85">
        <v>0</v>
      </c>
      <c r="P346" s="85">
        <v>0</v>
      </c>
      <c r="S346" s="85">
        <v>0</v>
      </c>
      <c r="V346" s="85">
        <v>0</v>
      </c>
      <c r="W346" s="138">
        <f t="shared" si="14"/>
        <v>0</v>
      </c>
    </row>
    <row r="347" spans="1:23" x14ac:dyDescent="0.25">
      <c r="A347" s="29"/>
      <c r="B347" s="29" t="s">
        <v>2178</v>
      </c>
      <c r="C347" s="29" t="s">
        <v>2157</v>
      </c>
      <c r="D347" s="24">
        <v>4540315</v>
      </c>
      <c r="H347" s="83" t="s">
        <v>1554</v>
      </c>
      <c r="K347" s="83"/>
      <c r="M347" s="83">
        <v>2000</v>
      </c>
      <c r="P347" s="83">
        <v>2000</v>
      </c>
      <c r="S347" s="83">
        <v>2000</v>
      </c>
      <c r="V347" s="83">
        <v>1000</v>
      </c>
      <c r="W347" s="138">
        <f t="shared" si="14"/>
        <v>7000</v>
      </c>
    </row>
    <row r="348" spans="1:23" x14ac:dyDescent="0.25">
      <c r="A348" s="29"/>
      <c r="B348" s="29" t="s">
        <v>2178</v>
      </c>
      <c r="C348" s="29" t="s">
        <v>2182</v>
      </c>
      <c r="D348" s="24">
        <v>4540315</v>
      </c>
      <c r="H348" s="83" t="s">
        <v>1554</v>
      </c>
      <c r="K348" s="83"/>
      <c r="M348" s="83">
        <v>6000</v>
      </c>
      <c r="P348" s="83">
        <v>7000</v>
      </c>
      <c r="S348" s="83">
        <v>8000</v>
      </c>
      <c r="V348" s="83">
        <v>8000</v>
      </c>
      <c r="W348" s="138">
        <f t="shared" si="14"/>
        <v>29000</v>
      </c>
    </row>
    <row r="349" spans="1:23" x14ac:dyDescent="0.25">
      <c r="A349" s="29"/>
      <c r="B349" s="29" t="s">
        <v>2181</v>
      </c>
      <c r="C349" s="29" t="s">
        <v>2180</v>
      </c>
      <c r="D349" s="24">
        <v>4540315</v>
      </c>
      <c r="H349" s="83" t="s">
        <v>1554</v>
      </c>
      <c r="I349" s="83">
        <v>161</v>
      </c>
      <c r="K349" s="83"/>
      <c r="M349" s="83">
        <v>165000</v>
      </c>
      <c r="P349" s="83">
        <v>159000</v>
      </c>
      <c r="S349" s="83">
        <v>157000</v>
      </c>
      <c r="V349" s="83">
        <v>155000</v>
      </c>
      <c r="W349" s="138">
        <f t="shared" si="14"/>
        <v>636000</v>
      </c>
    </row>
    <row r="350" spans="1:23" x14ac:dyDescent="0.25">
      <c r="A350" s="29"/>
      <c r="B350" s="29" t="s">
        <v>2185</v>
      </c>
      <c r="C350" s="29" t="s">
        <v>2184</v>
      </c>
      <c r="D350" s="24">
        <v>4540320</v>
      </c>
      <c r="H350" s="83" t="s">
        <v>1554</v>
      </c>
      <c r="I350" s="83">
        <v>162</v>
      </c>
      <c r="K350" s="83"/>
      <c r="M350" s="83">
        <v>139000</v>
      </c>
      <c r="P350" s="83">
        <v>209000</v>
      </c>
      <c r="S350" s="83">
        <v>120000</v>
      </c>
      <c r="V350" s="83">
        <v>86000</v>
      </c>
      <c r="W350" s="138">
        <f t="shared" si="14"/>
        <v>554000</v>
      </c>
    </row>
    <row r="351" spans="1:23" x14ac:dyDescent="0.25">
      <c r="A351" s="29"/>
      <c r="B351" s="29" t="s">
        <v>2188</v>
      </c>
      <c r="C351" s="29" t="s">
        <v>2187</v>
      </c>
      <c r="D351" s="124">
        <v>4540328</v>
      </c>
      <c r="H351" s="83" t="s">
        <v>1554</v>
      </c>
      <c r="I351" s="83">
        <v>163</v>
      </c>
      <c r="K351" s="83"/>
      <c r="M351" s="85">
        <v>0</v>
      </c>
      <c r="P351" s="85">
        <v>0</v>
      </c>
      <c r="S351" s="85">
        <v>0</v>
      </c>
      <c r="V351" s="85">
        <v>76650</v>
      </c>
      <c r="W351" s="138">
        <v>76650</v>
      </c>
    </row>
    <row r="352" spans="1:23" x14ac:dyDescent="0.25">
      <c r="A352" s="29"/>
      <c r="B352" s="29" t="s">
        <v>2191</v>
      </c>
      <c r="C352" s="29" t="s">
        <v>2190</v>
      </c>
      <c r="D352" s="24">
        <v>4540332</v>
      </c>
      <c r="H352" s="83" t="s">
        <v>1554</v>
      </c>
      <c r="I352" s="83">
        <v>164</v>
      </c>
      <c r="K352" s="83"/>
      <c r="M352" s="83">
        <v>4000</v>
      </c>
      <c r="P352" s="83">
        <v>6000</v>
      </c>
      <c r="S352" s="83">
        <v>3000</v>
      </c>
      <c r="V352" s="83">
        <v>4000</v>
      </c>
      <c r="W352" s="138">
        <f t="shared" ref="W352:W357" si="15">SUM(M352+P352+S352+V352)</f>
        <v>17000</v>
      </c>
    </row>
    <row r="353" spans="1:23" x14ac:dyDescent="0.25">
      <c r="A353" s="29"/>
      <c r="B353" s="29" t="s">
        <v>2194</v>
      </c>
      <c r="C353" s="29" t="s">
        <v>2193</v>
      </c>
      <c r="D353" s="24">
        <v>4540336</v>
      </c>
      <c r="H353" s="83" t="s">
        <v>1554</v>
      </c>
      <c r="I353" s="83">
        <v>165</v>
      </c>
      <c r="K353" s="83"/>
      <c r="M353" s="83">
        <v>341000</v>
      </c>
      <c r="P353" s="83">
        <v>453000</v>
      </c>
      <c r="S353" s="83">
        <v>359000</v>
      </c>
      <c r="V353" s="83">
        <v>206000</v>
      </c>
      <c r="W353" s="138">
        <f t="shared" si="15"/>
        <v>1359000</v>
      </c>
    </row>
    <row r="354" spans="1:23" x14ac:dyDescent="0.25">
      <c r="A354" s="29"/>
      <c r="B354" s="29" t="s">
        <v>2185</v>
      </c>
      <c r="C354" s="29" t="s">
        <v>2196</v>
      </c>
      <c r="D354" s="24">
        <v>4540339</v>
      </c>
      <c r="H354" s="83" t="s">
        <v>1554</v>
      </c>
      <c r="I354" s="83">
        <v>166</v>
      </c>
      <c r="K354" s="83"/>
      <c r="M354" s="83">
        <v>30000</v>
      </c>
      <c r="P354" s="83">
        <v>284000</v>
      </c>
      <c r="S354" s="83">
        <v>43000</v>
      </c>
      <c r="V354" s="83">
        <v>18000</v>
      </c>
      <c r="W354" s="138">
        <f t="shared" si="15"/>
        <v>375000</v>
      </c>
    </row>
    <row r="355" spans="1:23" x14ac:dyDescent="0.25">
      <c r="A355" s="29"/>
      <c r="B355" s="29" t="s">
        <v>2199</v>
      </c>
      <c r="C355" s="29" t="s">
        <v>2198</v>
      </c>
      <c r="D355" s="24">
        <v>4540347</v>
      </c>
      <c r="H355" s="83" t="s">
        <v>1554</v>
      </c>
      <c r="I355" s="83">
        <v>167</v>
      </c>
      <c r="K355" s="83"/>
      <c r="M355" s="83">
        <v>128000</v>
      </c>
      <c r="P355" s="83">
        <v>126000</v>
      </c>
      <c r="S355" s="83">
        <v>117000</v>
      </c>
      <c r="V355" s="83">
        <v>87000</v>
      </c>
      <c r="W355" s="138">
        <f t="shared" si="15"/>
        <v>458000</v>
      </c>
    </row>
    <row r="356" spans="1:23" x14ac:dyDescent="0.25">
      <c r="A356" s="29"/>
      <c r="B356" s="29" t="s">
        <v>2202</v>
      </c>
      <c r="C356" s="29" t="s">
        <v>2201</v>
      </c>
      <c r="D356" s="24">
        <v>4540353</v>
      </c>
      <c r="H356" s="83" t="s">
        <v>1554</v>
      </c>
      <c r="I356" s="83">
        <v>168</v>
      </c>
      <c r="K356" s="83"/>
      <c r="M356" s="83">
        <v>7000</v>
      </c>
      <c r="P356" s="83">
        <v>7000</v>
      </c>
      <c r="S356" s="83">
        <v>10000</v>
      </c>
      <c r="V356" s="83">
        <v>5000</v>
      </c>
      <c r="W356" s="138">
        <f t="shared" si="15"/>
        <v>29000</v>
      </c>
    </row>
    <row r="357" spans="1:23" x14ac:dyDescent="0.25">
      <c r="A357" s="29"/>
      <c r="B357" s="29" t="s">
        <v>2205</v>
      </c>
      <c r="C357" s="29" t="s">
        <v>2204</v>
      </c>
      <c r="D357" s="24">
        <v>4540358</v>
      </c>
      <c r="H357" s="83" t="s">
        <v>1554</v>
      </c>
      <c r="K357" s="83"/>
      <c r="M357" s="83">
        <v>11000</v>
      </c>
      <c r="P357" s="83">
        <v>12000</v>
      </c>
      <c r="S357" s="83">
        <v>10000</v>
      </c>
      <c r="V357" s="83">
        <v>11000</v>
      </c>
      <c r="W357" s="138">
        <f t="shared" si="15"/>
        <v>44000</v>
      </c>
    </row>
    <row r="358" spans="1:23" x14ac:dyDescent="0.25">
      <c r="A358" s="29"/>
      <c r="B358" s="29" t="s">
        <v>2207</v>
      </c>
      <c r="C358" s="29" t="s">
        <v>2204</v>
      </c>
      <c r="D358" s="24">
        <v>4540358</v>
      </c>
      <c r="H358" s="83" t="s">
        <v>1554</v>
      </c>
      <c r="I358" s="83">
        <v>169</v>
      </c>
      <c r="K358" s="83"/>
      <c r="M358" s="83">
        <v>0</v>
      </c>
      <c r="P358" s="83">
        <v>0</v>
      </c>
      <c r="S358" s="83">
        <v>0</v>
      </c>
      <c r="V358" s="83">
        <v>76650</v>
      </c>
      <c r="W358" s="138">
        <v>76650</v>
      </c>
    </row>
    <row r="359" spans="1:23" x14ac:dyDescent="0.25">
      <c r="B359" s="29" t="s">
        <v>2209</v>
      </c>
      <c r="C359" s="83" t="s">
        <v>755</v>
      </c>
      <c r="D359" s="24">
        <v>4540369</v>
      </c>
      <c r="H359" s="83" t="s">
        <v>1554</v>
      </c>
      <c r="I359" s="83">
        <v>170</v>
      </c>
      <c r="K359" s="83"/>
      <c r="M359" s="142">
        <v>0</v>
      </c>
      <c r="P359" s="83">
        <v>0</v>
      </c>
      <c r="S359" s="83">
        <v>0</v>
      </c>
      <c r="V359" s="83">
        <v>0</v>
      </c>
      <c r="W359" s="138">
        <v>1359000</v>
      </c>
    </row>
    <row r="360" spans="1:23" x14ac:dyDescent="0.25">
      <c r="A360" s="29"/>
      <c r="B360" s="29" t="s">
        <v>2214</v>
      </c>
      <c r="C360" s="29" t="s">
        <v>2213</v>
      </c>
      <c r="D360" s="24">
        <v>4540380</v>
      </c>
      <c r="H360" s="83" t="s">
        <v>1554</v>
      </c>
      <c r="K360" s="83"/>
      <c r="M360" s="83">
        <v>145000</v>
      </c>
      <c r="P360" s="83">
        <v>150000</v>
      </c>
      <c r="S360" s="83">
        <v>149000</v>
      </c>
      <c r="V360" s="83">
        <v>142000</v>
      </c>
      <c r="W360" s="138">
        <f t="shared" ref="W360:W380" si="16">SUM(M360+P360+S360+V360)</f>
        <v>586000</v>
      </c>
    </row>
    <row r="361" spans="1:23" x14ac:dyDescent="0.25">
      <c r="A361" s="29"/>
      <c r="B361" s="29" t="s">
        <v>2216</v>
      </c>
      <c r="C361" s="29" t="s">
        <v>2213</v>
      </c>
      <c r="D361" s="24">
        <v>4540380</v>
      </c>
      <c r="H361" s="83" t="s">
        <v>1554</v>
      </c>
      <c r="K361" s="83"/>
      <c r="M361" s="83">
        <v>2000</v>
      </c>
      <c r="P361" s="83">
        <v>3000</v>
      </c>
      <c r="S361" s="83">
        <v>3000</v>
      </c>
      <c r="V361" s="83">
        <v>2000</v>
      </c>
      <c r="W361" s="138">
        <f t="shared" si="16"/>
        <v>10000</v>
      </c>
    </row>
    <row r="362" spans="1:23" x14ac:dyDescent="0.25">
      <c r="A362" s="29"/>
      <c r="B362" s="29" t="s">
        <v>2218</v>
      </c>
      <c r="C362" s="29" t="s">
        <v>2213</v>
      </c>
      <c r="D362" s="24">
        <v>4540380</v>
      </c>
      <c r="H362" s="83" t="s">
        <v>1554</v>
      </c>
      <c r="K362" s="83"/>
      <c r="M362" s="83">
        <v>79000</v>
      </c>
      <c r="P362" s="83">
        <v>84000</v>
      </c>
      <c r="S362" s="83">
        <v>74000</v>
      </c>
      <c r="V362" s="83">
        <v>61000</v>
      </c>
      <c r="W362" s="138">
        <f t="shared" si="16"/>
        <v>298000</v>
      </c>
    </row>
    <row r="363" spans="1:23" x14ac:dyDescent="0.25">
      <c r="A363" s="29"/>
      <c r="B363" s="29" t="s">
        <v>2220</v>
      </c>
      <c r="C363" s="29" t="s">
        <v>2213</v>
      </c>
      <c r="D363" s="24">
        <v>4540380</v>
      </c>
      <c r="H363" s="83" t="s">
        <v>1554</v>
      </c>
      <c r="K363" s="83"/>
      <c r="M363" s="85">
        <v>0</v>
      </c>
      <c r="P363" s="85">
        <v>0</v>
      </c>
      <c r="S363" s="85">
        <v>0</v>
      </c>
      <c r="V363" s="85">
        <v>0</v>
      </c>
      <c r="W363" s="138">
        <f t="shared" si="16"/>
        <v>0</v>
      </c>
    </row>
    <row r="364" spans="1:23" x14ac:dyDescent="0.25">
      <c r="A364" s="29"/>
      <c r="B364" s="29" t="s">
        <v>2222</v>
      </c>
      <c r="C364" s="29" t="s">
        <v>2213</v>
      </c>
      <c r="D364" s="24">
        <v>4540380</v>
      </c>
      <c r="H364" s="83" t="s">
        <v>1554</v>
      </c>
      <c r="K364" s="83"/>
      <c r="M364" s="83">
        <v>19000</v>
      </c>
      <c r="P364" s="83">
        <v>18000</v>
      </c>
      <c r="S364" s="83">
        <v>18000</v>
      </c>
      <c r="V364" s="83">
        <v>16000</v>
      </c>
      <c r="W364" s="138">
        <f t="shared" si="16"/>
        <v>71000</v>
      </c>
    </row>
    <row r="365" spans="1:23" x14ac:dyDescent="0.25">
      <c r="A365" s="29"/>
      <c r="B365" s="29" t="s">
        <v>2220</v>
      </c>
      <c r="C365" s="29" t="s">
        <v>2213</v>
      </c>
      <c r="D365" s="24">
        <v>4540380</v>
      </c>
      <c r="H365" s="83" t="s">
        <v>1554</v>
      </c>
      <c r="K365" s="83"/>
      <c r="M365" s="83">
        <v>84000</v>
      </c>
      <c r="P365" s="83">
        <v>85000</v>
      </c>
      <c r="S365" s="83">
        <v>93000</v>
      </c>
      <c r="V365" s="83">
        <v>87000</v>
      </c>
      <c r="W365" s="138">
        <f t="shared" si="16"/>
        <v>349000</v>
      </c>
    </row>
    <row r="366" spans="1:23" x14ac:dyDescent="0.25">
      <c r="A366" s="29"/>
      <c r="B366" s="29" t="s">
        <v>2225</v>
      </c>
      <c r="C366" s="29" t="s">
        <v>2213</v>
      </c>
      <c r="D366" s="24">
        <v>4540380</v>
      </c>
      <c r="H366" s="83" t="s">
        <v>1554</v>
      </c>
      <c r="K366" s="83"/>
      <c r="M366" s="83">
        <v>3000</v>
      </c>
      <c r="P366" s="83">
        <v>3000</v>
      </c>
      <c r="S366" s="83">
        <v>3000</v>
      </c>
      <c r="V366" s="83">
        <v>3000</v>
      </c>
      <c r="W366" s="138">
        <f t="shared" si="16"/>
        <v>12000</v>
      </c>
    </row>
    <row r="367" spans="1:23" x14ac:dyDescent="0.25">
      <c r="B367" s="83" t="s">
        <v>1363</v>
      </c>
      <c r="C367" s="83" t="s">
        <v>1367</v>
      </c>
      <c r="D367" s="24">
        <v>4540380</v>
      </c>
      <c r="H367" s="83" t="s">
        <v>1554</v>
      </c>
      <c r="I367" s="83">
        <v>171</v>
      </c>
      <c r="K367" s="83"/>
      <c r="M367" s="83">
        <v>0</v>
      </c>
      <c r="P367" s="83">
        <v>0</v>
      </c>
      <c r="S367" s="83">
        <v>1000</v>
      </c>
      <c r="V367" s="83">
        <v>0</v>
      </c>
      <c r="W367" s="138">
        <f t="shared" si="16"/>
        <v>1000</v>
      </c>
    </row>
    <row r="368" spans="1:23" x14ac:dyDescent="0.25">
      <c r="A368" s="29"/>
      <c r="B368" s="29" t="s">
        <v>2233</v>
      </c>
      <c r="C368" s="29" t="s">
        <v>2226</v>
      </c>
      <c r="D368" s="24">
        <v>4540385</v>
      </c>
      <c r="H368" s="83" t="s">
        <v>1554</v>
      </c>
      <c r="K368" s="83"/>
      <c r="M368" s="83">
        <v>47000</v>
      </c>
      <c r="P368" s="83">
        <v>349000</v>
      </c>
      <c r="S368" s="83">
        <v>125000</v>
      </c>
      <c r="V368" s="83">
        <v>0</v>
      </c>
      <c r="W368" s="138">
        <f t="shared" si="16"/>
        <v>521000</v>
      </c>
    </row>
    <row r="369" spans="1:23" x14ac:dyDescent="0.25">
      <c r="A369" s="29"/>
      <c r="B369" s="29" t="s">
        <v>2228</v>
      </c>
      <c r="C369" s="29" t="s">
        <v>2227</v>
      </c>
      <c r="D369" s="24">
        <v>4540385</v>
      </c>
      <c r="H369" s="83" t="s">
        <v>1554</v>
      </c>
      <c r="K369" s="83"/>
      <c r="M369" s="83">
        <v>7000</v>
      </c>
      <c r="P369" s="83">
        <v>9000</v>
      </c>
      <c r="S369" s="83">
        <v>7000</v>
      </c>
      <c r="V369" s="83">
        <v>8000</v>
      </c>
      <c r="W369" s="138">
        <f t="shared" si="16"/>
        <v>31000</v>
      </c>
    </row>
    <row r="370" spans="1:23" x14ac:dyDescent="0.25">
      <c r="A370" s="29"/>
      <c r="B370" s="29" t="s">
        <v>2228</v>
      </c>
      <c r="C370" s="29" t="s">
        <v>2229</v>
      </c>
      <c r="D370" s="24">
        <v>4540385</v>
      </c>
      <c r="H370" s="83" t="s">
        <v>1554</v>
      </c>
      <c r="K370" s="83"/>
      <c r="M370" s="83">
        <v>8000</v>
      </c>
      <c r="P370" s="83">
        <v>10000</v>
      </c>
      <c r="S370" s="83">
        <v>4000</v>
      </c>
      <c r="V370" s="83">
        <v>0</v>
      </c>
      <c r="W370" s="138">
        <f t="shared" si="16"/>
        <v>22000</v>
      </c>
    </row>
    <row r="371" spans="1:23" x14ac:dyDescent="0.25">
      <c r="A371" s="29"/>
      <c r="B371" s="29" t="s">
        <v>2228</v>
      </c>
      <c r="C371" s="29" t="s">
        <v>2240</v>
      </c>
      <c r="D371" s="24">
        <v>4540385</v>
      </c>
      <c r="H371" s="83" t="s">
        <v>1554</v>
      </c>
      <c r="K371" s="83"/>
      <c r="M371" s="83">
        <v>0</v>
      </c>
      <c r="P371" s="83">
        <v>0</v>
      </c>
      <c r="S371" s="83">
        <v>0</v>
      </c>
      <c r="V371" s="83">
        <v>0</v>
      </c>
      <c r="W371" s="138">
        <f t="shared" si="16"/>
        <v>0</v>
      </c>
    </row>
    <row r="372" spans="1:23" x14ac:dyDescent="0.25">
      <c r="A372" s="29"/>
      <c r="B372" s="29" t="s">
        <v>2230</v>
      </c>
      <c r="C372" s="29" t="s">
        <v>2229</v>
      </c>
      <c r="D372" s="24">
        <v>4540385</v>
      </c>
      <c r="H372" s="83" t="s">
        <v>1554</v>
      </c>
      <c r="K372" s="83"/>
      <c r="M372" s="83">
        <v>42000</v>
      </c>
      <c r="P372" s="83">
        <v>44000</v>
      </c>
      <c r="S372" s="83">
        <v>34000</v>
      </c>
      <c r="V372" s="83">
        <v>38000</v>
      </c>
      <c r="W372" s="138">
        <f t="shared" si="16"/>
        <v>158000</v>
      </c>
    </row>
    <row r="373" spans="1:23" x14ac:dyDescent="0.25">
      <c r="A373" s="29"/>
      <c r="B373" s="29" t="s">
        <v>2231</v>
      </c>
      <c r="C373" s="29" t="s">
        <v>2226</v>
      </c>
      <c r="D373" s="24">
        <v>4540385</v>
      </c>
      <c r="H373" s="83" t="s">
        <v>1554</v>
      </c>
      <c r="K373" s="83"/>
      <c r="M373" s="83">
        <v>12000</v>
      </c>
      <c r="P373" s="83">
        <v>12000</v>
      </c>
      <c r="S373" s="83">
        <v>10000</v>
      </c>
      <c r="V373" s="83">
        <v>8000</v>
      </c>
      <c r="W373" s="138">
        <f t="shared" si="16"/>
        <v>42000</v>
      </c>
    </row>
    <row r="374" spans="1:23" x14ac:dyDescent="0.25">
      <c r="A374" s="29"/>
      <c r="B374" s="29" t="s">
        <v>2232</v>
      </c>
      <c r="C374" s="29" t="s">
        <v>2226</v>
      </c>
      <c r="D374" s="24">
        <v>4540385</v>
      </c>
      <c r="H374" s="83" t="s">
        <v>1554</v>
      </c>
      <c r="K374" s="83"/>
      <c r="M374" s="83">
        <v>111000</v>
      </c>
      <c r="P374" s="83">
        <v>108000</v>
      </c>
      <c r="S374" s="83">
        <v>65000</v>
      </c>
      <c r="V374" s="83">
        <v>62000</v>
      </c>
      <c r="W374" s="138">
        <f t="shared" si="16"/>
        <v>346000</v>
      </c>
    </row>
    <row r="375" spans="1:23" x14ac:dyDescent="0.25">
      <c r="A375" s="29"/>
      <c r="B375" s="29" t="s">
        <v>2233</v>
      </c>
      <c r="C375" s="29" t="s">
        <v>2226</v>
      </c>
      <c r="D375" s="24">
        <v>4540385</v>
      </c>
      <c r="H375" s="83" t="s">
        <v>1554</v>
      </c>
      <c r="I375" s="83">
        <v>172</v>
      </c>
      <c r="K375" s="83"/>
      <c r="M375" s="83">
        <v>0</v>
      </c>
      <c r="P375" s="83">
        <v>0</v>
      </c>
      <c r="S375" s="83">
        <v>0</v>
      </c>
      <c r="V375" s="83">
        <v>2000</v>
      </c>
      <c r="W375" s="138">
        <f t="shared" si="16"/>
        <v>2000</v>
      </c>
    </row>
    <row r="376" spans="1:23" x14ac:dyDescent="0.25">
      <c r="B376" s="83" t="s">
        <v>1249</v>
      </c>
      <c r="C376" s="83" t="s">
        <v>1250</v>
      </c>
      <c r="D376" s="24">
        <v>4540392</v>
      </c>
      <c r="H376" s="83" t="s">
        <v>1554</v>
      </c>
      <c r="I376" s="83">
        <v>173</v>
      </c>
      <c r="K376" s="83"/>
      <c r="M376" s="83">
        <v>2000</v>
      </c>
      <c r="P376" s="83">
        <v>3000</v>
      </c>
      <c r="S376" s="83">
        <v>3000</v>
      </c>
      <c r="V376" s="83">
        <v>2000</v>
      </c>
      <c r="W376" s="138">
        <f t="shared" si="16"/>
        <v>10000</v>
      </c>
    </row>
    <row r="377" spans="1:23" x14ac:dyDescent="0.25">
      <c r="B377" s="83" t="s">
        <v>788</v>
      </c>
      <c r="C377" s="83" t="s">
        <v>792</v>
      </c>
      <c r="D377" s="24">
        <v>4540394</v>
      </c>
      <c r="H377" s="83" t="s">
        <v>1554</v>
      </c>
      <c r="I377" s="83">
        <v>174</v>
      </c>
      <c r="K377" s="83"/>
      <c r="M377" s="83">
        <v>35000</v>
      </c>
      <c r="P377" s="83">
        <v>52000</v>
      </c>
      <c r="S377" s="83">
        <v>35000</v>
      </c>
      <c r="V377" s="83">
        <v>30000</v>
      </c>
      <c r="W377" s="138">
        <f t="shared" si="16"/>
        <v>152000</v>
      </c>
    </row>
    <row r="378" spans="1:23" x14ac:dyDescent="0.25">
      <c r="A378" s="29"/>
      <c r="B378" s="29" t="s">
        <v>2235</v>
      </c>
      <c r="C378" s="29" t="s">
        <v>2234</v>
      </c>
      <c r="D378" s="24">
        <v>4540395</v>
      </c>
      <c r="H378" s="83" t="s">
        <v>1554</v>
      </c>
      <c r="I378" s="83">
        <v>175</v>
      </c>
      <c r="K378" s="83"/>
      <c r="M378" s="83">
        <v>62000</v>
      </c>
      <c r="P378" s="83">
        <v>62000</v>
      </c>
      <c r="S378" s="83">
        <v>63000</v>
      </c>
      <c r="V378" s="83">
        <v>60000</v>
      </c>
      <c r="W378" s="138">
        <f t="shared" si="16"/>
        <v>247000</v>
      </c>
    </row>
    <row r="379" spans="1:23" x14ac:dyDescent="0.25">
      <c r="A379" s="29"/>
      <c r="B379" s="29" t="s">
        <v>2237</v>
      </c>
      <c r="C379" s="29" t="s">
        <v>2236</v>
      </c>
      <c r="D379" s="24">
        <v>4540401</v>
      </c>
      <c r="H379" s="83" t="s">
        <v>1554</v>
      </c>
      <c r="I379" s="83">
        <v>176</v>
      </c>
      <c r="K379" s="83"/>
      <c r="M379" s="83">
        <v>405000</v>
      </c>
      <c r="P379" s="83">
        <v>429000</v>
      </c>
      <c r="S379" s="83">
        <v>318000</v>
      </c>
      <c r="V379" s="83">
        <v>244000</v>
      </c>
      <c r="W379" s="138">
        <f t="shared" si="16"/>
        <v>1396000</v>
      </c>
    </row>
    <row r="380" spans="1:23" x14ac:dyDescent="0.25">
      <c r="A380" s="29"/>
      <c r="B380" s="29" t="s">
        <v>2239</v>
      </c>
      <c r="C380" s="29" t="s">
        <v>2238</v>
      </c>
      <c r="D380" s="24">
        <v>4540411</v>
      </c>
      <c r="H380" s="83" t="s">
        <v>1554</v>
      </c>
      <c r="I380" s="83">
        <v>177</v>
      </c>
      <c r="K380" s="83"/>
      <c r="M380" s="83">
        <v>7000</v>
      </c>
      <c r="P380" s="83">
        <v>21000</v>
      </c>
      <c r="S380" s="83">
        <v>36000</v>
      </c>
      <c r="V380" s="83">
        <v>28000</v>
      </c>
      <c r="W380" s="138">
        <f t="shared" si="16"/>
        <v>92000</v>
      </c>
    </row>
    <row r="381" spans="1:23" x14ac:dyDescent="0.25">
      <c r="K381" s="85"/>
      <c r="N381" s="85"/>
      <c r="Q381" s="85"/>
      <c r="T381" s="85"/>
      <c r="U381" s="8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1"/>
  <sheetViews>
    <sheetView topLeftCell="A22" workbookViewId="0">
      <selection activeCell="B198" sqref="B198:B199"/>
    </sheetView>
  </sheetViews>
  <sheetFormatPr defaultRowHeight="15" x14ac:dyDescent="0.25"/>
  <cols>
    <col min="1" max="1" width="13.140625" customWidth="1"/>
    <col min="2" max="2" width="27.5703125" customWidth="1"/>
    <col min="3" max="3" width="25.5703125" customWidth="1"/>
    <col min="4" max="4" width="13.28515625" customWidth="1"/>
    <col min="5" max="5" width="14.140625" customWidth="1"/>
    <col min="6" max="6" width="32.28515625" customWidth="1"/>
    <col min="7" max="7" width="14.85546875" customWidth="1"/>
  </cols>
  <sheetData>
    <row r="1" spans="1:16" x14ac:dyDescent="0.25">
      <c r="A1">
        <v>328818</v>
      </c>
      <c r="B1" t="s">
        <v>1444</v>
      </c>
      <c r="C1" t="s">
        <v>17</v>
      </c>
      <c r="D1" t="s">
        <v>18</v>
      </c>
      <c r="E1" s="1" t="s">
        <v>19</v>
      </c>
      <c r="F1" s="15" t="s">
        <v>1445</v>
      </c>
      <c r="G1" t="s">
        <v>1446</v>
      </c>
      <c r="H1" t="s">
        <v>22</v>
      </c>
      <c r="I1" s="2">
        <v>6001</v>
      </c>
      <c r="J1" t="s">
        <v>1447</v>
      </c>
      <c r="K1">
        <v>10</v>
      </c>
      <c r="L1">
        <v>88</v>
      </c>
      <c r="M1">
        <v>61</v>
      </c>
      <c r="N1">
        <v>12</v>
      </c>
      <c r="O1">
        <v>171</v>
      </c>
      <c r="P1" t="s">
        <v>23</v>
      </c>
    </row>
    <row r="2" spans="1:16" x14ac:dyDescent="0.25">
      <c r="A2">
        <v>328819</v>
      </c>
      <c r="B2" t="s">
        <v>1448</v>
      </c>
      <c r="C2" t="s">
        <v>17</v>
      </c>
      <c r="D2" t="s">
        <v>18</v>
      </c>
      <c r="E2" s="1" t="s">
        <v>19</v>
      </c>
      <c r="F2" s="15" t="s">
        <v>1445</v>
      </c>
      <c r="G2" t="s">
        <v>1449</v>
      </c>
      <c r="H2" t="s">
        <v>22</v>
      </c>
      <c r="I2" s="2">
        <v>6001</v>
      </c>
      <c r="J2" t="s">
        <v>1447</v>
      </c>
      <c r="K2">
        <v>0</v>
      </c>
      <c r="L2">
        <v>1</v>
      </c>
      <c r="M2">
        <v>0</v>
      </c>
      <c r="N2">
        <v>0</v>
      </c>
      <c r="O2">
        <v>1</v>
      </c>
      <c r="P2" t="s">
        <v>23</v>
      </c>
    </row>
    <row r="3" spans="1:16" x14ac:dyDescent="0.25">
      <c r="A3">
        <v>328820</v>
      </c>
      <c r="B3" t="s">
        <v>1450</v>
      </c>
      <c r="C3" t="s">
        <v>17</v>
      </c>
      <c r="D3" t="s">
        <v>18</v>
      </c>
      <c r="E3" s="1" t="s">
        <v>19</v>
      </c>
      <c r="F3" s="15" t="s">
        <v>1445</v>
      </c>
      <c r="G3" t="s">
        <v>1451</v>
      </c>
      <c r="H3" t="s">
        <v>22</v>
      </c>
      <c r="I3" s="2">
        <v>6001</v>
      </c>
      <c r="J3" t="s">
        <v>1447</v>
      </c>
      <c r="K3">
        <v>39</v>
      </c>
      <c r="L3">
        <v>7</v>
      </c>
      <c r="M3">
        <v>38</v>
      </c>
      <c r="N3">
        <v>62</v>
      </c>
      <c r="O3">
        <v>146</v>
      </c>
      <c r="P3" t="s">
        <v>23</v>
      </c>
    </row>
    <row r="4" spans="1:16" x14ac:dyDescent="0.25">
      <c r="A4">
        <v>328821</v>
      </c>
      <c r="B4" t="s">
        <v>33</v>
      </c>
      <c r="C4" t="s">
        <v>34</v>
      </c>
      <c r="D4" t="s">
        <v>18</v>
      </c>
      <c r="E4" s="1" t="s">
        <v>35</v>
      </c>
      <c r="F4" s="15" t="s">
        <v>34</v>
      </c>
      <c r="G4" t="s">
        <v>36</v>
      </c>
      <c r="H4" t="s">
        <v>22</v>
      </c>
      <c r="I4" s="2">
        <v>6001</v>
      </c>
      <c r="J4" t="s">
        <v>30</v>
      </c>
      <c r="K4">
        <v>8</v>
      </c>
      <c r="L4">
        <v>9</v>
      </c>
      <c r="M4">
        <v>7</v>
      </c>
      <c r="N4">
        <v>7</v>
      </c>
      <c r="O4">
        <v>31</v>
      </c>
      <c r="P4" t="s">
        <v>23</v>
      </c>
    </row>
    <row r="5" spans="1:16" x14ac:dyDescent="0.25">
      <c r="A5">
        <v>329162</v>
      </c>
      <c r="B5" t="s">
        <v>984</v>
      </c>
      <c r="C5" t="s">
        <v>985</v>
      </c>
      <c r="D5" t="s">
        <v>986</v>
      </c>
      <c r="E5" s="1">
        <v>2919</v>
      </c>
      <c r="F5" s="15" t="s">
        <v>992</v>
      </c>
      <c r="G5" t="s">
        <v>993</v>
      </c>
      <c r="H5" t="s">
        <v>22</v>
      </c>
      <c r="I5" s="2">
        <v>6001</v>
      </c>
      <c r="J5" t="s">
        <v>30</v>
      </c>
      <c r="K5">
        <v>31</v>
      </c>
      <c r="L5">
        <v>43</v>
      </c>
      <c r="M5">
        <v>48</v>
      </c>
      <c r="N5">
        <v>37</v>
      </c>
      <c r="O5">
        <v>159</v>
      </c>
      <c r="P5" t="s">
        <v>23</v>
      </c>
    </row>
    <row r="6" spans="1:16" x14ac:dyDescent="0.25">
      <c r="A6">
        <v>329163</v>
      </c>
      <c r="B6" t="s">
        <v>41</v>
      </c>
      <c r="C6" t="s">
        <v>42</v>
      </c>
      <c r="D6" t="s">
        <v>18</v>
      </c>
      <c r="E6" s="1" t="s">
        <v>43</v>
      </c>
      <c r="F6" s="15" t="s">
        <v>44</v>
      </c>
      <c r="G6" t="s">
        <v>45</v>
      </c>
      <c r="H6" t="s">
        <v>22</v>
      </c>
      <c r="I6" s="2">
        <v>6001</v>
      </c>
      <c r="J6" t="s">
        <v>30</v>
      </c>
      <c r="K6">
        <v>1</v>
      </c>
      <c r="L6">
        <v>1</v>
      </c>
      <c r="M6">
        <v>1</v>
      </c>
      <c r="N6">
        <v>1</v>
      </c>
      <c r="O6">
        <v>4</v>
      </c>
      <c r="P6" t="s">
        <v>23</v>
      </c>
    </row>
    <row r="7" spans="1:16" x14ac:dyDescent="0.25">
      <c r="A7">
        <v>333138</v>
      </c>
      <c r="B7" t="s">
        <v>46</v>
      </c>
      <c r="C7" t="s">
        <v>47</v>
      </c>
      <c r="D7" t="s">
        <v>18</v>
      </c>
      <c r="E7" s="1" t="s">
        <v>43</v>
      </c>
      <c r="F7" s="15" t="s">
        <v>48</v>
      </c>
      <c r="G7" t="s">
        <v>49</v>
      </c>
      <c r="H7" t="s">
        <v>22</v>
      </c>
      <c r="I7" s="2">
        <v>6001</v>
      </c>
      <c r="J7" t="s">
        <v>30</v>
      </c>
      <c r="K7">
        <v>29</v>
      </c>
      <c r="L7">
        <v>22</v>
      </c>
      <c r="M7">
        <v>17</v>
      </c>
      <c r="N7">
        <v>22</v>
      </c>
      <c r="O7">
        <v>90</v>
      </c>
      <c r="P7" t="s">
        <v>23</v>
      </c>
    </row>
    <row r="8" spans="1:16" x14ac:dyDescent="0.25">
      <c r="A8">
        <v>333136</v>
      </c>
      <c r="B8" t="s">
        <v>984</v>
      </c>
      <c r="C8" t="s">
        <v>985</v>
      </c>
      <c r="D8" t="s">
        <v>986</v>
      </c>
      <c r="E8" s="1">
        <v>2919</v>
      </c>
      <c r="F8" s="15" t="s">
        <v>987</v>
      </c>
      <c r="G8" t="s">
        <v>988</v>
      </c>
      <c r="H8" t="s">
        <v>22</v>
      </c>
      <c r="I8" s="2">
        <v>6001</v>
      </c>
      <c r="J8" t="s">
        <v>30</v>
      </c>
      <c r="K8">
        <v>7</v>
      </c>
      <c r="L8">
        <v>6</v>
      </c>
      <c r="M8">
        <v>5</v>
      </c>
      <c r="N8">
        <v>4</v>
      </c>
      <c r="O8">
        <v>22</v>
      </c>
      <c r="P8" t="s">
        <v>23</v>
      </c>
    </row>
    <row r="9" spans="1:16" x14ac:dyDescent="0.25">
      <c r="A9">
        <v>333137</v>
      </c>
      <c r="B9" t="s">
        <v>989</v>
      </c>
      <c r="C9" t="s">
        <v>985</v>
      </c>
      <c r="D9" t="s">
        <v>986</v>
      </c>
      <c r="E9" s="1">
        <v>2919</v>
      </c>
      <c r="F9" s="15" t="s">
        <v>990</v>
      </c>
      <c r="G9" t="s">
        <v>991</v>
      </c>
      <c r="H9" t="s">
        <v>22</v>
      </c>
      <c r="I9" s="2">
        <v>6001</v>
      </c>
      <c r="J9" t="s">
        <v>30</v>
      </c>
      <c r="K9">
        <v>9</v>
      </c>
      <c r="L9">
        <v>94</v>
      </c>
      <c r="M9">
        <v>35</v>
      </c>
      <c r="N9">
        <v>0</v>
      </c>
      <c r="O9">
        <v>138</v>
      </c>
      <c r="P9" t="s">
        <v>23</v>
      </c>
    </row>
    <row r="10" spans="1:16" x14ac:dyDescent="0.25">
      <c r="A10">
        <v>329217</v>
      </c>
      <c r="B10" t="s">
        <v>50</v>
      </c>
      <c r="C10" t="s">
        <v>51</v>
      </c>
      <c r="D10" t="s">
        <v>18</v>
      </c>
      <c r="E10" s="1" t="s">
        <v>52</v>
      </c>
      <c r="F10" s="15" t="s">
        <v>53</v>
      </c>
      <c r="G10" t="s">
        <v>54</v>
      </c>
      <c r="H10" t="s">
        <v>22</v>
      </c>
      <c r="I10" s="2">
        <v>6001</v>
      </c>
      <c r="J10" t="s">
        <v>30</v>
      </c>
      <c r="K10">
        <v>12</v>
      </c>
      <c r="L10">
        <v>19</v>
      </c>
      <c r="M10">
        <v>63</v>
      </c>
      <c r="N10">
        <v>57</v>
      </c>
      <c r="O10">
        <v>151</v>
      </c>
      <c r="P10" t="s">
        <v>23</v>
      </c>
    </row>
    <row r="11" spans="1:16" x14ac:dyDescent="0.25">
      <c r="A11">
        <v>333102</v>
      </c>
      <c r="B11" t="s">
        <v>929</v>
      </c>
      <c r="C11" t="s">
        <v>930</v>
      </c>
      <c r="D11" t="s">
        <v>931</v>
      </c>
      <c r="E11" s="1">
        <v>6033</v>
      </c>
      <c r="F11" s="15" t="s">
        <v>932</v>
      </c>
      <c r="G11" t="s">
        <v>933</v>
      </c>
      <c r="H11" t="s">
        <v>22</v>
      </c>
      <c r="I11" s="2">
        <v>6001</v>
      </c>
      <c r="J11" t="s">
        <v>30</v>
      </c>
      <c r="K11">
        <v>89</v>
      </c>
      <c r="L11">
        <v>1980</v>
      </c>
      <c r="M11">
        <v>207</v>
      </c>
      <c r="N11">
        <v>0</v>
      </c>
      <c r="O11">
        <v>2276</v>
      </c>
      <c r="P11" t="s">
        <v>934</v>
      </c>
    </row>
    <row r="12" spans="1:16" x14ac:dyDescent="0.25">
      <c r="A12">
        <v>329218</v>
      </c>
      <c r="B12" t="s">
        <v>60</v>
      </c>
      <c r="C12" t="s">
        <v>61</v>
      </c>
      <c r="D12" t="s">
        <v>18</v>
      </c>
      <c r="E12" s="1" t="s">
        <v>62</v>
      </c>
      <c r="F12" s="15" t="s">
        <v>63</v>
      </c>
      <c r="G12" t="s">
        <v>64</v>
      </c>
      <c r="H12" t="s">
        <v>22</v>
      </c>
      <c r="I12" s="2">
        <v>6001</v>
      </c>
      <c r="J12" t="s">
        <v>30</v>
      </c>
      <c r="K12">
        <v>11</v>
      </c>
      <c r="L12">
        <v>13</v>
      </c>
      <c r="M12">
        <v>10</v>
      </c>
      <c r="N12">
        <v>18</v>
      </c>
      <c r="O12">
        <v>52</v>
      </c>
      <c r="P12" t="s">
        <v>23</v>
      </c>
    </row>
    <row r="13" spans="1:16" x14ac:dyDescent="0.25">
      <c r="A13">
        <v>329219</v>
      </c>
      <c r="B13" t="s">
        <v>65</v>
      </c>
      <c r="C13" t="s">
        <v>66</v>
      </c>
      <c r="D13" t="s">
        <v>18</v>
      </c>
      <c r="E13" s="1">
        <v>6001</v>
      </c>
      <c r="F13" s="15" t="s">
        <v>66</v>
      </c>
      <c r="G13" t="s">
        <v>67</v>
      </c>
      <c r="H13" t="s">
        <v>22</v>
      </c>
      <c r="I13" s="2">
        <v>6001</v>
      </c>
      <c r="J13" t="s">
        <v>30</v>
      </c>
      <c r="K13">
        <v>25</v>
      </c>
      <c r="L13">
        <v>31</v>
      </c>
      <c r="M13">
        <v>28</v>
      </c>
      <c r="N13">
        <v>22</v>
      </c>
      <c r="O13">
        <v>106</v>
      </c>
      <c r="P13" t="s">
        <v>23</v>
      </c>
    </row>
    <row r="14" spans="1:16" x14ac:dyDescent="0.25">
      <c r="A14">
        <v>329220</v>
      </c>
      <c r="B14" t="s">
        <v>68</v>
      </c>
      <c r="C14" t="s">
        <v>69</v>
      </c>
      <c r="D14" t="s">
        <v>18</v>
      </c>
      <c r="E14" s="1" t="s">
        <v>70</v>
      </c>
      <c r="F14" s="15" t="s">
        <v>71</v>
      </c>
      <c r="G14" t="s">
        <v>72</v>
      </c>
      <c r="H14" t="s">
        <v>22</v>
      </c>
      <c r="I14" s="2">
        <v>6001</v>
      </c>
      <c r="J14" t="s">
        <v>30</v>
      </c>
      <c r="K14">
        <v>10</v>
      </c>
      <c r="L14">
        <v>32</v>
      </c>
      <c r="M14">
        <v>9</v>
      </c>
      <c r="N14">
        <v>8</v>
      </c>
      <c r="O14">
        <v>59</v>
      </c>
      <c r="P14" t="s">
        <v>23</v>
      </c>
    </row>
    <row r="15" spans="1:16" x14ac:dyDescent="0.25">
      <c r="A15">
        <v>353390</v>
      </c>
      <c r="B15" t="s">
        <v>73</v>
      </c>
      <c r="C15" t="s">
        <v>74</v>
      </c>
      <c r="D15" t="s">
        <v>18</v>
      </c>
      <c r="E15" s="1">
        <v>6001</v>
      </c>
      <c r="F15" s="15" t="s">
        <v>74</v>
      </c>
      <c r="G15" t="s">
        <v>75</v>
      </c>
      <c r="H15" t="s">
        <v>22</v>
      </c>
      <c r="I15" s="2">
        <v>6001</v>
      </c>
      <c r="J15" t="s">
        <v>30</v>
      </c>
      <c r="K15">
        <v>10</v>
      </c>
      <c r="L15">
        <v>9</v>
      </c>
      <c r="M15">
        <v>5</v>
      </c>
      <c r="N15">
        <v>2</v>
      </c>
      <c r="O15">
        <v>26</v>
      </c>
      <c r="P15" t="s">
        <v>23</v>
      </c>
    </row>
    <row r="16" spans="1:16" x14ac:dyDescent="0.25">
      <c r="A16">
        <v>329222</v>
      </c>
      <c r="B16" t="s">
        <v>76</v>
      </c>
      <c r="C16" t="s">
        <v>77</v>
      </c>
      <c r="D16" t="s">
        <v>18</v>
      </c>
      <c r="E16" s="1" t="s">
        <v>78</v>
      </c>
      <c r="F16" s="15" t="s">
        <v>77</v>
      </c>
      <c r="G16" t="s">
        <v>79</v>
      </c>
      <c r="H16" t="s">
        <v>22</v>
      </c>
      <c r="I16" s="2">
        <v>6001</v>
      </c>
      <c r="J16" t="s">
        <v>30</v>
      </c>
      <c r="K16">
        <v>5</v>
      </c>
      <c r="L16">
        <v>5</v>
      </c>
      <c r="M16">
        <v>6</v>
      </c>
      <c r="N16">
        <v>4</v>
      </c>
      <c r="O16">
        <v>20</v>
      </c>
      <c r="P16" t="s">
        <v>23</v>
      </c>
    </row>
    <row r="17" spans="1:16" x14ac:dyDescent="0.25">
      <c r="A17">
        <v>329223</v>
      </c>
      <c r="B17" t="s">
        <v>80</v>
      </c>
      <c r="C17" t="s">
        <v>81</v>
      </c>
      <c r="D17" t="s">
        <v>18</v>
      </c>
      <c r="E17" s="1">
        <v>6001</v>
      </c>
      <c r="F17" s="15" t="s">
        <v>82</v>
      </c>
      <c r="G17" t="s">
        <v>83</v>
      </c>
      <c r="H17" t="s">
        <v>22</v>
      </c>
      <c r="I17" s="2">
        <v>6001</v>
      </c>
      <c r="J17" t="s">
        <v>30</v>
      </c>
      <c r="K17">
        <v>13</v>
      </c>
      <c r="L17">
        <v>17</v>
      </c>
      <c r="M17">
        <v>11</v>
      </c>
      <c r="N17">
        <v>7</v>
      </c>
      <c r="O17">
        <v>48</v>
      </c>
      <c r="P17" t="s">
        <v>23</v>
      </c>
    </row>
    <row r="18" spans="1:16" x14ac:dyDescent="0.25">
      <c r="A18">
        <v>329224</v>
      </c>
      <c r="B18" t="s">
        <v>84</v>
      </c>
      <c r="C18" t="s">
        <v>85</v>
      </c>
      <c r="D18" t="s">
        <v>18</v>
      </c>
      <c r="E18" s="1">
        <v>6001</v>
      </c>
      <c r="F18" s="15" t="s">
        <v>86</v>
      </c>
      <c r="G18" t="s">
        <v>87</v>
      </c>
      <c r="H18" t="s">
        <v>22</v>
      </c>
      <c r="I18" s="2">
        <v>6001</v>
      </c>
      <c r="J18" t="s">
        <v>30</v>
      </c>
      <c r="K18">
        <v>2</v>
      </c>
      <c r="L18">
        <v>2</v>
      </c>
      <c r="M18">
        <v>2</v>
      </c>
      <c r="N18">
        <v>1</v>
      </c>
      <c r="O18">
        <v>7</v>
      </c>
      <c r="P18" t="s">
        <v>23</v>
      </c>
    </row>
    <row r="19" spans="1:16" x14ac:dyDescent="0.25">
      <c r="A19">
        <v>329225</v>
      </c>
      <c r="B19" t="s">
        <v>55</v>
      </c>
      <c r="C19" t="s">
        <v>56</v>
      </c>
      <c r="D19" t="s">
        <v>18</v>
      </c>
      <c r="E19" s="1" t="s">
        <v>57</v>
      </c>
      <c r="F19" s="15" t="s">
        <v>58</v>
      </c>
      <c r="G19" t="s">
        <v>59</v>
      </c>
      <c r="H19" t="s">
        <v>22</v>
      </c>
      <c r="I19" s="2">
        <v>6001</v>
      </c>
      <c r="J19" t="s">
        <v>30</v>
      </c>
      <c r="K19">
        <v>18</v>
      </c>
      <c r="L19">
        <v>17</v>
      </c>
      <c r="M19">
        <v>18</v>
      </c>
      <c r="N19">
        <v>12</v>
      </c>
      <c r="O19">
        <v>65</v>
      </c>
      <c r="P19" t="s">
        <v>23</v>
      </c>
    </row>
    <row r="20" spans="1:16" x14ac:dyDescent="0.25">
      <c r="A20">
        <v>333032</v>
      </c>
      <c r="B20" t="s">
        <v>88</v>
      </c>
      <c r="C20" t="s">
        <v>89</v>
      </c>
      <c r="D20" t="s">
        <v>18</v>
      </c>
      <c r="E20" s="1" t="s">
        <v>90</v>
      </c>
      <c r="F20" s="15" t="s">
        <v>91</v>
      </c>
      <c r="G20" t="s">
        <v>92</v>
      </c>
      <c r="H20" t="s">
        <v>22</v>
      </c>
      <c r="I20" s="2">
        <v>6001</v>
      </c>
      <c r="J20" t="s">
        <v>30</v>
      </c>
      <c r="K20">
        <v>197</v>
      </c>
      <c r="L20">
        <v>467</v>
      </c>
      <c r="M20">
        <v>249</v>
      </c>
      <c r="N20">
        <v>191</v>
      </c>
      <c r="O20">
        <v>1104</v>
      </c>
      <c r="P20" t="s">
        <v>93</v>
      </c>
    </row>
    <row r="21" spans="1:16" x14ac:dyDescent="0.25">
      <c r="A21">
        <v>333030</v>
      </c>
      <c r="B21" t="s">
        <v>88</v>
      </c>
      <c r="C21" t="s">
        <v>94</v>
      </c>
      <c r="D21" t="s">
        <v>18</v>
      </c>
      <c r="E21" s="1" t="s">
        <v>90</v>
      </c>
      <c r="F21" s="15" t="s">
        <v>95</v>
      </c>
      <c r="G21" t="s">
        <v>96</v>
      </c>
      <c r="H21" t="s">
        <v>22</v>
      </c>
      <c r="I21" s="2">
        <v>6001</v>
      </c>
      <c r="J21" t="s">
        <v>30</v>
      </c>
      <c r="K21">
        <v>132</v>
      </c>
      <c r="L21">
        <v>229</v>
      </c>
      <c r="M21">
        <v>377</v>
      </c>
      <c r="N21">
        <v>0</v>
      </c>
      <c r="O21">
        <v>738</v>
      </c>
      <c r="P21" t="s">
        <v>23</v>
      </c>
    </row>
    <row r="22" spans="1:16" x14ac:dyDescent="0.25">
      <c r="A22">
        <v>333748</v>
      </c>
      <c r="B22" t="s">
        <v>88</v>
      </c>
      <c r="C22" t="s">
        <v>97</v>
      </c>
      <c r="D22" t="s">
        <v>18</v>
      </c>
      <c r="E22" s="1" t="s">
        <v>90</v>
      </c>
      <c r="F22" s="15" t="s">
        <v>95</v>
      </c>
      <c r="G22" t="s">
        <v>98</v>
      </c>
      <c r="H22" t="s">
        <v>22</v>
      </c>
      <c r="I22" s="2">
        <v>6001</v>
      </c>
      <c r="J22" t="s">
        <v>30</v>
      </c>
      <c r="K22">
        <v>526</v>
      </c>
      <c r="L22">
        <v>899</v>
      </c>
      <c r="M22">
        <v>700</v>
      </c>
      <c r="N22">
        <v>103</v>
      </c>
      <c r="O22">
        <v>2228</v>
      </c>
      <c r="P22" t="s">
        <v>23</v>
      </c>
    </row>
    <row r="23" spans="1:16" x14ac:dyDescent="0.25">
      <c r="A23">
        <v>333031</v>
      </c>
      <c r="B23" t="s">
        <v>88</v>
      </c>
      <c r="C23" t="s">
        <v>94</v>
      </c>
      <c r="D23" t="s">
        <v>18</v>
      </c>
      <c r="E23" s="1" t="s">
        <v>90</v>
      </c>
      <c r="F23" s="15" t="s">
        <v>99</v>
      </c>
      <c r="G23" t="s">
        <v>100</v>
      </c>
      <c r="H23" t="s">
        <v>22</v>
      </c>
      <c r="I23" s="2">
        <v>6001</v>
      </c>
      <c r="J23" t="s">
        <v>30</v>
      </c>
      <c r="K23">
        <v>5</v>
      </c>
      <c r="L23">
        <v>36</v>
      </c>
      <c r="M23">
        <v>18</v>
      </c>
      <c r="N23">
        <v>0</v>
      </c>
      <c r="O23">
        <v>59</v>
      </c>
      <c r="P23" t="s">
        <v>23</v>
      </c>
    </row>
    <row r="24" spans="1:16" x14ac:dyDescent="0.25">
      <c r="A24">
        <v>333020</v>
      </c>
      <c r="B24" t="s">
        <v>885</v>
      </c>
      <c r="C24" t="s">
        <v>886</v>
      </c>
      <c r="D24" t="s">
        <v>887</v>
      </c>
      <c r="E24" s="1">
        <v>6032</v>
      </c>
      <c r="F24" s="15" t="s">
        <v>888</v>
      </c>
      <c r="G24" t="s">
        <v>889</v>
      </c>
      <c r="H24" t="s">
        <v>22</v>
      </c>
      <c r="I24" s="2">
        <v>6001</v>
      </c>
      <c r="J24" t="s">
        <v>30</v>
      </c>
      <c r="K24">
        <v>188</v>
      </c>
      <c r="L24">
        <v>157</v>
      </c>
      <c r="M24">
        <v>152</v>
      </c>
      <c r="N24">
        <v>90</v>
      </c>
      <c r="O24">
        <v>587</v>
      </c>
      <c r="P24" t="s">
        <v>23</v>
      </c>
    </row>
    <row r="25" spans="1:16" x14ac:dyDescent="0.25">
      <c r="A25">
        <v>328530</v>
      </c>
      <c r="B25" t="s">
        <v>106</v>
      </c>
      <c r="C25" t="s">
        <v>107</v>
      </c>
      <c r="D25" t="s">
        <v>18</v>
      </c>
      <c r="E25" s="1" t="s">
        <v>108</v>
      </c>
      <c r="F25" s="15" t="s">
        <v>109</v>
      </c>
      <c r="G25" t="s">
        <v>110</v>
      </c>
      <c r="H25" t="s">
        <v>22</v>
      </c>
      <c r="I25" s="2">
        <v>6001</v>
      </c>
      <c r="J25" t="s">
        <v>30</v>
      </c>
      <c r="K25">
        <v>58</v>
      </c>
      <c r="L25">
        <v>97</v>
      </c>
      <c r="M25">
        <v>70</v>
      </c>
      <c r="N25">
        <v>21</v>
      </c>
      <c r="O25">
        <v>246</v>
      </c>
      <c r="P25" t="s">
        <v>23</v>
      </c>
    </row>
    <row r="26" spans="1:16" x14ac:dyDescent="0.25">
      <c r="A26">
        <v>333204</v>
      </c>
      <c r="B26" t="s">
        <v>1205</v>
      </c>
      <c r="C26" t="s">
        <v>1206</v>
      </c>
      <c r="D26" t="s">
        <v>1207</v>
      </c>
      <c r="E26" s="1" t="s">
        <v>1208</v>
      </c>
      <c r="F26" s="15" t="s">
        <v>1209</v>
      </c>
      <c r="G26" t="s">
        <v>1210</v>
      </c>
      <c r="H26" t="s">
        <v>22</v>
      </c>
      <c r="I26" s="2">
        <v>6001</v>
      </c>
      <c r="J26" t="s">
        <v>30</v>
      </c>
      <c r="K26">
        <v>1131</v>
      </c>
      <c r="L26">
        <v>1398</v>
      </c>
      <c r="M26">
        <v>1142</v>
      </c>
      <c r="N26">
        <v>833</v>
      </c>
      <c r="O26">
        <v>4504</v>
      </c>
      <c r="P26" t="s">
        <v>23</v>
      </c>
    </row>
    <row r="27" spans="1:16" x14ac:dyDescent="0.25">
      <c r="A27">
        <v>329169</v>
      </c>
      <c r="B27" t="s">
        <v>994</v>
      </c>
      <c r="C27" t="s">
        <v>985</v>
      </c>
      <c r="D27" t="s">
        <v>986</v>
      </c>
      <c r="E27" s="1">
        <v>2919</v>
      </c>
      <c r="F27" s="15" t="s">
        <v>995</v>
      </c>
      <c r="G27" t="s">
        <v>996</v>
      </c>
      <c r="H27" t="s">
        <v>22</v>
      </c>
      <c r="I27" s="2">
        <v>6001</v>
      </c>
      <c r="J27" t="s">
        <v>30</v>
      </c>
      <c r="K27">
        <v>9</v>
      </c>
      <c r="L27">
        <v>7</v>
      </c>
      <c r="M27">
        <v>8</v>
      </c>
      <c r="N27">
        <v>8</v>
      </c>
      <c r="O27">
        <v>32</v>
      </c>
      <c r="P27" t="s">
        <v>23</v>
      </c>
    </row>
    <row r="28" spans="1:16" x14ac:dyDescent="0.25">
      <c r="A28">
        <v>329170</v>
      </c>
      <c r="B28" t="s">
        <v>984</v>
      </c>
      <c r="C28" t="s">
        <v>985</v>
      </c>
      <c r="D28" t="s">
        <v>986</v>
      </c>
      <c r="E28" s="1">
        <v>2919</v>
      </c>
      <c r="F28" s="15" t="s">
        <v>997</v>
      </c>
      <c r="G28" t="s">
        <v>998</v>
      </c>
      <c r="H28" t="s">
        <v>22</v>
      </c>
      <c r="I28" s="2">
        <v>6001</v>
      </c>
      <c r="J28" t="s">
        <v>30</v>
      </c>
      <c r="K28">
        <v>13</v>
      </c>
      <c r="L28">
        <v>115</v>
      </c>
      <c r="M28">
        <v>21</v>
      </c>
      <c r="N28">
        <v>0</v>
      </c>
      <c r="O28">
        <v>149</v>
      </c>
      <c r="P28" t="s">
        <v>23</v>
      </c>
    </row>
    <row r="29" spans="1:16" x14ac:dyDescent="0.25">
      <c r="A29">
        <v>179779</v>
      </c>
      <c r="B29" t="s">
        <v>850</v>
      </c>
      <c r="C29" t="s">
        <v>851</v>
      </c>
      <c r="D29" t="s">
        <v>852</v>
      </c>
      <c r="E29" s="1" t="s">
        <v>853</v>
      </c>
      <c r="F29" s="15" t="s">
        <v>854</v>
      </c>
      <c r="G29" t="s">
        <v>855</v>
      </c>
      <c r="H29" t="s">
        <v>22</v>
      </c>
      <c r="I29" s="2">
        <v>6001</v>
      </c>
      <c r="J29" t="s">
        <v>30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856</v>
      </c>
    </row>
    <row r="30" spans="1:16" x14ac:dyDescent="0.25">
      <c r="A30">
        <v>332054</v>
      </c>
      <c r="B30" t="s">
        <v>1267</v>
      </c>
      <c r="C30" t="s">
        <v>1268</v>
      </c>
      <c r="D30" t="s">
        <v>1269</v>
      </c>
      <c r="E30" s="1">
        <v>6085</v>
      </c>
      <c r="F30" s="15" t="s">
        <v>1270</v>
      </c>
      <c r="G30" t="s">
        <v>1271</v>
      </c>
      <c r="H30" t="s">
        <v>22</v>
      </c>
      <c r="I30" s="2">
        <v>6001</v>
      </c>
      <c r="J30" t="s">
        <v>30</v>
      </c>
      <c r="K30">
        <v>353</v>
      </c>
      <c r="L30">
        <v>310</v>
      </c>
      <c r="M30">
        <v>215</v>
      </c>
      <c r="N30">
        <v>200</v>
      </c>
      <c r="O30">
        <v>1078</v>
      </c>
      <c r="P30" t="s">
        <v>1272</v>
      </c>
    </row>
    <row r="31" spans="1:16" x14ac:dyDescent="0.25">
      <c r="A31">
        <v>333141</v>
      </c>
      <c r="B31" t="s">
        <v>984</v>
      </c>
      <c r="C31" t="s">
        <v>985</v>
      </c>
      <c r="D31" t="s">
        <v>986</v>
      </c>
      <c r="E31" s="1">
        <v>2919</v>
      </c>
      <c r="F31" s="15" t="s">
        <v>999</v>
      </c>
      <c r="G31" t="s">
        <v>1000</v>
      </c>
      <c r="H31" t="s">
        <v>22</v>
      </c>
      <c r="I31" s="2">
        <v>6001</v>
      </c>
      <c r="J31" t="s">
        <v>30</v>
      </c>
      <c r="K31">
        <v>1</v>
      </c>
      <c r="L31">
        <v>0</v>
      </c>
      <c r="M31">
        <v>0</v>
      </c>
      <c r="N31">
        <v>0</v>
      </c>
      <c r="O31">
        <v>1</v>
      </c>
      <c r="P31" t="s">
        <v>23</v>
      </c>
    </row>
    <row r="32" spans="1:16" x14ac:dyDescent="0.25">
      <c r="A32">
        <v>333139</v>
      </c>
      <c r="B32" t="s">
        <v>984</v>
      </c>
      <c r="C32" t="s">
        <v>985</v>
      </c>
      <c r="D32" t="s">
        <v>986</v>
      </c>
      <c r="E32" s="1">
        <v>2919</v>
      </c>
      <c r="F32" s="15" t="s">
        <v>1001</v>
      </c>
      <c r="G32" t="s">
        <v>1002</v>
      </c>
      <c r="H32" t="s">
        <v>22</v>
      </c>
      <c r="I32" s="2">
        <v>6001</v>
      </c>
      <c r="J32" t="s">
        <v>30</v>
      </c>
      <c r="K32">
        <v>26</v>
      </c>
      <c r="L32">
        <v>13</v>
      </c>
      <c r="M32">
        <v>12</v>
      </c>
      <c r="N32">
        <v>12</v>
      </c>
      <c r="O32">
        <v>63</v>
      </c>
      <c r="P32" t="s">
        <v>23</v>
      </c>
    </row>
    <row r="33" spans="1:16" x14ac:dyDescent="0.25">
      <c r="A33">
        <v>328532</v>
      </c>
      <c r="B33" t="s">
        <v>117</v>
      </c>
      <c r="C33" t="s">
        <v>118</v>
      </c>
      <c r="D33" t="s">
        <v>18</v>
      </c>
      <c r="E33" s="1" t="s">
        <v>119</v>
      </c>
      <c r="F33" s="15" t="s">
        <v>118</v>
      </c>
      <c r="G33" t="s">
        <v>120</v>
      </c>
      <c r="H33" t="s">
        <v>22</v>
      </c>
      <c r="I33" s="2">
        <v>6001</v>
      </c>
      <c r="J33" t="s">
        <v>30</v>
      </c>
      <c r="K33">
        <v>8</v>
      </c>
      <c r="L33">
        <v>35</v>
      </c>
      <c r="M33">
        <v>13</v>
      </c>
      <c r="N33">
        <v>2</v>
      </c>
      <c r="O33">
        <v>58</v>
      </c>
      <c r="P33" t="s">
        <v>23</v>
      </c>
    </row>
    <row r="34" spans="1:16" x14ac:dyDescent="0.25">
      <c r="A34">
        <v>375534</v>
      </c>
      <c r="B34" t="s">
        <v>1003</v>
      </c>
      <c r="C34" t="s">
        <v>985</v>
      </c>
      <c r="D34" t="s">
        <v>986</v>
      </c>
      <c r="E34" s="1" t="s">
        <v>1004</v>
      </c>
      <c r="F34" s="15" t="s">
        <v>1007</v>
      </c>
      <c r="G34" t="s">
        <v>1008</v>
      </c>
      <c r="H34" t="s">
        <v>22</v>
      </c>
      <c r="I34" s="2">
        <v>6001</v>
      </c>
      <c r="J34" t="s">
        <v>30</v>
      </c>
      <c r="K34">
        <v>2</v>
      </c>
      <c r="L34">
        <v>12</v>
      </c>
      <c r="M34">
        <v>0</v>
      </c>
      <c r="N34">
        <v>0</v>
      </c>
      <c r="O34">
        <v>14</v>
      </c>
      <c r="P34" t="s">
        <v>23</v>
      </c>
    </row>
    <row r="35" spans="1:16" x14ac:dyDescent="0.25">
      <c r="A35">
        <v>375535</v>
      </c>
      <c r="B35" t="s">
        <v>1003</v>
      </c>
      <c r="C35" t="s">
        <v>985</v>
      </c>
      <c r="D35" t="s">
        <v>986</v>
      </c>
      <c r="E35" s="1" t="s">
        <v>1004</v>
      </c>
      <c r="F35" s="15" t="s">
        <v>1009</v>
      </c>
      <c r="G35" t="s">
        <v>1010</v>
      </c>
      <c r="H35" t="s">
        <v>22</v>
      </c>
      <c r="I35" s="2">
        <v>6001</v>
      </c>
      <c r="J35" t="s">
        <v>30</v>
      </c>
      <c r="K35">
        <v>1</v>
      </c>
      <c r="L35">
        <v>11</v>
      </c>
      <c r="M35">
        <v>0</v>
      </c>
      <c r="N35">
        <v>0</v>
      </c>
      <c r="O35">
        <v>12</v>
      </c>
      <c r="P35" t="s">
        <v>23</v>
      </c>
    </row>
    <row r="36" spans="1:16" x14ac:dyDescent="0.25">
      <c r="A36">
        <v>368207</v>
      </c>
      <c r="B36" t="s">
        <v>1003</v>
      </c>
      <c r="C36" t="s">
        <v>985</v>
      </c>
      <c r="D36" t="s">
        <v>986</v>
      </c>
      <c r="E36" s="1" t="s">
        <v>1004</v>
      </c>
      <c r="F36" s="15" t="s">
        <v>1011</v>
      </c>
      <c r="G36" t="s">
        <v>1012</v>
      </c>
      <c r="H36" t="s">
        <v>22</v>
      </c>
      <c r="I36" s="2">
        <v>6001</v>
      </c>
      <c r="J36" t="s">
        <v>30</v>
      </c>
      <c r="K36">
        <v>0</v>
      </c>
      <c r="L36">
        <v>0</v>
      </c>
      <c r="M36">
        <v>81</v>
      </c>
      <c r="N36">
        <v>6</v>
      </c>
      <c r="O36">
        <v>87</v>
      </c>
      <c r="P36" t="s">
        <v>1013</v>
      </c>
    </row>
    <row r="37" spans="1:16" x14ac:dyDescent="0.25">
      <c r="A37">
        <v>376552</v>
      </c>
      <c r="B37" t="s">
        <v>1211</v>
      </c>
      <c r="C37" t="s">
        <v>1212</v>
      </c>
      <c r="D37" t="s">
        <v>1207</v>
      </c>
      <c r="E37" s="1" t="s">
        <v>1208</v>
      </c>
      <c r="F37" s="15" t="s">
        <v>1011</v>
      </c>
      <c r="G37" t="s">
        <v>1012</v>
      </c>
      <c r="H37" t="s">
        <v>22</v>
      </c>
      <c r="I37" s="2">
        <v>6001</v>
      </c>
      <c r="J37" t="s">
        <v>30</v>
      </c>
      <c r="K37">
        <v>410</v>
      </c>
      <c r="L37">
        <v>243</v>
      </c>
      <c r="M37">
        <v>0</v>
      </c>
      <c r="N37">
        <v>0</v>
      </c>
      <c r="O37">
        <v>653</v>
      </c>
      <c r="P37" t="s">
        <v>23</v>
      </c>
    </row>
    <row r="38" spans="1:16" x14ac:dyDescent="0.25">
      <c r="A38">
        <v>333304</v>
      </c>
      <c r="B38" t="s">
        <v>121</v>
      </c>
      <c r="C38" t="s">
        <v>122</v>
      </c>
      <c r="D38" t="s">
        <v>18</v>
      </c>
      <c r="E38" s="1" t="s">
        <v>123</v>
      </c>
      <c r="F38" s="15" t="s">
        <v>122</v>
      </c>
      <c r="G38" t="s">
        <v>124</v>
      </c>
      <c r="H38" t="s">
        <v>22</v>
      </c>
      <c r="I38" s="2">
        <v>6001</v>
      </c>
      <c r="J38" t="s">
        <v>30</v>
      </c>
      <c r="K38">
        <v>183</v>
      </c>
      <c r="L38">
        <v>464</v>
      </c>
      <c r="M38">
        <v>631</v>
      </c>
      <c r="N38">
        <v>186</v>
      </c>
      <c r="O38">
        <v>1464</v>
      </c>
      <c r="P38" t="s">
        <v>23</v>
      </c>
    </row>
    <row r="39" spans="1:16" x14ac:dyDescent="0.25">
      <c r="A39">
        <v>329967</v>
      </c>
      <c r="B39" t="s">
        <v>1378</v>
      </c>
      <c r="C39" t="s">
        <v>1379</v>
      </c>
      <c r="D39" t="s">
        <v>1380</v>
      </c>
      <c r="E39" s="1" t="s">
        <v>1381</v>
      </c>
      <c r="F39" s="15" t="s">
        <v>1382</v>
      </c>
      <c r="G39" t="s">
        <v>1383</v>
      </c>
      <c r="H39" t="s">
        <v>22</v>
      </c>
      <c r="I39" s="2">
        <v>6001</v>
      </c>
      <c r="J39" t="s">
        <v>30</v>
      </c>
      <c r="K39">
        <v>153</v>
      </c>
      <c r="L39">
        <v>292</v>
      </c>
      <c r="M39">
        <v>71</v>
      </c>
      <c r="N39">
        <v>0</v>
      </c>
      <c r="O39">
        <v>516</v>
      </c>
      <c r="P39" t="s">
        <v>130</v>
      </c>
    </row>
    <row r="40" spans="1:16" x14ac:dyDescent="0.25">
      <c r="A40">
        <v>333624</v>
      </c>
      <c r="B40" t="s">
        <v>1384</v>
      </c>
      <c r="C40" t="s">
        <v>1385</v>
      </c>
      <c r="D40" t="s">
        <v>1380</v>
      </c>
      <c r="E40" s="1" t="s">
        <v>1381</v>
      </c>
      <c r="F40" s="15" t="s">
        <v>1386</v>
      </c>
      <c r="G40" t="s">
        <v>1387</v>
      </c>
      <c r="H40" t="s">
        <v>22</v>
      </c>
      <c r="I40" s="2">
        <v>6001</v>
      </c>
      <c r="J40" t="s">
        <v>30</v>
      </c>
      <c r="K40">
        <v>167</v>
      </c>
      <c r="L40">
        <v>305</v>
      </c>
      <c r="M40">
        <v>81</v>
      </c>
      <c r="N40">
        <v>12</v>
      </c>
      <c r="O40">
        <v>565</v>
      </c>
      <c r="P40" t="s">
        <v>130</v>
      </c>
    </row>
    <row r="41" spans="1:16" x14ac:dyDescent="0.25">
      <c r="A41">
        <v>345104</v>
      </c>
      <c r="B41" t="s">
        <v>761</v>
      </c>
      <c r="C41" t="s">
        <v>762</v>
      </c>
      <c r="D41" t="s">
        <v>763</v>
      </c>
      <c r="E41" s="1" t="s">
        <v>764</v>
      </c>
      <c r="F41" s="15" t="s">
        <v>765</v>
      </c>
      <c r="G41" t="s">
        <v>766</v>
      </c>
      <c r="H41" t="s">
        <v>22</v>
      </c>
      <c r="I41" s="2">
        <v>6001</v>
      </c>
      <c r="J41" t="s">
        <v>30</v>
      </c>
      <c r="K41">
        <v>9</v>
      </c>
      <c r="L41">
        <v>7</v>
      </c>
      <c r="M41">
        <v>6</v>
      </c>
      <c r="N41">
        <v>6</v>
      </c>
      <c r="O41">
        <v>28</v>
      </c>
      <c r="P41" t="s">
        <v>23</v>
      </c>
    </row>
    <row r="42" spans="1:16" s="9" customFormat="1" x14ac:dyDescent="0.25">
      <c r="A42" s="9">
        <v>359491</v>
      </c>
      <c r="B42" s="9" t="s">
        <v>857</v>
      </c>
      <c r="C42" s="9" t="s">
        <v>858</v>
      </c>
      <c r="D42" s="9" t="s">
        <v>859</v>
      </c>
      <c r="E42" s="10" t="s">
        <v>860</v>
      </c>
      <c r="F42" s="9" t="s">
        <v>861</v>
      </c>
      <c r="G42" s="9" t="s">
        <v>862</v>
      </c>
      <c r="H42" s="9" t="s">
        <v>22</v>
      </c>
      <c r="I42" s="11">
        <v>6001</v>
      </c>
      <c r="J42" s="9" t="s">
        <v>30</v>
      </c>
      <c r="K42" s="9">
        <v>0</v>
      </c>
      <c r="L42" s="9">
        <v>3</v>
      </c>
      <c r="M42" s="9">
        <v>55</v>
      </c>
      <c r="N42" s="9">
        <v>0</v>
      </c>
      <c r="O42" s="9">
        <v>58</v>
      </c>
      <c r="P42" s="9" t="s">
        <v>863</v>
      </c>
    </row>
    <row r="43" spans="1:16" x14ac:dyDescent="0.25">
      <c r="A43">
        <v>359373</v>
      </c>
      <c r="B43" t="s">
        <v>1077</v>
      </c>
      <c r="C43" t="s">
        <v>1078</v>
      </c>
      <c r="D43" t="s">
        <v>1079</v>
      </c>
      <c r="E43" s="1" t="s">
        <v>1080</v>
      </c>
      <c r="F43" s="15" t="s">
        <v>1081</v>
      </c>
      <c r="G43" t="s">
        <v>1082</v>
      </c>
      <c r="H43" t="s">
        <v>22</v>
      </c>
      <c r="I43" s="2">
        <v>6001</v>
      </c>
      <c r="J43" t="s">
        <v>30</v>
      </c>
      <c r="K43">
        <v>4</v>
      </c>
      <c r="L43">
        <v>36</v>
      </c>
      <c r="M43">
        <v>1</v>
      </c>
      <c r="N43">
        <v>0</v>
      </c>
      <c r="O43">
        <v>41</v>
      </c>
      <c r="P43" t="s">
        <v>23</v>
      </c>
    </row>
    <row r="44" spans="1:16" x14ac:dyDescent="0.25">
      <c r="A44">
        <v>359372</v>
      </c>
      <c r="B44" t="s">
        <v>1077</v>
      </c>
      <c r="C44" t="s">
        <v>1078</v>
      </c>
      <c r="D44" t="s">
        <v>1079</v>
      </c>
      <c r="E44" s="1" t="s">
        <v>1080</v>
      </c>
      <c r="F44" s="15" t="s">
        <v>1083</v>
      </c>
      <c r="G44" t="s">
        <v>1084</v>
      </c>
      <c r="H44" t="s">
        <v>22</v>
      </c>
      <c r="I44" s="2">
        <v>6001</v>
      </c>
      <c r="J44" t="s">
        <v>30</v>
      </c>
      <c r="K44">
        <v>7</v>
      </c>
      <c r="L44">
        <v>39</v>
      </c>
      <c r="M44">
        <v>5</v>
      </c>
      <c r="N44">
        <v>4</v>
      </c>
      <c r="O44">
        <v>55</v>
      </c>
      <c r="P44" t="s">
        <v>23</v>
      </c>
    </row>
    <row r="45" spans="1:16" x14ac:dyDescent="0.25">
      <c r="A45">
        <v>328726</v>
      </c>
      <c r="B45" t="s">
        <v>147</v>
      </c>
      <c r="C45" t="s">
        <v>148</v>
      </c>
      <c r="D45" t="s">
        <v>18</v>
      </c>
      <c r="E45" s="1" t="s">
        <v>149</v>
      </c>
      <c r="F45" s="15" t="s">
        <v>150</v>
      </c>
      <c r="G45" t="s">
        <v>151</v>
      </c>
      <c r="H45" t="s">
        <v>22</v>
      </c>
      <c r="I45" s="2">
        <v>6001</v>
      </c>
      <c r="J45" t="s">
        <v>30</v>
      </c>
      <c r="K45">
        <v>7</v>
      </c>
      <c r="L45">
        <v>53</v>
      </c>
      <c r="M45">
        <v>50</v>
      </c>
      <c r="N45">
        <v>20</v>
      </c>
      <c r="O45">
        <v>130</v>
      </c>
      <c r="P45" t="s">
        <v>23</v>
      </c>
    </row>
    <row r="46" spans="1:16" x14ac:dyDescent="0.25">
      <c r="A46">
        <v>328727</v>
      </c>
      <c r="B46" t="s">
        <v>152</v>
      </c>
      <c r="C46" t="s">
        <v>150</v>
      </c>
      <c r="D46" t="s">
        <v>18</v>
      </c>
      <c r="E46" s="1" t="s">
        <v>149</v>
      </c>
      <c r="F46" s="15" t="s">
        <v>150</v>
      </c>
      <c r="G46" t="s">
        <v>153</v>
      </c>
      <c r="H46" t="s">
        <v>22</v>
      </c>
      <c r="I46" s="2">
        <v>6001</v>
      </c>
      <c r="J46" t="s">
        <v>30</v>
      </c>
      <c r="K46">
        <v>4</v>
      </c>
      <c r="L46">
        <v>2</v>
      </c>
      <c r="M46">
        <v>11</v>
      </c>
      <c r="N46">
        <v>28</v>
      </c>
      <c r="O46">
        <v>45</v>
      </c>
      <c r="P46" t="s">
        <v>23</v>
      </c>
    </row>
    <row r="47" spans="1:16" x14ac:dyDescent="0.25">
      <c r="A47">
        <v>333296</v>
      </c>
      <c r="B47" t="s">
        <v>1103</v>
      </c>
      <c r="C47" t="s">
        <v>1104</v>
      </c>
      <c r="D47" t="s">
        <v>1105</v>
      </c>
      <c r="E47" s="1" t="s">
        <v>1106</v>
      </c>
      <c r="F47" s="15" t="s">
        <v>1107</v>
      </c>
      <c r="G47" t="s">
        <v>1108</v>
      </c>
      <c r="H47" t="s">
        <v>22</v>
      </c>
      <c r="I47" s="2">
        <v>6001</v>
      </c>
      <c r="J47" t="s">
        <v>30</v>
      </c>
      <c r="K47">
        <v>37</v>
      </c>
      <c r="L47">
        <v>32</v>
      </c>
      <c r="M47">
        <v>12</v>
      </c>
      <c r="N47">
        <v>0</v>
      </c>
      <c r="O47">
        <v>81</v>
      </c>
      <c r="P47" t="s">
        <v>23</v>
      </c>
    </row>
    <row r="48" spans="1:16" x14ac:dyDescent="0.25">
      <c r="A48">
        <v>333297</v>
      </c>
      <c r="B48" t="s">
        <v>1261</v>
      </c>
      <c r="C48" t="s">
        <v>1262</v>
      </c>
      <c r="D48" t="s">
        <v>1263</v>
      </c>
      <c r="E48" s="1" t="s">
        <v>1264</v>
      </c>
      <c r="F48" s="15" t="s">
        <v>1265</v>
      </c>
      <c r="G48" t="s">
        <v>1266</v>
      </c>
      <c r="H48" t="s">
        <v>22</v>
      </c>
      <c r="I48" s="2">
        <v>6001</v>
      </c>
      <c r="J48" t="s">
        <v>30</v>
      </c>
      <c r="K48">
        <v>99</v>
      </c>
      <c r="L48">
        <v>118</v>
      </c>
      <c r="M48">
        <v>100</v>
      </c>
      <c r="N48">
        <v>85</v>
      </c>
      <c r="O48">
        <v>402</v>
      </c>
      <c r="P48" t="s">
        <v>23</v>
      </c>
    </row>
    <row r="49" spans="1:16" x14ac:dyDescent="0.25">
      <c r="A49">
        <v>333299</v>
      </c>
      <c r="B49" t="s">
        <v>154</v>
      </c>
      <c r="C49" t="s">
        <v>155</v>
      </c>
      <c r="D49" t="s">
        <v>18</v>
      </c>
      <c r="E49" s="1" t="s">
        <v>156</v>
      </c>
      <c r="F49" s="15" t="s">
        <v>157</v>
      </c>
      <c r="G49" t="s">
        <v>158</v>
      </c>
      <c r="H49" t="s">
        <v>22</v>
      </c>
      <c r="I49" s="2">
        <v>6001</v>
      </c>
      <c r="J49" t="s">
        <v>30</v>
      </c>
      <c r="K49">
        <v>75</v>
      </c>
      <c r="L49">
        <v>110</v>
      </c>
      <c r="M49">
        <v>96</v>
      </c>
      <c r="N49">
        <v>82</v>
      </c>
      <c r="O49">
        <v>363</v>
      </c>
      <c r="P49" t="s">
        <v>23</v>
      </c>
    </row>
    <row r="50" spans="1:16" x14ac:dyDescent="0.25">
      <c r="A50">
        <v>333301</v>
      </c>
      <c r="B50" t="s">
        <v>159</v>
      </c>
      <c r="C50" t="s">
        <v>160</v>
      </c>
      <c r="D50" t="s">
        <v>18</v>
      </c>
      <c r="E50" s="1">
        <v>6001</v>
      </c>
      <c r="F50" s="15" t="s">
        <v>161</v>
      </c>
      <c r="G50" t="s">
        <v>162</v>
      </c>
      <c r="H50" t="s">
        <v>22</v>
      </c>
      <c r="I50" s="2">
        <v>6001</v>
      </c>
      <c r="J50" t="s">
        <v>30</v>
      </c>
      <c r="K50">
        <v>149</v>
      </c>
      <c r="L50">
        <v>211</v>
      </c>
      <c r="M50">
        <v>219</v>
      </c>
      <c r="N50">
        <v>127</v>
      </c>
      <c r="O50">
        <v>706</v>
      </c>
      <c r="P50" t="s">
        <v>23</v>
      </c>
    </row>
    <row r="51" spans="1:16" s="9" customFormat="1" x14ac:dyDescent="0.25">
      <c r="A51" s="9">
        <v>328470</v>
      </c>
      <c r="B51" s="9" t="s">
        <v>168</v>
      </c>
      <c r="C51" s="9" t="s">
        <v>169</v>
      </c>
      <c r="D51" s="9" t="s">
        <v>18</v>
      </c>
      <c r="E51" s="10" t="s">
        <v>170</v>
      </c>
      <c r="F51" s="9" t="s">
        <v>169</v>
      </c>
      <c r="G51" s="9" t="s">
        <v>171</v>
      </c>
      <c r="H51" s="9" t="s">
        <v>22</v>
      </c>
      <c r="I51" s="11">
        <v>6001</v>
      </c>
      <c r="J51" s="9" t="s">
        <v>30</v>
      </c>
      <c r="K51" s="9">
        <v>143</v>
      </c>
      <c r="L51" s="9">
        <v>519</v>
      </c>
      <c r="M51" s="9">
        <v>88</v>
      </c>
      <c r="N51" s="9">
        <v>3</v>
      </c>
      <c r="O51" s="9">
        <v>753</v>
      </c>
      <c r="P51" s="9" t="s">
        <v>23</v>
      </c>
    </row>
    <row r="52" spans="1:16" x14ac:dyDescent="0.25">
      <c r="A52">
        <v>333165</v>
      </c>
      <c r="B52" t="s">
        <v>176</v>
      </c>
      <c r="C52" t="s">
        <v>177</v>
      </c>
      <c r="D52" t="s">
        <v>18</v>
      </c>
      <c r="E52" s="1" t="s">
        <v>1409</v>
      </c>
      <c r="F52" s="15" t="s">
        <v>1410</v>
      </c>
      <c r="G52" t="s">
        <v>1411</v>
      </c>
      <c r="H52" t="s">
        <v>22</v>
      </c>
      <c r="I52" s="2">
        <v>6001</v>
      </c>
      <c r="J52" t="s">
        <v>1405</v>
      </c>
      <c r="K52">
        <v>20</v>
      </c>
      <c r="L52">
        <v>80</v>
      </c>
      <c r="M52">
        <v>28</v>
      </c>
      <c r="N52">
        <v>0</v>
      </c>
      <c r="O52">
        <v>128</v>
      </c>
      <c r="P52" t="s">
        <v>23</v>
      </c>
    </row>
    <row r="53" spans="1:16" x14ac:dyDescent="0.25">
      <c r="A53">
        <v>333606</v>
      </c>
      <c r="B53" t="s">
        <v>176</v>
      </c>
      <c r="C53" t="s">
        <v>177</v>
      </c>
      <c r="D53" t="s">
        <v>18</v>
      </c>
      <c r="E53" s="1" t="s">
        <v>1409</v>
      </c>
      <c r="F53" s="15" t="s">
        <v>1415</v>
      </c>
      <c r="G53" t="s">
        <v>1416</v>
      </c>
      <c r="H53" t="s">
        <v>22</v>
      </c>
      <c r="I53" s="2">
        <v>6001</v>
      </c>
      <c r="J53" t="s">
        <v>1405</v>
      </c>
      <c r="K53">
        <v>176</v>
      </c>
      <c r="L53">
        <v>639</v>
      </c>
      <c r="M53">
        <v>296</v>
      </c>
      <c r="N53">
        <v>108</v>
      </c>
      <c r="O53">
        <v>1219</v>
      </c>
      <c r="P53" t="s">
        <v>23</v>
      </c>
    </row>
    <row r="54" spans="1:16" x14ac:dyDescent="0.25">
      <c r="A54">
        <v>333166</v>
      </c>
      <c r="B54" t="s">
        <v>176</v>
      </c>
      <c r="C54" t="s">
        <v>177</v>
      </c>
      <c r="D54" t="s">
        <v>18</v>
      </c>
      <c r="E54" s="1" t="s">
        <v>178</v>
      </c>
      <c r="F54" s="15" t="s">
        <v>179</v>
      </c>
      <c r="G54" t="s">
        <v>180</v>
      </c>
      <c r="H54" t="s">
        <v>22</v>
      </c>
      <c r="I54" s="2">
        <v>6001</v>
      </c>
      <c r="J54" t="s">
        <v>30</v>
      </c>
      <c r="K54">
        <v>12</v>
      </c>
      <c r="L54">
        <v>406</v>
      </c>
      <c r="M54">
        <v>155</v>
      </c>
      <c r="N54">
        <v>3</v>
      </c>
      <c r="O54">
        <v>576</v>
      </c>
      <c r="P54" t="s">
        <v>23</v>
      </c>
    </row>
    <row r="55" spans="1:16" x14ac:dyDescent="0.25">
      <c r="A55">
        <v>333173</v>
      </c>
      <c r="B55" t="s">
        <v>890</v>
      </c>
      <c r="C55" t="s">
        <v>891</v>
      </c>
      <c r="D55" t="s">
        <v>887</v>
      </c>
      <c r="E55" s="1" t="s">
        <v>892</v>
      </c>
      <c r="F55" s="15" t="s">
        <v>893</v>
      </c>
      <c r="G55" t="s">
        <v>894</v>
      </c>
      <c r="H55" t="s">
        <v>22</v>
      </c>
      <c r="I55" s="2">
        <v>6001</v>
      </c>
      <c r="J55" t="s">
        <v>30</v>
      </c>
      <c r="K55">
        <v>1</v>
      </c>
      <c r="L55">
        <v>1</v>
      </c>
      <c r="M55">
        <v>1</v>
      </c>
      <c r="N55">
        <v>1</v>
      </c>
      <c r="O55">
        <v>4</v>
      </c>
      <c r="P55" t="s">
        <v>23</v>
      </c>
    </row>
    <row r="56" spans="1:16" x14ac:dyDescent="0.25">
      <c r="A56">
        <v>333182</v>
      </c>
      <c r="B56" t="s">
        <v>172</v>
      </c>
      <c r="C56" t="s">
        <v>173</v>
      </c>
      <c r="D56" t="s">
        <v>18</v>
      </c>
      <c r="E56" s="1" t="s">
        <v>174</v>
      </c>
      <c r="F56" s="15" t="s">
        <v>173</v>
      </c>
      <c r="G56" t="s">
        <v>175</v>
      </c>
      <c r="H56" t="s">
        <v>22</v>
      </c>
      <c r="I56" s="2">
        <v>6001</v>
      </c>
      <c r="J56" t="s">
        <v>30</v>
      </c>
      <c r="K56">
        <v>166</v>
      </c>
      <c r="L56">
        <v>292</v>
      </c>
      <c r="M56">
        <v>213</v>
      </c>
      <c r="N56">
        <v>110</v>
      </c>
      <c r="O56">
        <v>781</v>
      </c>
      <c r="P56" t="s">
        <v>23</v>
      </c>
    </row>
    <row r="57" spans="1:16" x14ac:dyDescent="0.25">
      <c r="A57">
        <v>333184</v>
      </c>
      <c r="B57" t="s">
        <v>1199</v>
      </c>
      <c r="C57" t="s">
        <v>1200</v>
      </c>
      <c r="D57" t="s">
        <v>1201</v>
      </c>
      <c r="E57" s="1" t="s">
        <v>1202</v>
      </c>
      <c r="F57" s="15" t="s">
        <v>1203</v>
      </c>
      <c r="G57" t="s">
        <v>1204</v>
      </c>
      <c r="H57" t="s">
        <v>22</v>
      </c>
      <c r="I57" s="2">
        <v>6001</v>
      </c>
      <c r="J57" t="s">
        <v>30</v>
      </c>
      <c r="K57">
        <v>37</v>
      </c>
      <c r="L57">
        <v>35</v>
      </c>
      <c r="M57">
        <v>63</v>
      </c>
      <c r="N57">
        <v>26</v>
      </c>
      <c r="O57">
        <v>161</v>
      </c>
      <c r="P57" t="s">
        <v>23</v>
      </c>
    </row>
    <row r="58" spans="1:16" x14ac:dyDescent="0.25">
      <c r="A58">
        <v>333188</v>
      </c>
      <c r="B58" t="s">
        <v>1402</v>
      </c>
      <c r="C58" t="s">
        <v>1403</v>
      </c>
      <c r="D58" t="s">
        <v>18</v>
      </c>
      <c r="E58" s="1" t="s">
        <v>170</v>
      </c>
      <c r="F58" s="15" t="s">
        <v>1403</v>
      </c>
      <c r="G58" t="s">
        <v>1404</v>
      </c>
      <c r="H58" t="s">
        <v>22</v>
      </c>
      <c r="I58" s="2">
        <v>6001</v>
      </c>
      <c r="J58" t="s">
        <v>1405</v>
      </c>
      <c r="K58">
        <v>235</v>
      </c>
      <c r="L58">
        <v>1092</v>
      </c>
      <c r="M58">
        <v>482</v>
      </c>
      <c r="N58">
        <v>136</v>
      </c>
      <c r="O58">
        <v>1945</v>
      </c>
      <c r="P58" t="s">
        <v>93</v>
      </c>
    </row>
    <row r="59" spans="1:16" x14ac:dyDescent="0.25">
      <c r="A59">
        <v>333187</v>
      </c>
      <c r="B59" t="s">
        <v>1406</v>
      </c>
      <c r="C59" t="s">
        <v>1403</v>
      </c>
      <c r="D59" t="s">
        <v>18</v>
      </c>
      <c r="E59" s="1" t="s">
        <v>170</v>
      </c>
      <c r="F59" s="15" t="s">
        <v>1407</v>
      </c>
      <c r="G59" t="s">
        <v>1408</v>
      </c>
      <c r="H59" t="s">
        <v>22</v>
      </c>
      <c r="I59" s="2">
        <v>6001</v>
      </c>
      <c r="J59" t="s">
        <v>1405</v>
      </c>
      <c r="K59">
        <v>0</v>
      </c>
      <c r="L59">
        <v>392</v>
      </c>
      <c r="M59">
        <v>201</v>
      </c>
      <c r="N59">
        <v>0</v>
      </c>
      <c r="O59">
        <v>593</v>
      </c>
      <c r="P59" t="s">
        <v>23</v>
      </c>
    </row>
    <row r="60" spans="1:16" x14ac:dyDescent="0.25">
      <c r="A60">
        <v>333553</v>
      </c>
      <c r="B60" t="s">
        <v>1412</v>
      </c>
      <c r="C60" t="s">
        <v>1403</v>
      </c>
      <c r="D60" t="s">
        <v>18</v>
      </c>
      <c r="E60" s="1" t="s">
        <v>170</v>
      </c>
      <c r="F60" s="15" t="s">
        <v>1413</v>
      </c>
      <c r="G60" t="s">
        <v>1414</v>
      </c>
      <c r="H60" t="s">
        <v>22</v>
      </c>
      <c r="I60" s="2">
        <v>6001</v>
      </c>
      <c r="J60" t="s">
        <v>1405</v>
      </c>
      <c r="K60">
        <v>237</v>
      </c>
      <c r="L60">
        <v>623</v>
      </c>
      <c r="M60">
        <v>438</v>
      </c>
      <c r="N60">
        <v>238</v>
      </c>
      <c r="O60">
        <v>1536</v>
      </c>
      <c r="P60" t="s">
        <v>23</v>
      </c>
    </row>
    <row r="61" spans="1:16" x14ac:dyDescent="0.25">
      <c r="A61">
        <v>333191</v>
      </c>
      <c r="B61" t="s">
        <v>1301</v>
      </c>
      <c r="C61" t="s">
        <v>1302</v>
      </c>
      <c r="D61" t="s">
        <v>1303</v>
      </c>
      <c r="E61" s="1" t="s">
        <v>1304</v>
      </c>
      <c r="F61" s="15" t="s">
        <v>1305</v>
      </c>
      <c r="G61" t="s">
        <v>1306</v>
      </c>
      <c r="H61" t="s">
        <v>22</v>
      </c>
      <c r="I61" s="2">
        <v>6001</v>
      </c>
      <c r="J61" t="s">
        <v>30</v>
      </c>
      <c r="K61">
        <v>16</v>
      </c>
      <c r="L61">
        <v>4</v>
      </c>
      <c r="M61">
        <v>16</v>
      </c>
      <c r="N61">
        <v>10</v>
      </c>
      <c r="O61">
        <v>46</v>
      </c>
      <c r="P61" t="s">
        <v>23</v>
      </c>
    </row>
    <row r="62" spans="1:16" x14ac:dyDescent="0.25">
      <c r="A62">
        <v>329164</v>
      </c>
      <c r="B62" t="s">
        <v>984</v>
      </c>
      <c r="C62" t="s">
        <v>985</v>
      </c>
      <c r="D62" t="s">
        <v>986</v>
      </c>
      <c r="E62" s="1" t="s">
        <v>1004</v>
      </c>
      <c r="F62" s="15" t="s">
        <v>1020</v>
      </c>
      <c r="G62" t="s">
        <v>1021</v>
      </c>
      <c r="H62" t="s">
        <v>22</v>
      </c>
      <c r="I62" s="2">
        <v>6001</v>
      </c>
      <c r="J62" t="s">
        <v>30</v>
      </c>
      <c r="K62">
        <v>0</v>
      </c>
      <c r="L62">
        <v>1</v>
      </c>
      <c r="M62">
        <v>0</v>
      </c>
      <c r="N62">
        <v>1</v>
      </c>
      <c r="O62">
        <v>2</v>
      </c>
      <c r="P62" t="s">
        <v>23</v>
      </c>
    </row>
    <row r="63" spans="1:16" x14ac:dyDescent="0.25">
      <c r="A63">
        <v>329165</v>
      </c>
      <c r="B63" t="s">
        <v>984</v>
      </c>
      <c r="C63" t="s">
        <v>985</v>
      </c>
      <c r="D63" t="s">
        <v>986</v>
      </c>
      <c r="E63" s="1">
        <v>2919</v>
      </c>
      <c r="F63" s="15" t="s">
        <v>1022</v>
      </c>
      <c r="G63" t="s">
        <v>1023</v>
      </c>
      <c r="H63" t="s">
        <v>22</v>
      </c>
      <c r="I63" s="2">
        <v>6001</v>
      </c>
      <c r="J63" t="s">
        <v>30</v>
      </c>
      <c r="K63">
        <v>3</v>
      </c>
      <c r="L63">
        <v>19</v>
      </c>
      <c r="M63">
        <v>4</v>
      </c>
      <c r="N63">
        <v>0</v>
      </c>
      <c r="O63">
        <v>26</v>
      </c>
      <c r="P63" t="s">
        <v>23</v>
      </c>
    </row>
    <row r="64" spans="1:16" x14ac:dyDescent="0.25">
      <c r="A64">
        <v>333142</v>
      </c>
      <c r="B64" t="s">
        <v>984</v>
      </c>
      <c r="C64" t="s">
        <v>985</v>
      </c>
      <c r="D64" t="s">
        <v>986</v>
      </c>
      <c r="E64" s="1" t="s">
        <v>1004</v>
      </c>
      <c r="F64" s="15" t="s">
        <v>1014</v>
      </c>
      <c r="G64" t="s">
        <v>1015</v>
      </c>
      <c r="H64" t="s">
        <v>22</v>
      </c>
      <c r="I64" s="2">
        <v>6001</v>
      </c>
      <c r="J64" t="s">
        <v>30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23</v>
      </c>
    </row>
    <row r="65" spans="1:16" x14ac:dyDescent="0.25">
      <c r="A65">
        <v>329171</v>
      </c>
      <c r="B65" t="s">
        <v>994</v>
      </c>
      <c r="C65" t="s">
        <v>985</v>
      </c>
      <c r="D65" t="s">
        <v>986</v>
      </c>
      <c r="E65" s="1">
        <v>2919</v>
      </c>
      <c r="F65" s="15" t="s">
        <v>1016</v>
      </c>
      <c r="G65" t="s">
        <v>1017</v>
      </c>
      <c r="H65" t="s">
        <v>22</v>
      </c>
      <c r="I65" s="2">
        <v>6001</v>
      </c>
      <c r="J65" t="s">
        <v>30</v>
      </c>
      <c r="K65">
        <v>28</v>
      </c>
      <c r="L65">
        <v>20</v>
      </c>
      <c r="M65">
        <v>13</v>
      </c>
      <c r="N65">
        <v>15</v>
      </c>
      <c r="O65">
        <v>76</v>
      </c>
      <c r="P65" t="s">
        <v>23</v>
      </c>
    </row>
    <row r="66" spans="1:16" x14ac:dyDescent="0.25">
      <c r="A66">
        <v>329172</v>
      </c>
      <c r="B66" t="s">
        <v>1018</v>
      </c>
      <c r="C66" t="s">
        <v>985</v>
      </c>
      <c r="D66" t="s">
        <v>986</v>
      </c>
      <c r="E66" s="1">
        <v>2919</v>
      </c>
      <c r="F66" s="15" t="s">
        <v>1016</v>
      </c>
      <c r="G66" t="s">
        <v>1019</v>
      </c>
      <c r="H66" t="s">
        <v>22</v>
      </c>
      <c r="I66" s="2">
        <v>6001</v>
      </c>
      <c r="J66" t="s">
        <v>30</v>
      </c>
      <c r="K66">
        <v>10</v>
      </c>
      <c r="L66">
        <v>81</v>
      </c>
      <c r="M66">
        <v>17</v>
      </c>
      <c r="N66">
        <v>0</v>
      </c>
      <c r="O66">
        <v>108</v>
      </c>
      <c r="P66" t="s">
        <v>23</v>
      </c>
    </row>
    <row r="67" spans="1:16" x14ac:dyDescent="0.25">
      <c r="A67">
        <v>328541</v>
      </c>
      <c r="B67" t="s">
        <v>895</v>
      </c>
      <c r="C67" t="s">
        <v>896</v>
      </c>
      <c r="D67" t="s">
        <v>887</v>
      </c>
      <c r="E67" s="1" t="s">
        <v>897</v>
      </c>
      <c r="F67" s="15" t="s">
        <v>201</v>
      </c>
      <c r="G67" t="s">
        <v>202</v>
      </c>
      <c r="H67" t="s">
        <v>22</v>
      </c>
      <c r="I67" s="2">
        <v>6001</v>
      </c>
      <c r="J67" t="s">
        <v>30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898</v>
      </c>
    </row>
    <row r="68" spans="1:16" x14ac:dyDescent="0.25">
      <c r="A68">
        <v>338555</v>
      </c>
      <c r="B68" t="s">
        <v>899</v>
      </c>
      <c r="C68" t="s">
        <v>900</v>
      </c>
      <c r="D68" t="s">
        <v>887</v>
      </c>
      <c r="E68" s="1">
        <v>6032</v>
      </c>
      <c r="F68" s="15" t="s">
        <v>901</v>
      </c>
      <c r="G68" t="s">
        <v>902</v>
      </c>
      <c r="H68" t="s">
        <v>22</v>
      </c>
      <c r="I68" s="2">
        <v>6001</v>
      </c>
      <c r="J68" t="s">
        <v>30</v>
      </c>
      <c r="K68">
        <v>10</v>
      </c>
      <c r="L68">
        <v>50</v>
      </c>
      <c r="M68">
        <v>18</v>
      </c>
      <c r="N68">
        <v>2</v>
      </c>
      <c r="O68">
        <v>80</v>
      </c>
      <c r="P68" t="s">
        <v>23</v>
      </c>
    </row>
    <row r="69" spans="1:16" x14ac:dyDescent="0.25">
      <c r="A69">
        <v>333008</v>
      </c>
      <c r="B69" t="s">
        <v>181</v>
      </c>
      <c r="C69" t="s">
        <v>182</v>
      </c>
      <c r="D69" t="s">
        <v>18</v>
      </c>
      <c r="E69" s="1" t="s">
        <v>183</v>
      </c>
      <c r="F69" s="15" t="s">
        <v>184</v>
      </c>
      <c r="G69" t="s">
        <v>185</v>
      </c>
      <c r="H69" t="s">
        <v>22</v>
      </c>
      <c r="I69" s="2">
        <v>6001</v>
      </c>
      <c r="J69" t="s">
        <v>30</v>
      </c>
      <c r="K69">
        <v>368</v>
      </c>
      <c r="L69">
        <v>373</v>
      </c>
      <c r="M69">
        <v>273</v>
      </c>
      <c r="N69">
        <v>193</v>
      </c>
      <c r="O69">
        <v>1207</v>
      </c>
      <c r="P69" t="s">
        <v>23</v>
      </c>
    </row>
    <row r="70" spans="1:16" x14ac:dyDescent="0.25">
      <c r="A70">
        <v>333009</v>
      </c>
      <c r="B70" t="s">
        <v>186</v>
      </c>
      <c r="C70" t="s">
        <v>187</v>
      </c>
      <c r="D70" t="s">
        <v>18</v>
      </c>
      <c r="E70" s="1">
        <v>6001</v>
      </c>
      <c r="F70" s="15" t="s">
        <v>187</v>
      </c>
      <c r="G70" t="s">
        <v>188</v>
      </c>
      <c r="H70" t="s">
        <v>22</v>
      </c>
      <c r="I70" s="2">
        <v>6001</v>
      </c>
      <c r="J70" t="s">
        <v>30</v>
      </c>
      <c r="K70">
        <v>7</v>
      </c>
      <c r="L70">
        <v>9</v>
      </c>
      <c r="M70">
        <v>2</v>
      </c>
      <c r="N70">
        <v>10</v>
      </c>
      <c r="O70">
        <v>28</v>
      </c>
      <c r="P70" t="s">
        <v>23</v>
      </c>
    </row>
    <row r="71" spans="1:16" x14ac:dyDescent="0.25">
      <c r="A71">
        <v>355225</v>
      </c>
      <c r="B71" t="s">
        <v>189</v>
      </c>
      <c r="C71" t="s">
        <v>190</v>
      </c>
      <c r="D71" t="s">
        <v>18</v>
      </c>
      <c r="E71" s="1">
        <v>6001</v>
      </c>
      <c r="F71" s="15" t="s">
        <v>191</v>
      </c>
      <c r="G71" t="s">
        <v>192</v>
      </c>
      <c r="H71" t="s">
        <v>22</v>
      </c>
      <c r="I71" s="2">
        <v>6001</v>
      </c>
      <c r="J71" t="s">
        <v>30</v>
      </c>
      <c r="K71">
        <v>10</v>
      </c>
      <c r="L71">
        <v>26</v>
      </c>
      <c r="M71">
        <v>18</v>
      </c>
      <c r="N71">
        <v>4</v>
      </c>
      <c r="O71">
        <v>58</v>
      </c>
      <c r="P71" t="s">
        <v>23</v>
      </c>
    </row>
    <row r="72" spans="1:16" x14ac:dyDescent="0.25">
      <c r="A72">
        <v>328540</v>
      </c>
      <c r="B72" t="s">
        <v>193</v>
      </c>
      <c r="C72" t="s">
        <v>194</v>
      </c>
      <c r="D72" t="s">
        <v>18</v>
      </c>
      <c r="E72" s="1" t="s">
        <v>195</v>
      </c>
      <c r="F72" s="15" t="s">
        <v>196</v>
      </c>
      <c r="G72" t="s">
        <v>197</v>
      </c>
      <c r="H72" t="s">
        <v>22</v>
      </c>
      <c r="I72" s="2">
        <v>6001</v>
      </c>
      <c r="J72" t="s">
        <v>30</v>
      </c>
      <c r="K72">
        <v>8</v>
      </c>
      <c r="L72">
        <v>26</v>
      </c>
      <c r="M72">
        <v>2</v>
      </c>
      <c r="N72">
        <v>2</v>
      </c>
      <c r="O72">
        <v>38</v>
      </c>
      <c r="P72" t="s">
        <v>23</v>
      </c>
    </row>
    <row r="73" spans="1:16" x14ac:dyDescent="0.25">
      <c r="A73">
        <v>372460</v>
      </c>
      <c r="B73" t="s">
        <v>198</v>
      </c>
      <c r="C73" t="s">
        <v>199</v>
      </c>
      <c r="D73" t="s">
        <v>18</v>
      </c>
      <c r="E73" s="1" t="s">
        <v>200</v>
      </c>
      <c r="F73" s="15" t="s">
        <v>201</v>
      </c>
      <c r="G73" t="s">
        <v>202</v>
      </c>
      <c r="H73" t="s">
        <v>22</v>
      </c>
      <c r="I73" s="2">
        <v>6001</v>
      </c>
      <c r="J73" t="s">
        <v>30</v>
      </c>
      <c r="K73">
        <v>2</v>
      </c>
      <c r="L73">
        <v>38</v>
      </c>
      <c r="M73">
        <v>12</v>
      </c>
      <c r="N73">
        <v>0</v>
      </c>
      <c r="O73">
        <v>52</v>
      </c>
      <c r="P73" t="s">
        <v>23</v>
      </c>
    </row>
    <row r="74" spans="1:16" x14ac:dyDescent="0.25">
      <c r="A74">
        <v>328544</v>
      </c>
      <c r="B74" t="s">
        <v>203</v>
      </c>
      <c r="C74" t="s">
        <v>204</v>
      </c>
      <c r="D74" t="s">
        <v>18</v>
      </c>
      <c r="E74" s="1">
        <v>6001</v>
      </c>
      <c r="F74" s="15" t="s">
        <v>205</v>
      </c>
      <c r="G74" t="s">
        <v>206</v>
      </c>
      <c r="H74" t="s">
        <v>22</v>
      </c>
      <c r="I74" s="2">
        <v>6001</v>
      </c>
      <c r="J74" t="s">
        <v>30</v>
      </c>
      <c r="K74">
        <v>0</v>
      </c>
      <c r="L74">
        <v>0</v>
      </c>
      <c r="M74">
        <v>1</v>
      </c>
      <c r="N74">
        <v>3</v>
      </c>
      <c r="O74">
        <v>4</v>
      </c>
      <c r="P74" t="s">
        <v>207</v>
      </c>
    </row>
    <row r="75" spans="1:16" x14ac:dyDescent="0.25">
      <c r="A75">
        <v>373950</v>
      </c>
      <c r="B75" t="s">
        <v>208</v>
      </c>
      <c r="C75" t="s">
        <v>205</v>
      </c>
      <c r="D75" t="s">
        <v>18</v>
      </c>
      <c r="E75" s="1">
        <v>6001</v>
      </c>
      <c r="F75" s="15" t="s">
        <v>205</v>
      </c>
      <c r="G75" t="s">
        <v>206</v>
      </c>
      <c r="H75" t="s">
        <v>22</v>
      </c>
      <c r="I75" s="2">
        <v>6001</v>
      </c>
      <c r="J75" t="s">
        <v>30</v>
      </c>
      <c r="K75">
        <v>2</v>
      </c>
      <c r="L75">
        <v>2</v>
      </c>
      <c r="M75">
        <v>1</v>
      </c>
      <c r="N75">
        <v>0</v>
      </c>
      <c r="O75">
        <v>5</v>
      </c>
      <c r="P75" t="s">
        <v>23</v>
      </c>
    </row>
    <row r="76" spans="1:16" x14ac:dyDescent="0.25">
      <c r="A76">
        <v>338537</v>
      </c>
      <c r="B76" t="s">
        <v>209</v>
      </c>
      <c r="C76" t="s">
        <v>210</v>
      </c>
      <c r="D76" t="s">
        <v>18</v>
      </c>
      <c r="E76" s="1">
        <v>6001</v>
      </c>
      <c r="F76" s="15" t="s">
        <v>210</v>
      </c>
      <c r="G76" t="s">
        <v>211</v>
      </c>
      <c r="H76" t="s">
        <v>22</v>
      </c>
      <c r="I76" s="2">
        <v>6001</v>
      </c>
      <c r="J76" t="s">
        <v>30</v>
      </c>
      <c r="K76">
        <v>61</v>
      </c>
      <c r="L76">
        <v>96</v>
      </c>
      <c r="M76">
        <v>63</v>
      </c>
      <c r="N76">
        <v>45</v>
      </c>
      <c r="O76">
        <v>265</v>
      </c>
      <c r="P76" t="s">
        <v>23</v>
      </c>
    </row>
    <row r="77" spans="1:16" x14ac:dyDescent="0.25">
      <c r="A77">
        <v>328894</v>
      </c>
      <c r="B77" t="s">
        <v>212</v>
      </c>
      <c r="C77" t="s">
        <v>213</v>
      </c>
      <c r="D77" t="s">
        <v>18</v>
      </c>
      <c r="E77" s="1" t="s">
        <v>214</v>
      </c>
      <c r="F77" s="15" t="s">
        <v>215</v>
      </c>
      <c r="G77" t="s">
        <v>216</v>
      </c>
      <c r="H77" t="s">
        <v>22</v>
      </c>
      <c r="I77" s="2">
        <v>6001</v>
      </c>
      <c r="J77" t="s">
        <v>30</v>
      </c>
      <c r="K77">
        <v>11</v>
      </c>
      <c r="L77">
        <v>42</v>
      </c>
      <c r="M77">
        <v>9</v>
      </c>
      <c r="N77">
        <v>7</v>
      </c>
      <c r="O77">
        <v>69</v>
      </c>
      <c r="P77" t="s">
        <v>23</v>
      </c>
    </row>
    <row r="78" spans="1:16" x14ac:dyDescent="0.25">
      <c r="A78">
        <v>328550</v>
      </c>
      <c r="B78" t="s">
        <v>217</v>
      </c>
      <c r="C78" t="s">
        <v>218</v>
      </c>
      <c r="D78" t="s">
        <v>18</v>
      </c>
      <c r="E78" s="1" t="s">
        <v>214</v>
      </c>
      <c r="F78" s="15" t="s">
        <v>219</v>
      </c>
      <c r="G78" t="s">
        <v>220</v>
      </c>
      <c r="H78" t="s">
        <v>22</v>
      </c>
      <c r="I78" s="2">
        <v>6001</v>
      </c>
      <c r="J78" t="s">
        <v>30</v>
      </c>
      <c r="K78">
        <v>15</v>
      </c>
      <c r="L78">
        <v>69</v>
      </c>
      <c r="M78">
        <v>40</v>
      </c>
      <c r="N78">
        <v>15</v>
      </c>
      <c r="O78">
        <v>139</v>
      </c>
      <c r="P78" t="s">
        <v>23</v>
      </c>
    </row>
    <row r="79" spans="1:16" x14ac:dyDescent="0.25">
      <c r="A79">
        <v>333019</v>
      </c>
      <c r="B79" t="s">
        <v>221</v>
      </c>
      <c r="C79" t="s">
        <v>222</v>
      </c>
      <c r="D79" t="s">
        <v>18</v>
      </c>
      <c r="E79" s="1" t="s">
        <v>223</v>
      </c>
      <c r="F79" s="15" t="s">
        <v>224</v>
      </c>
      <c r="G79" t="s">
        <v>225</v>
      </c>
      <c r="H79" t="s">
        <v>22</v>
      </c>
      <c r="I79" s="2">
        <v>6001</v>
      </c>
      <c r="J79" t="s">
        <v>30</v>
      </c>
      <c r="K79">
        <v>1</v>
      </c>
      <c r="L79">
        <v>2</v>
      </c>
      <c r="M79">
        <v>1</v>
      </c>
      <c r="N79">
        <v>0</v>
      </c>
      <c r="O79">
        <v>4</v>
      </c>
      <c r="P79" t="s">
        <v>23</v>
      </c>
    </row>
    <row r="80" spans="1:16" x14ac:dyDescent="0.25">
      <c r="A80">
        <v>328555</v>
      </c>
      <c r="B80" t="s">
        <v>226</v>
      </c>
      <c r="C80" t="s">
        <v>227</v>
      </c>
      <c r="D80" t="s">
        <v>18</v>
      </c>
      <c r="E80" s="1" t="s">
        <v>228</v>
      </c>
      <c r="F80" s="15" t="s">
        <v>229</v>
      </c>
      <c r="G80" t="s">
        <v>230</v>
      </c>
      <c r="H80" t="s">
        <v>22</v>
      </c>
      <c r="I80" s="2">
        <v>6001</v>
      </c>
      <c r="J80" t="s">
        <v>30</v>
      </c>
      <c r="K80">
        <v>44</v>
      </c>
      <c r="L80">
        <v>48</v>
      </c>
      <c r="M80">
        <v>38</v>
      </c>
      <c r="N80">
        <v>30</v>
      </c>
      <c r="O80">
        <v>160</v>
      </c>
      <c r="P80" t="s">
        <v>23</v>
      </c>
    </row>
    <row r="81" spans="1:16" x14ac:dyDescent="0.25">
      <c r="A81">
        <v>328556</v>
      </c>
      <c r="B81" t="s">
        <v>231</v>
      </c>
      <c r="C81" t="s">
        <v>227</v>
      </c>
      <c r="D81" t="s">
        <v>18</v>
      </c>
      <c r="E81" s="1" t="s">
        <v>228</v>
      </c>
      <c r="F81" s="15" t="s">
        <v>232</v>
      </c>
      <c r="G81" t="s">
        <v>233</v>
      </c>
      <c r="H81" t="s">
        <v>22</v>
      </c>
      <c r="I81" s="2">
        <v>6001</v>
      </c>
      <c r="J81" t="s">
        <v>30</v>
      </c>
      <c r="K81">
        <v>3</v>
      </c>
      <c r="L81">
        <v>1</v>
      </c>
      <c r="M81">
        <v>0</v>
      </c>
      <c r="N81">
        <v>1</v>
      </c>
      <c r="O81">
        <v>5</v>
      </c>
      <c r="P81" t="s">
        <v>23</v>
      </c>
    </row>
    <row r="82" spans="1:16" s="9" customFormat="1" x14ac:dyDescent="0.25">
      <c r="A82" s="9">
        <v>328557</v>
      </c>
      <c r="B82" s="9" t="s">
        <v>234</v>
      </c>
      <c r="C82" s="9" t="s">
        <v>235</v>
      </c>
      <c r="D82" s="9" t="s">
        <v>18</v>
      </c>
      <c r="E82" s="10" t="s">
        <v>236</v>
      </c>
      <c r="F82" s="9" t="s">
        <v>237</v>
      </c>
      <c r="G82" s="9" t="s">
        <v>238</v>
      </c>
      <c r="H82" s="9" t="s">
        <v>22</v>
      </c>
      <c r="I82" s="11">
        <v>6001</v>
      </c>
      <c r="J82" s="9" t="s">
        <v>30</v>
      </c>
      <c r="K82" s="9">
        <v>37</v>
      </c>
      <c r="L82" s="9">
        <v>210</v>
      </c>
      <c r="M82" s="9">
        <v>55</v>
      </c>
      <c r="N82" s="9">
        <v>11</v>
      </c>
      <c r="O82" s="9">
        <v>313</v>
      </c>
      <c r="P82" s="9" t="s">
        <v>23</v>
      </c>
    </row>
    <row r="83" spans="1:16" x14ac:dyDescent="0.25">
      <c r="A83">
        <v>336591</v>
      </c>
      <c r="B83" t="s">
        <v>239</v>
      </c>
      <c r="C83" t="s">
        <v>240</v>
      </c>
      <c r="D83" t="s">
        <v>18</v>
      </c>
      <c r="E83" s="1">
        <v>6001</v>
      </c>
      <c r="F83" s="15" t="s">
        <v>240</v>
      </c>
      <c r="G83" t="s">
        <v>241</v>
      </c>
      <c r="H83" t="s">
        <v>22</v>
      </c>
      <c r="I83" s="2">
        <v>6001</v>
      </c>
      <c r="J83" t="s">
        <v>30</v>
      </c>
      <c r="K83">
        <v>25</v>
      </c>
      <c r="L83">
        <v>78</v>
      </c>
      <c r="M83">
        <v>71</v>
      </c>
      <c r="N83">
        <v>75</v>
      </c>
      <c r="O83">
        <v>249</v>
      </c>
      <c r="P83" t="s">
        <v>23</v>
      </c>
    </row>
    <row r="84" spans="1:16" x14ac:dyDescent="0.25">
      <c r="A84">
        <v>333018</v>
      </c>
      <c r="B84" t="s">
        <v>242</v>
      </c>
      <c r="C84" t="s">
        <v>243</v>
      </c>
      <c r="D84" t="s">
        <v>18</v>
      </c>
      <c r="E84" s="1" t="s">
        <v>236</v>
      </c>
      <c r="F84" s="15" t="s">
        <v>244</v>
      </c>
      <c r="G84" t="s">
        <v>245</v>
      </c>
      <c r="H84" t="s">
        <v>22</v>
      </c>
      <c r="I84" s="2">
        <v>6001</v>
      </c>
      <c r="J84" t="s">
        <v>30</v>
      </c>
      <c r="K84">
        <v>75</v>
      </c>
      <c r="L84">
        <v>98</v>
      </c>
      <c r="M84">
        <v>84</v>
      </c>
      <c r="N84">
        <v>65</v>
      </c>
      <c r="O84">
        <v>322</v>
      </c>
      <c r="P84" t="s">
        <v>23</v>
      </c>
    </row>
    <row r="85" spans="1:16" x14ac:dyDescent="0.25">
      <c r="A85">
        <v>333012</v>
      </c>
      <c r="B85" t="s">
        <v>221</v>
      </c>
      <c r="C85" t="s">
        <v>222</v>
      </c>
      <c r="D85" t="s">
        <v>18</v>
      </c>
      <c r="E85" s="1" t="s">
        <v>223</v>
      </c>
      <c r="F85" s="15" t="s">
        <v>246</v>
      </c>
      <c r="G85" t="s">
        <v>247</v>
      </c>
      <c r="H85" t="s">
        <v>22</v>
      </c>
      <c r="I85" s="2">
        <v>6001</v>
      </c>
      <c r="J85" t="s">
        <v>30</v>
      </c>
      <c r="K85">
        <v>1</v>
      </c>
      <c r="L85">
        <v>212</v>
      </c>
      <c r="M85">
        <v>41</v>
      </c>
      <c r="N85">
        <v>0</v>
      </c>
      <c r="O85">
        <v>254</v>
      </c>
      <c r="P85" t="s">
        <v>23</v>
      </c>
    </row>
    <row r="86" spans="1:16" x14ac:dyDescent="0.25">
      <c r="A86">
        <v>333016</v>
      </c>
      <c r="B86" t="s">
        <v>226</v>
      </c>
      <c r="C86" t="s">
        <v>248</v>
      </c>
      <c r="D86" t="s">
        <v>18</v>
      </c>
      <c r="E86" s="1" t="s">
        <v>228</v>
      </c>
      <c r="F86" s="15" t="s">
        <v>249</v>
      </c>
      <c r="G86" t="s">
        <v>250</v>
      </c>
      <c r="H86" t="s">
        <v>22</v>
      </c>
      <c r="I86" s="2">
        <v>6001</v>
      </c>
      <c r="J86" t="s">
        <v>30</v>
      </c>
      <c r="K86">
        <v>9</v>
      </c>
      <c r="L86">
        <v>9</v>
      </c>
      <c r="M86">
        <v>8</v>
      </c>
      <c r="N86">
        <v>13</v>
      </c>
      <c r="O86">
        <v>39</v>
      </c>
      <c r="P86" t="s">
        <v>23</v>
      </c>
    </row>
    <row r="87" spans="1:16" x14ac:dyDescent="0.25">
      <c r="A87">
        <v>333017</v>
      </c>
      <c r="B87" t="s">
        <v>251</v>
      </c>
      <c r="C87" t="s">
        <v>252</v>
      </c>
      <c r="D87" t="s">
        <v>18</v>
      </c>
      <c r="E87" s="1">
        <v>6001</v>
      </c>
      <c r="F87" s="15" t="s">
        <v>249</v>
      </c>
      <c r="G87" t="s">
        <v>253</v>
      </c>
      <c r="H87" t="s">
        <v>22</v>
      </c>
      <c r="I87" s="2">
        <v>6001</v>
      </c>
      <c r="J87" t="s">
        <v>30</v>
      </c>
      <c r="K87">
        <v>203</v>
      </c>
      <c r="L87">
        <v>246</v>
      </c>
      <c r="M87">
        <v>264</v>
      </c>
      <c r="N87">
        <v>193</v>
      </c>
      <c r="O87">
        <v>906</v>
      </c>
      <c r="P87" t="s">
        <v>23</v>
      </c>
    </row>
    <row r="88" spans="1:16" x14ac:dyDescent="0.25">
      <c r="A88">
        <v>333689</v>
      </c>
      <c r="B88" t="s">
        <v>221</v>
      </c>
      <c r="C88" t="s">
        <v>222</v>
      </c>
      <c r="D88" t="s">
        <v>18</v>
      </c>
      <c r="E88" s="1" t="s">
        <v>223</v>
      </c>
      <c r="F88" s="15" t="s">
        <v>254</v>
      </c>
      <c r="G88" t="s">
        <v>255</v>
      </c>
      <c r="H88" t="s">
        <v>22</v>
      </c>
      <c r="I88" s="2">
        <v>6001</v>
      </c>
      <c r="J88" t="s">
        <v>30</v>
      </c>
      <c r="K88">
        <v>220</v>
      </c>
      <c r="L88">
        <v>365</v>
      </c>
      <c r="M88">
        <v>170</v>
      </c>
      <c r="N88">
        <v>162</v>
      </c>
      <c r="O88">
        <v>917</v>
      </c>
      <c r="P88" t="s">
        <v>23</v>
      </c>
    </row>
    <row r="89" spans="1:16" x14ac:dyDescent="0.25">
      <c r="A89">
        <v>333601</v>
      </c>
      <c r="B89" t="s">
        <v>231</v>
      </c>
      <c r="C89" t="s">
        <v>227</v>
      </c>
      <c r="D89" t="s">
        <v>18</v>
      </c>
      <c r="E89" s="1" t="s">
        <v>228</v>
      </c>
      <c r="F89" s="15" t="s">
        <v>256</v>
      </c>
      <c r="G89" t="s">
        <v>257</v>
      </c>
      <c r="H89" t="s">
        <v>22</v>
      </c>
      <c r="I89" s="2">
        <v>6001</v>
      </c>
      <c r="J89" t="s">
        <v>30</v>
      </c>
      <c r="K89">
        <v>353</v>
      </c>
      <c r="L89">
        <v>402</v>
      </c>
      <c r="M89">
        <v>388</v>
      </c>
      <c r="N89">
        <v>283</v>
      </c>
      <c r="O89">
        <v>1426</v>
      </c>
      <c r="P89" t="s">
        <v>23</v>
      </c>
    </row>
    <row r="90" spans="1:16" x14ac:dyDescent="0.25">
      <c r="A90">
        <v>352193</v>
      </c>
      <c r="B90" t="s">
        <v>1115</v>
      </c>
      <c r="C90" t="s">
        <v>1116</v>
      </c>
      <c r="D90" t="s">
        <v>1117</v>
      </c>
      <c r="E90" s="1" t="s">
        <v>1118</v>
      </c>
      <c r="F90" s="15" t="s">
        <v>1119</v>
      </c>
      <c r="G90" t="s">
        <v>1120</v>
      </c>
      <c r="H90" t="s">
        <v>22</v>
      </c>
      <c r="I90" s="2">
        <v>6001</v>
      </c>
      <c r="J90" t="s">
        <v>30</v>
      </c>
      <c r="K90">
        <v>0</v>
      </c>
      <c r="L90">
        <v>1</v>
      </c>
      <c r="M90">
        <v>0</v>
      </c>
      <c r="N90">
        <v>1</v>
      </c>
      <c r="O90">
        <v>2</v>
      </c>
      <c r="P90" t="s">
        <v>23</v>
      </c>
    </row>
    <row r="91" spans="1:16" x14ac:dyDescent="0.25">
      <c r="A91">
        <v>352231</v>
      </c>
      <c r="B91" t="s">
        <v>1115</v>
      </c>
      <c r="C91" t="s">
        <v>1116</v>
      </c>
      <c r="D91" t="s">
        <v>1117</v>
      </c>
      <c r="E91" s="1" t="s">
        <v>1118</v>
      </c>
      <c r="F91" s="15" t="s">
        <v>1121</v>
      </c>
      <c r="G91" t="s">
        <v>1122</v>
      </c>
      <c r="H91" t="s">
        <v>22</v>
      </c>
      <c r="I91" s="2">
        <v>6001</v>
      </c>
      <c r="J91" t="s">
        <v>30</v>
      </c>
      <c r="K91">
        <v>2</v>
      </c>
      <c r="L91">
        <v>3</v>
      </c>
      <c r="M91">
        <v>2</v>
      </c>
      <c r="N91">
        <v>1</v>
      </c>
      <c r="O91">
        <v>8</v>
      </c>
      <c r="P91" t="s">
        <v>23</v>
      </c>
    </row>
    <row r="92" spans="1:16" x14ac:dyDescent="0.25">
      <c r="A92">
        <v>352232</v>
      </c>
      <c r="B92" t="s">
        <v>1115</v>
      </c>
      <c r="C92" t="s">
        <v>1116</v>
      </c>
      <c r="D92" t="s">
        <v>1117</v>
      </c>
      <c r="E92" s="1" t="s">
        <v>1118</v>
      </c>
      <c r="F92" s="15" t="s">
        <v>1123</v>
      </c>
      <c r="G92" t="s">
        <v>1124</v>
      </c>
      <c r="H92" t="s">
        <v>22</v>
      </c>
      <c r="I92" s="2">
        <v>6001</v>
      </c>
      <c r="J92" t="s">
        <v>30</v>
      </c>
      <c r="K92">
        <v>10</v>
      </c>
      <c r="L92">
        <v>13</v>
      </c>
      <c r="M92">
        <v>13</v>
      </c>
      <c r="N92">
        <v>5</v>
      </c>
      <c r="O92">
        <v>41</v>
      </c>
      <c r="P92" t="s">
        <v>23</v>
      </c>
    </row>
    <row r="93" spans="1:16" x14ac:dyDescent="0.25">
      <c r="A93">
        <v>352234</v>
      </c>
      <c r="B93" t="s">
        <v>1115</v>
      </c>
      <c r="C93" t="s">
        <v>1116</v>
      </c>
      <c r="D93" t="s">
        <v>1117</v>
      </c>
      <c r="E93" s="1" t="s">
        <v>1118</v>
      </c>
      <c r="F93" s="15" t="s">
        <v>1125</v>
      </c>
      <c r="G93" t="s">
        <v>1126</v>
      </c>
      <c r="H93" t="s">
        <v>22</v>
      </c>
      <c r="I93" s="2">
        <v>6001</v>
      </c>
      <c r="J93" t="s">
        <v>30</v>
      </c>
      <c r="K93">
        <v>2</v>
      </c>
      <c r="L93">
        <v>1</v>
      </c>
      <c r="M93">
        <v>2</v>
      </c>
      <c r="N93">
        <v>2</v>
      </c>
      <c r="O93">
        <v>7</v>
      </c>
      <c r="P93" t="s">
        <v>23</v>
      </c>
    </row>
    <row r="94" spans="1:16" x14ac:dyDescent="0.25">
      <c r="A94">
        <v>352235</v>
      </c>
      <c r="B94" t="s">
        <v>1115</v>
      </c>
      <c r="C94" t="s">
        <v>1116</v>
      </c>
      <c r="D94" t="s">
        <v>1117</v>
      </c>
      <c r="E94" s="1" t="s">
        <v>1118</v>
      </c>
      <c r="F94" s="15" t="s">
        <v>1127</v>
      </c>
      <c r="G94" t="s">
        <v>1128</v>
      </c>
      <c r="H94" t="s">
        <v>22</v>
      </c>
      <c r="I94" s="2">
        <v>6001</v>
      </c>
      <c r="J94" t="s">
        <v>30</v>
      </c>
      <c r="K94">
        <v>0</v>
      </c>
      <c r="L94">
        <v>0</v>
      </c>
      <c r="M94">
        <v>0</v>
      </c>
      <c r="N94">
        <v>1</v>
      </c>
      <c r="O94">
        <v>1</v>
      </c>
      <c r="P94" t="s">
        <v>23</v>
      </c>
    </row>
    <row r="95" spans="1:16" x14ac:dyDescent="0.25">
      <c r="A95">
        <v>352236</v>
      </c>
      <c r="B95" t="s">
        <v>1115</v>
      </c>
      <c r="C95" t="s">
        <v>1116</v>
      </c>
      <c r="D95" t="s">
        <v>1117</v>
      </c>
      <c r="E95" s="1" t="s">
        <v>1118</v>
      </c>
      <c r="F95" s="15" t="s">
        <v>1129</v>
      </c>
      <c r="G95" t="s">
        <v>1130</v>
      </c>
      <c r="H95" t="s">
        <v>22</v>
      </c>
      <c r="I95" s="2">
        <v>6001</v>
      </c>
      <c r="J95" t="s">
        <v>30</v>
      </c>
      <c r="K95">
        <v>2</v>
      </c>
      <c r="L95">
        <v>1</v>
      </c>
      <c r="M95">
        <v>0</v>
      </c>
      <c r="N95">
        <v>1</v>
      </c>
      <c r="O95">
        <v>4</v>
      </c>
      <c r="P95" t="s">
        <v>23</v>
      </c>
    </row>
    <row r="96" spans="1:16" x14ac:dyDescent="0.25">
      <c r="A96">
        <v>352243</v>
      </c>
      <c r="B96" t="s">
        <v>1115</v>
      </c>
      <c r="C96" t="s">
        <v>1116</v>
      </c>
      <c r="D96" t="s">
        <v>1117</v>
      </c>
      <c r="E96" s="1" t="s">
        <v>1118</v>
      </c>
      <c r="F96" s="15" t="s">
        <v>1131</v>
      </c>
      <c r="G96" t="s">
        <v>1132</v>
      </c>
      <c r="H96" t="s">
        <v>22</v>
      </c>
      <c r="I96" s="2">
        <v>6001</v>
      </c>
      <c r="J96" t="s">
        <v>30</v>
      </c>
      <c r="K96">
        <v>22</v>
      </c>
      <c r="L96">
        <v>13</v>
      </c>
      <c r="M96">
        <v>5</v>
      </c>
      <c r="N96">
        <v>5</v>
      </c>
      <c r="O96">
        <v>45</v>
      </c>
      <c r="P96" t="s">
        <v>23</v>
      </c>
    </row>
    <row r="97" spans="1:16" x14ac:dyDescent="0.25">
      <c r="A97">
        <v>352248</v>
      </c>
      <c r="B97" t="s">
        <v>1115</v>
      </c>
      <c r="C97" t="s">
        <v>1116</v>
      </c>
      <c r="D97" t="s">
        <v>1117</v>
      </c>
      <c r="E97" s="1" t="s">
        <v>1118</v>
      </c>
      <c r="F97" s="15" t="s">
        <v>1133</v>
      </c>
      <c r="G97" t="s">
        <v>1134</v>
      </c>
      <c r="H97" t="s">
        <v>22</v>
      </c>
      <c r="I97" s="2">
        <v>6001</v>
      </c>
      <c r="J97" t="s">
        <v>30</v>
      </c>
      <c r="K97">
        <v>11</v>
      </c>
      <c r="L97">
        <v>15</v>
      </c>
      <c r="M97">
        <v>12</v>
      </c>
      <c r="N97">
        <v>12</v>
      </c>
      <c r="O97">
        <v>50</v>
      </c>
      <c r="P97" t="s">
        <v>23</v>
      </c>
    </row>
    <row r="98" spans="1:16" x14ac:dyDescent="0.25">
      <c r="A98">
        <v>352249</v>
      </c>
      <c r="B98" t="s">
        <v>1115</v>
      </c>
      <c r="C98" t="s">
        <v>1116</v>
      </c>
      <c r="D98" t="s">
        <v>1117</v>
      </c>
      <c r="E98" s="1" t="s">
        <v>1118</v>
      </c>
      <c r="F98" s="15" t="s">
        <v>1135</v>
      </c>
      <c r="G98" t="s">
        <v>1136</v>
      </c>
      <c r="H98" t="s">
        <v>22</v>
      </c>
      <c r="I98" s="2">
        <v>6001</v>
      </c>
      <c r="J98" t="s">
        <v>30</v>
      </c>
      <c r="K98">
        <v>85</v>
      </c>
      <c r="L98">
        <v>36</v>
      </c>
      <c r="M98">
        <v>28</v>
      </c>
      <c r="N98">
        <v>26</v>
      </c>
      <c r="O98">
        <v>175</v>
      </c>
      <c r="P98" t="s">
        <v>23</v>
      </c>
    </row>
    <row r="99" spans="1:16" x14ac:dyDescent="0.25">
      <c r="A99">
        <v>352251</v>
      </c>
      <c r="B99" t="s">
        <v>1115</v>
      </c>
      <c r="C99" t="s">
        <v>1116</v>
      </c>
      <c r="D99" t="s">
        <v>1117</v>
      </c>
      <c r="E99" s="1" t="s">
        <v>1118</v>
      </c>
      <c r="F99" s="15" t="s">
        <v>1137</v>
      </c>
      <c r="G99" t="s">
        <v>1138</v>
      </c>
      <c r="H99" t="s">
        <v>22</v>
      </c>
      <c r="I99" s="2">
        <v>6001</v>
      </c>
      <c r="J99" t="s">
        <v>30</v>
      </c>
      <c r="K99">
        <v>21</v>
      </c>
      <c r="L99">
        <v>33</v>
      </c>
      <c r="M99">
        <v>20</v>
      </c>
      <c r="N99">
        <v>11</v>
      </c>
      <c r="O99">
        <v>85</v>
      </c>
      <c r="P99" t="s">
        <v>23</v>
      </c>
    </row>
    <row r="100" spans="1:16" x14ac:dyDescent="0.25">
      <c r="A100">
        <v>352253</v>
      </c>
      <c r="B100" t="s">
        <v>1115</v>
      </c>
      <c r="C100" t="s">
        <v>1116</v>
      </c>
      <c r="D100" t="s">
        <v>1117</v>
      </c>
      <c r="E100" s="1" t="s">
        <v>1118</v>
      </c>
      <c r="F100" s="15" t="s">
        <v>1139</v>
      </c>
      <c r="G100" t="s">
        <v>1140</v>
      </c>
      <c r="H100" t="s">
        <v>22</v>
      </c>
      <c r="I100" s="2">
        <v>6001</v>
      </c>
      <c r="J100" t="s">
        <v>30</v>
      </c>
      <c r="K100">
        <v>483</v>
      </c>
      <c r="L100">
        <v>0</v>
      </c>
      <c r="M100">
        <v>87</v>
      </c>
      <c r="N100">
        <v>86</v>
      </c>
      <c r="O100">
        <v>656</v>
      </c>
      <c r="P100" t="s">
        <v>23</v>
      </c>
    </row>
    <row r="101" spans="1:16" x14ac:dyDescent="0.25">
      <c r="A101">
        <v>352254</v>
      </c>
      <c r="B101" t="s">
        <v>1115</v>
      </c>
      <c r="C101" t="s">
        <v>1116</v>
      </c>
      <c r="D101" t="s">
        <v>1117</v>
      </c>
      <c r="E101" s="1" t="s">
        <v>1118</v>
      </c>
      <c r="F101" s="15" t="s">
        <v>1141</v>
      </c>
      <c r="G101" t="s">
        <v>1142</v>
      </c>
      <c r="H101" t="s">
        <v>22</v>
      </c>
      <c r="I101" s="2">
        <v>6001</v>
      </c>
      <c r="J101" t="s">
        <v>30</v>
      </c>
      <c r="K101">
        <v>22</v>
      </c>
      <c r="L101">
        <v>32</v>
      </c>
      <c r="M101">
        <v>35</v>
      </c>
      <c r="N101">
        <v>41</v>
      </c>
      <c r="O101">
        <v>130</v>
      </c>
      <c r="P101" t="s">
        <v>23</v>
      </c>
    </row>
    <row r="102" spans="1:16" x14ac:dyDescent="0.25">
      <c r="A102">
        <v>352256</v>
      </c>
      <c r="B102" t="s">
        <v>1115</v>
      </c>
      <c r="C102" t="s">
        <v>1116</v>
      </c>
      <c r="D102" t="s">
        <v>1117</v>
      </c>
      <c r="E102" s="1" t="s">
        <v>1118</v>
      </c>
      <c r="F102" s="15" t="s">
        <v>1143</v>
      </c>
      <c r="G102" t="s">
        <v>1144</v>
      </c>
      <c r="H102" t="s">
        <v>22</v>
      </c>
      <c r="I102" s="2">
        <v>6001</v>
      </c>
      <c r="J102" t="s">
        <v>30</v>
      </c>
      <c r="K102">
        <v>6</v>
      </c>
      <c r="L102">
        <v>5</v>
      </c>
      <c r="M102">
        <v>7</v>
      </c>
      <c r="N102">
        <v>6</v>
      </c>
      <c r="O102">
        <v>24</v>
      </c>
      <c r="P102" t="s">
        <v>23</v>
      </c>
    </row>
    <row r="103" spans="1:16" x14ac:dyDescent="0.25">
      <c r="A103">
        <v>352190</v>
      </c>
      <c r="B103" t="s">
        <v>1115</v>
      </c>
      <c r="C103" t="s">
        <v>1116</v>
      </c>
      <c r="D103" t="s">
        <v>1117</v>
      </c>
      <c r="E103" s="1" t="s">
        <v>1118</v>
      </c>
      <c r="F103" s="15" t="s">
        <v>1145</v>
      </c>
      <c r="G103" t="s">
        <v>1146</v>
      </c>
      <c r="H103" t="s">
        <v>22</v>
      </c>
      <c r="I103" s="2">
        <v>6001</v>
      </c>
      <c r="J103" t="s">
        <v>30</v>
      </c>
      <c r="K103">
        <v>3</v>
      </c>
      <c r="L103">
        <v>3</v>
      </c>
      <c r="M103">
        <v>3</v>
      </c>
      <c r="N103">
        <v>3</v>
      </c>
      <c r="O103">
        <v>12</v>
      </c>
      <c r="P103" t="s">
        <v>23</v>
      </c>
    </row>
    <row r="104" spans="1:16" x14ac:dyDescent="0.25">
      <c r="A104">
        <v>328917</v>
      </c>
      <c r="B104" t="s">
        <v>258</v>
      </c>
      <c r="C104" t="s">
        <v>259</v>
      </c>
      <c r="D104" t="s">
        <v>18</v>
      </c>
      <c r="E104" s="1" t="s">
        <v>260</v>
      </c>
      <c r="F104" s="15" t="s">
        <v>259</v>
      </c>
      <c r="G104" t="s">
        <v>261</v>
      </c>
      <c r="H104" t="s">
        <v>22</v>
      </c>
      <c r="I104" s="2">
        <v>6001</v>
      </c>
      <c r="J104" t="s">
        <v>30</v>
      </c>
      <c r="K104">
        <v>20</v>
      </c>
      <c r="L104">
        <v>26</v>
      </c>
      <c r="M104">
        <v>20</v>
      </c>
      <c r="N104">
        <v>20</v>
      </c>
      <c r="O104">
        <v>86</v>
      </c>
      <c r="P104" t="s">
        <v>23</v>
      </c>
    </row>
    <row r="105" spans="1:16" s="9" customFormat="1" x14ac:dyDescent="0.25">
      <c r="A105" s="9">
        <v>333124</v>
      </c>
      <c r="B105" s="9" t="s">
        <v>994</v>
      </c>
      <c r="C105" s="9" t="s">
        <v>985</v>
      </c>
      <c r="D105" s="9" t="s">
        <v>986</v>
      </c>
      <c r="E105" s="10" t="s">
        <v>1004</v>
      </c>
      <c r="F105" s="9" t="s">
        <v>1024</v>
      </c>
      <c r="G105" s="9" t="s">
        <v>1025</v>
      </c>
      <c r="H105" s="9" t="s">
        <v>22</v>
      </c>
      <c r="I105" s="11">
        <v>6001</v>
      </c>
      <c r="J105" s="9" t="s">
        <v>30</v>
      </c>
      <c r="K105" s="9">
        <v>11</v>
      </c>
      <c r="L105" s="9">
        <v>110</v>
      </c>
      <c r="M105" s="9">
        <v>40</v>
      </c>
      <c r="N105" s="9">
        <v>0</v>
      </c>
      <c r="O105" s="9">
        <v>161</v>
      </c>
      <c r="P105" s="9" t="s">
        <v>93</v>
      </c>
    </row>
    <row r="106" spans="1:16" x14ac:dyDescent="0.25">
      <c r="A106">
        <v>333550</v>
      </c>
      <c r="B106" t="s">
        <v>1216</v>
      </c>
      <c r="C106" t="s">
        <v>1214</v>
      </c>
      <c r="D106" t="s">
        <v>1207</v>
      </c>
      <c r="E106" s="1" t="s">
        <v>1208</v>
      </c>
      <c r="F106" s="15" t="s">
        <v>1528</v>
      </c>
      <c r="G106" t="s">
        <v>1218</v>
      </c>
      <c r="H106" t="s">
        <v>22</v>
      </c>
      <c r="I106" s="2">
        <v>6001</v>
      </c>
      <c r="J106" t="s">
        <v>30</v>
      </c>
      <c r="K106">
        <v>136</v>
      </c>
      <c r="L106">
        <v>486</v>
      </c>
      <c r="M106">
        <v>415</v>
      </c>
      <c r="N106">
        <v>35</v>
      </c>
      <c r="O106">
        <v>1072</v>
      </c>
      <c r="P106" t="s">
        <v>23</v>
      </c>
    </row>
    <row r="107" spans="1:16" x14ac:dyDescent="0.25">
      <c r="A107">
        <v>333126</v>
      </c>
      <c r="B107" t="s">
        <v>1216</v>
      </c>
      <c r="C107" t="s">
        <v>1214</v>
      </c>
      <c r="D107" t="s">
        <v>1207</v>
      </c>
      <c r="E107" s="1" t="s">
        <v>1208</v>
      </c>
      <c r="F107" s="15" t="s">
        <v>1224</v>
      </c>
      <c r="G107" t="s">
        <v>1225</v>
      </c>
      <c r="H107" t="s">
        <v>22</v>
      </c>
      <c r="I107" s="2">
        <v>6001</v>
      </c>
      <c r="J107" t="s">
        <v>30</v>
      </c>
      <c r="K107">
        <v>109</v>
      </c>
      <c r="L107">
        <v>464</v>
      </c>
      <c r="M107">
        <v>384</v>
      </c>
      <c r="N107">
        <v>0</v>
      </c>
      <c r="O107">
        <v>957</v>
      </c>
      <c r="P107" t="s">
        <v>23</v>
      </c>
    </row>
    <row r="108" spans="1:16" x14ac:dyDescent="0.25">
      <c r="A108">
        <v>333128</v>
      </c>
      <c r="B108" t="s">
        <v>1219</v>
      </c>
      <c r="C108" t="s">
        <v>1214</v>
      </c>
      <c r="D108" t="s">
        <v>1207</v>
      </c>
      <c r="E108" s="1" t="s">
        <v>1208</v>
      </c>
      <c r="F108" s="15" t="s">
        <v>1220</v>
      </c>
      <c r="G108" t="s">
        <v>1221</v>
      </c>
      <c r="H108" t="s">
        <v>22</v>
      </c>
      <c r="I108" s="2">
        <v>6001</v>
      </c>
      <c r="J108" t="s">
        <v>30</v>
      </c>
      <c r="K108">
        <v>378</v>
      </c>
      <c r="L108">
        <v>521</v>
      </c>
      <c r="M108">
        <v>420</v>
      </c>
      <c r="N108">
        <v>215</v>
      </c>
      <c r="O108">
        <v>1534</v>
      </c>
      <c r="P108" t="s">
        <v>23</v>
      </c>
    </row>
    <row r="109" spans="1:16" x14ac:dyDescent="0.25">
      <c r="A109">
        <v>333129</v>
      </c>
      <c r="B109" t="s">
        <v>1222</v>
      </c>
      <c r="C109" t="s">
        <v>1214</v>
      </c>
      <c r="D109" t="s">
        <v>1207</v>
      </c>
      <c r="E109" s="1" t="s">
        <v>1208</v>
      </c>
      <c r="F109" s="15" t="s">
        <v>1220</v>
      </c>
      <c r="G109" t="s">
        <v>1223</v>
      </c>
      <c r="H109" t="s">
        <v>22</v>
      </c>
      <c r="I109" s="2">
        <v>6001</v>
      </c>
      <c r="J109" t="s">
        <v>30</v>
      </c>
      <c r="K109">
        <v>376</v>
      </c>
      <c r="L109">
        <v>539</v>
      </c>
      <c r="M109">
        <v>353</v>
      </c>
      <c r="N109">
        <v>179</v>
      </c>
      <c r="O109">
        <v>1447</v>
      </c>
      <c r="P109" t="s">
        <v>23</v>
      </c>
    </row>
    <row r="110" spans="1:16" x14ac:dyDescent="0.25">
      <c r="A110">
        <v>333132</v>
      </c>
      <c r="B110" t="s">
        <v>266</v>
      </c>
      <c r="C110" t="s">
        <v>267</v>
      </c>
      <c r="D110" t="s">
        <v>18</v>
      </c>
      <c r="E110" s="1" t="s">
        <v>268</v>
      </c>
      <c r="F110" s="15" t="s">
        <v>269</v>
      </c>
      <c r="G110" t="s">
        <v>270</v>
      </c>
      <c r="H110" t="s">
        <v>22</v>
      </c>
      <c r="I110" s="2">
        <v>6001</v>
      </c>
      <c r="J110" t="s">
        <v>30</v>
      </c>
      <c r="K110">
        <v>73</v>
      </c>
      <c r="L110">
        <v>311</v>
      </c>
      <c r="M110">
        <v>61</v>
      </c>
      <c r="N110">
        <v>0</v>
      </c>
      <c r="O110">
        <v>445</v>
      </c>
      <c r="P110" t="s">
        <v>23</v>
      </c>
    </row>
    <row r="111" spans="1:16" x14ac:dyDescent="0.25">
      <c r="A111">
        <v>333551</v>
      </c>
      <c r="B111" t="s">
        <v>266</v>
      </c>
      <c r="C111" t="s">
        <v>267</v>
      </c>
      <c r="D111" t="s">
        <v>18</v>
      </c>
      <c r="E111" s="1" t="s">
        <v>268</v>
      </c>
      <c r="F111" s="15" t="s">
        <v>271</v>
      </c>
      <c r="G111" t="s">
        <v>272</v>
      </c>
      <c r="H111" t="s">
        <v>22</v>
      </c>
      <c r="I111" s="2">
        <v>6001</v>
      </c>
      <c r="J111" t="s">
        <v>30</v>
      </c>
      <c r="K111">
        <v>132</v>
      </c>
      <c r="L111">
        <v>358</v>
      </c>
      <c r="M111">
        <v>132</v>
      </c>
      <c r="N111">
        <v>46</v>
      </c>
      <c r="O111">
        <v>668</v>
      </c>
      <c r="P111" t="s">
        <v>23</v>
      </c>
    </row>
    <row r="112" spans="1:16" x14ac:dyDescent="0.25">
      <c r="A112">
        <v>333134</v>
      </c>
      <c r="B112" t="s">
        <v>262</v>
      </c>
      <c r="C112" t="s">
        <v>263</v>
      </c>
      <c r="D112" t="s">
        <v>18</v>
      </c>
      <c r="E112" s="1" t="s">
        <v>264</v>
      </c>
      <c r="F112" s="15" t="s">
        <v>263</v>
      </c>
      <c r="G112" t="s">
        <v>265</v>
      </c>
      <c r="H112" t="s">
        <v>22</v>
      </c>
      <c r="I112" s="2">
        <v>6001</v>
      </c>
      <c r="J112" t="s">
        <v>30</v>
      </c>
      <c r="K112">
        <v>14</v>
      </c>
      <c r="L112">
        <v>131</v>
      </c>
      <c r="M112">
        <v>116</v>
      </c>
      <c r="N112">
        <v>17</v>
      </c>
      <c r="O112">
        <v>278</v>
      </c>
      <c r="P112" t="s">
        <v>23</v>
      </c>
    </row>
    <row r="113" spans="1:16" x14ac:dyDescent="0.25">
      <c r="A113">
        <v>332313</v>
      </c>
      <c r="B113" t="s">
        <v>1273</v>
      </c>
      <c r="C113" t="s">
        <v>1268</v>
      </c>
      <c r="D113" t="s">
        <v>1269</v>
      </c>
      <c r="E113" s="1">
        <v>6085</v>
      </c>
      <c r="F113" s="15" t="s">
        <v>1274</v>
      </c>
      <c r="G113" t="s">
        <v>1275</v>
      </c>
      <c r="H113" t="s">
        <v>22</v>
      </c>
      <c r="I113" s="2">
        <v>6001</v>
      </c>
      <c r="J113" t="s">
        <v>30</v>
      </c>
      <c r="K113">
        <v>0</v>
      </c>
      <c r="L113">
        <v>2</v>
      </c>
      <c r="M113">
        <v>0</v>
      </c>
      <c r="N113">
        <v>0</v>
      </c>
      <c r="O113">
        <v>2</v>
      </c>
      <c r="P113" t="s">
        <v>598</v>
      </c>
    </row>
    <row r="114" spans="1:16" x14ac:dyDescent="0.25">
      <c r="A114">
        <v>332310</v>
      </c>
      <c r="B114" t="s">
        <v>1267</v>
      </c>
      <c r="C114" t="s">
        <v>1268</v>
      </c>
      <c r="D114" t="s">
        <v>1269</v>
      </c>
      <c r="E114" s="1">
        <v>6085</v>
      </c>
      <c r="F114" s="15" t="s">
        <v>1276</v>
      </c>
      <c r="G114" t="s">
        <v>1277</v>
      </c>
      <c r="H114" t="s">
        <v>22</v>
      </c>
      <c r="I114" s="2">
        <v>6001</v>
      </c>
      <c r="J114" t="s">
        <v>30</v>
      </c>
      <c r="K114">
        <v>237</v>
      </c>
      <c r="L114">
        <v>209</v>
      </c>
      <c r="M114">
        <v>127</v>
      </c>
      <c r="N114">
        <v>127</v>
      </c>
      <c r="O114">
        <v>700</v>
      </c>
      <c r="P114" t="s">
        <v>1272</v>
      </c>
    </row>
    <row r="115" spans="1:16" x14ac:dyDescent="0.25">
      <c r="A115">
        <v>178535</v>
      </c>
      <c r="B115" t="s">
        <v>1452</v>
      </c>
      <c r="C115" t="s">
        <v>1445</v>
      </c>
      <c r="D115" t="s">
        <v>18</v>
      </c>
      <c r="E115" s="1" t="s">
        <v>35</v>
      </c>
      <c r="F115" s="15" t="s">
        <v>1463</v>
      </c>
      <c r="G115" t="s">
        <v>1464</v>
      </c>
      <c r="H115" t="s">
        <v>22</v>
      </c>
      <c r="I115" s="2">
        <v>6001</v>
      </c>
      <c r="J115" t="s">
        <v>1447</v>
      </c>
      <c r="K115">
        <v>3</v>
      </c>
      <c r="L115">
        <v>14</v>
      </c>
      <c r="M115">
        <v>3</v>
      </c>
      <c r="N115">
        <v>2</v>
      </c>
      <c r="O115">
        <v>22</v>
      </c>
      <c r="P115" t="s">
        <v>637</v>
      </c>
    </row>
    <row r="116" spans="1:16" x14ac:dyDescent="0.25">
      <c r="A116">
        <v>178536</v>
      </c>
      <c r="B116" t="s">
        <v>1458</v>
      </c>
      <c r="C116" t="s">
        <v>1459</v>
      </c>
      <c r="D116" t="s">
        <v>18</v>
      </c>
      <c r="E116" s="1" t="s">
        <v>1460</v>
      </c>
      <c r="F116" s="15" t="s">
        <v>1461</v>
      </c>
      <c r="G116" t="s">
        <v>1462</v>
      </c>
      <c r="H116" t="s">
        <v>22</v>
      </c>
      <c r="I116" s="2">
        <v>6001</v>
      </c>
      <c r="J116" t="s">
        <v>1447</v>
      </c>
      <c r="K116">
        <v>2</v>
      </c>
      <c r="L116">
        <v>1</v>
      </c>
      <c r="M116">
        <v>1</v>
      </c>
      <c r="N116">
        <v>2</v>
      </c>
      <c r="O116">
        <v>6</v>
      </c>
      <c r="P116" t="s">
        <v>637</v>
      </c>
    </row>
    <row r="117" spans="1:16" x14ac:dyDescent="0.25">
      <c r="A117">
        <v>329392</v>
      </c>
      <c r="B117" t="s">
        <v>968</v>
      </c>
      <c r="C117" t="s">
        <v>975</v>
      </c>
      <c r="D117" t="s">
        <v>970</v>
      </c>
      <c r="E117" s="1" t="s">
        <v>971</v>
      </c>
      <c r="F117" s="15" t="s">
        <v>976</v>
      </c>
      <c r="G117" t="s">
        <v>977</v>
      </c>
      <c r="H117" t="s">
        <v>22</v>
      </c>
      <c r="I117" s="2">
        <v>6001</v>
      </c>
      <c r="J117" t="s">
        <v>30</v>
      </c>
      <c r="K117">
        <v>17</v>
      </c>
      <c r="L117">
        <v>11</v>
      </c>
      <c r="M117">
        <v>11</v>
      </c>
      <c r="N117">
        <v>11</v>
      </c>
      <c r="O117">
        <v>50</v>
      </c>
      <c r="P117" t="s">
        <v>23</v>
      </c>
    </row>
    <row r="118" spans="1:16" x14ac:dyDescent="0.25">
      <c r="A118">
        <v>329391</v>
      </c>
      <c r="B118" t="s">
        <v>968</v>
      </c>
      <c r="C118" t="s">
        <v>969</v>
      </c>
      <c r="D118" t="s">
        <v>970</v>
      </c>
      <c r="E118" s="1" t="s">
        <v>971</v>
      </c>
      <c r="F118" s="15" t="s">
        <v>972</v>
      </c>
      <c r="G118" t="s">
        <v>973</v>
      </c>
      <c r="H118" t="s">
        <v>22</v>
      </c>
      <c r="I118" s="2">
        <v>6001</v>
      </c>
      <c r="J118" t="s">
        <v>30</v>
      </c>
      <c r="K118">
        <v>1</v>
      </c>
      <c r="L118">
        <v>103</v>
      </c>
      <c r="M118">
        <v>9</v>
      </c>
      <c r="N118">
        <v>0</v>
      </c>
      <c r="O118">
        <v>113</v>
      </c>
      <c r="P118" t="s">
        <v>974</v>
      </c>
    </row>
    <row r="119" spans="1:16" s="9" customFormat="1" x14ac:dyDescent="0.25">
      <c r="A119" s="9">
        <v>178535</v>
      </c>
      <c r="B119" s="9" t="s">
        <v>1452</v>
      </c>
      <c r="C119" s="9" t="s">
        <v>1445</v>
      </c>
      <c r="D119" s="9" t="s">
        <v>18</v>
      </c>
      <c r="E119" s="10" t="s">
        <v>35</v>
      </c>
      <c r="F119" s="9" t="s">
        <v>1463</v>
      </c>
      <c r="G119" s="9" t="s">
        <v>1464</v>
      </c>
      <c r="H119" s="9" t="s">
        <v>22</v>
      </c>
      <c r="I119" s="11">
        <v>6001</v>
      </c>
      <c r="J119" s="9" t="s">
        <v>1447</v>
      </c>
      <c r="K119" s="9">
        <v>3</v>
      </c>
      <c r="L119" s="9">
        <v>14</v>
      </c>
      <c r="M119" s="9">
        <v>3</v>
      </c>
      <c r="N119" s="9">
        <v>2</v>
      </c>
      <c r="O119" s="9">
        <v>22</v>
      </c>
      <c r="P119" s="9" t="s">
        <v>637</v>
      </c>
    </row>
    <row r="120" spans="1:16" s="3" customFormat="1" x14ac:dyDescent="0.25">
      <c r="A120" s="3">
        <v>333069</v>
      </c>
      <c r="B120" s="3" t="s">
        <v>770</v>
      </c>
      <c r="C120" s="3" t="s">
        <v>771</v>
      </c>
      <c r="D120" s="3" t="s">
        <v>772</v>
      </c>
      <c r="E120" s="4">
        <v>2110</v>
      </c>
      <c r="F120" s="3" t="s">
        <v>773</v>
      </c>
      <c r="G120" s="3" t="s">
        <v>774</v>
      </c>
      <c r="H120" s="3" t="s">
        <v>22</v>
      </c>
      <c r="I120" s="5">
        <v>6001</v>
      </c>
      <c r="J120" s="3" t="s">
        <v>30</v>
      </c>
      <c r="K120" s="3">
        <v>4</v>
      </c>
      <c r="L120" s="3">
        <v>6</v>
      </c>
      <c r="M120" s="3">
        <v>5</v>
      </c>
      <c r="N120" s="3">
        <v>4</v>
      </c>
      <c r="O120" s="3">
        <v>19</v>
      </c>
      <c r="P120" s="3" t="s">
        <v>23</v>
      </c>
    </row>
    <row r="121" spans="1:16" x14ac:dyDescent="0.25">
      <c r="A121">
        <v>371724</v>
      </c>
      <c r="B121" t="s">
        <v>1003</v>
      </c>
      <c r="C121" t="s">
        <v>985</v>
      </c>
      <c r="D121" t="s">
        <v>986</v>
      </c>
      <c r="E121" s="1" t="s">
        <v>1004</v>
      </c>
      <c r="F121" s="15" t="s">
        <v>1026</v>
      </c>
      <c r="G121" t="s">
        <v>1027</v>
      </c>
      <c r="H121" t="s">
        <v>22</v>
      </c>
      <c r="I121" s="2">
        <v>6001</v>
      </c>
      <c r="J121" t="s">
        <v>30</v>
      </c>
      <c r="K121">
        <v>52</v>
      </c>
      <c r="L121">
        <v>1359</v>
      </c>
      <c r="M121">
        <v>771</v>
      </c>
      <c r="N121">
        <v>0</v>
      </c>
      <c r="O121">
        <v>2182</v>
      </c>
      <c r="P121" t="s">
        <v>23</v>
      </c>
    </row>
    <row r="122" spans="1:16" x14ac:dyDescent="0.25">
      <c r="A122">
        <v>371725</v>
      </c>
      <c r="B122" t="s">
        <v>1003</v>
      </c>
      <c r="C122" t="s">
        <v>985</v>
      </c>
      <c r="D122" t="s">
        <v>986</v>
      </c>
      <c r="E122" s="1" t="s">
        <v>1004</v>
      </c>
      <c r="F122" s="15" t="s">
        <v>1026</v>
      </c>
      <c r="G122" t="s">
        <v>1028</v>
      </c>
      <c r="H122" t="s">
        <v>22</v>
      </c>
      <c r="I122" s="2">
        <v>6001</v>
      </c>
      <c r="J122" t="s">
        <v>30</v>
      </c>
      <c r="K122">
        <v>0</v>
      </c>
      <c r="L122">
        <v>0</v>
      </c>
      <c r="M122">
        <v>1</v>
      </c>
      <c r="N122">
        <v>0</v>
      </c>
      <c r="O122">
        <v>1</v>
      </c>
      <c r="P122" t="s">
        <v>23</v>
      </c>
    </row>
    <row r="123" spans="1:16" x14ac:dyDescent="0.25">
      <c r="A123">
        <v>371723</v>
      </c>
      <c r="B123" t="s">
        <v>1003</v>
      </c>
      <c r="C123" t="s">
        <v>985</v>
      </c>
      <c r="D123" t="s">
        <v>986</v>
      </c>
      <c r="E123" s="1" t="s">
        <v>1004</v>
      </c>
      <c r="F123" s="15" t="s">
        <v>1029</v>
      </c>
      <c r="G123" t="s">
        <v>1030</v>
      </c>
      <c r="H123" t="s">
        <v>22</v>
      </c>
      <c r="I123" s="2">
        <v>6001</v>
      </c>
      <c r="J123" t="s">
        <v>30</v>
      </c>
      <c r="K123">
        <v>1</v>
      </c>
      <c r="L123">
        <v>1</v>
      </c>
      <c r="M123">
        <v>0</v>
      </c>
      <c r="N123">
        <v>0</v>
      </c>
      <c r="O123">
        <v>2</v>
      </c>
      <c r="P123" t="s">
        <v>23</v>
      </c>
    </row>
    <row r="124" spans="1:16" x14ac:dyDescent="0.25">
      <c r="A124">
        <v>328743</v>
      </c>
      <c r="B124" t="s">
        <v>276</v>
      </c>
      <c r="C124" t="s">
        <v>222</v>
      </c>
      <c r="D124" t="s">
        <v>18</v>
      </c>
      <c r="E124" s="1" t="s">
        <v>223</v>
      </c>
      <c r="F124" s="15" t="s">
        <v>277</v>
      </c>
      <c r="G124" t="s">
        <v>278</v>
      </c>
      <c r="H124" t="s">
        <v>22</v>
      </c>
      <c r="I124" s="2">
        <v>6001</v>
      </c>
      <c r="J124" t="s">
        <v>30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23</v>
      </c>
    </row>
    <row r="125" spans="1:16" x14ac:dyDescent="0.25">
      <c r="A125">
        <v>333022</v>
      </c>
      <c r="B125" t="s">
        <v>279</v>
      </c>
      <c r="C125" t="s">
        <v>222</v>
      </c>
      <c r="D125" t="s">
        <v>18</v>
      </c>
      <c r="E125" s="1" t="s">
        <v>223</v>
      </c>
      <c r="F125" s="15" t="s">
        <v>280</v>
      </c>
      <c r="G125" t="s">
        <v>281</v>
      </c>
      <c r="H125" t="s">
        <v>22</v>
      </c>
      <c r="I125" s="2">
        <v>6001</v>
      </c>
      <c r="J125" t="s">
        <v>30</v>
      </c>
      <c r="K125">
        <v>92</v>
      </c>
      <c r="L125">
        <v>225</v>
      </c>
      <c r="M125">
        <v>321</v>
      </c>
      <c r="N125">
        <v>192</v>
      </c>
      <c r="O125">
        <v>830</v>
      </c>
      <c r="P125" t="s">
        <v>23</v>
      </c>
    </row>
    <row r="126" spans="1:16" x14ac:dyDescent="0.25">
      <c r="A126">
        <v>328745</v>
      </c>
      <c r="B126" t="s">
        <v>282</v>
      </c>
      <c r="C126" t="s">
        <v>283</v>
      </c>
      <c r="D126" t="s">
        <v>18</v>
      </c>
      <c r="E126" s="1">
        <v>6001</v>
      </c>
      <c r="F126" s="15" t="s">
        <v>284</v>
      </c>
      <c r="G126" t="s">
        <v>285</v>
      </c>
      <c r="H126" t="s">
        <v>22</v>
      </c>
      <c r="I126" s="2">
        <v>6001</v>
      </c>
      <c r="J126" t="s">
        <v>30</v>
      </c>
      <c r="K126">
        <v>223</v>
      </c>
      <c r="L126">
        <v>0</v>
      </c>
      <c r="M126">
        <v>0</v>
      </c>
      <c r="N126">
        <v>6</v>
      </c>
      <c r="O126">
        <v>229</v>
      </c>
      <c r="P126" t="s">
        <v>23</v>
      </c>
    </row>
    <row r="127" spans="1:16" x14ac:dyDescent="0.25">
      <c r="A127">
        <v>333024</v>
      </c>
      <c r="B127" t="s">
        <v>286</v>
      </c>
      <c r="C127" t="s">
        <v>222</v>
      </c>
      <c r="D127" t="s">
        <v>18</v>
      </c>
      <c r="E127" s="1" t="s">
        <v>223</v>
      </c>
      <c r="F127" s="15" t="s">
        <v>287</v>
      </c>
      <c r="G127" t="s">
        <v>288</v>
      </c>
      <c r="H127" t="s">
        <v>22</v>
      </c>
      <c r="I127" s="2">
        <v>6001</v>
      </c>
      <c r="J127" t="s">
        <v>30</v>
      </c>
      <c r="K127">
        <v>31</v>
      </c>
      <c r="L127">
        <v>303</v>
      </c>
      <c r="M127">
        <v>115</v>
      </c>
      <c r="N127">
        <v>0</v>
      </c>
      <c r="O127">
        <v>449</v>
      </c>
      <c r="P127" t="s">
        <v>23</v>
      </c>
    </row>
    <row r="128" spans="1:16" x14ac:dyDescent="0.25">
      <c r="A128">
        <v>333027</v>
      </c>
      <c r="B128" t="s">
        <v>289</v>
      </c>
      <c r="C128" t="s">
        <v>222</v>
      </c>
      <c r="D128" t="s">
        <v>18</v>
      </c>
      <c r="E128" s="1" t="s">
        <v>223</v>
      </c>
      <c r="F128" s="15" t="s">
        <v>290</v>
      </c>
      <c r="G128" t="s">
        <v>291</v>
      </c>
      <c r="H128" t="s">
        <v>22</v>
      </c>
      <c r="I128" s="2">
        <v>6001</v>
      </c>
      <c r="J128" t="s">
        <v>30</v>
      </c>
      <c r="K128">
        <v>86</v>
      </c>
      <c r="L128">
        <v>825</v>
      </c>
      <c r="M128">
        <v>83</v>
      </c>
      <c r="N128">
        <v>0</v>
      </c>
      <c r="O128">
        <v>994</v>
      </c>
      <c r="P128" t="s">
        <v>23</v>
      </c>
    </row>
    <row r="129" spans="1:16" x14ac:dyDescent="0.25">
      <c r="A129">
        <v>333555</v>
      </c>
      <c r="B129" t="s">
        <v>292</v>
      </c>
      <c r="C129" t="s">
        <v>222</v>
      </c>
      <c r="D129" t="s">
        <v>18</v>
      </c>
      <c r="E129" s="1" t="s">
        <v>223</v>
      </c>
      <c r="F129" s="15" t="s">
        <v>293</v>
      </c>
      <c r="G129" t="s">
        <v>294</v>
      </c>
      <c r="H129" t="s">
        <v>22</v>
      </c>
      <c r="I129" s="2">
        <v>6001</v>
      </c>
      <c r="J129" t="s">
        <v>30</v>
      </c>
      <c r="K129">
        <v>38</v>
      </c>
      <c r="L129">
        <v>310</v>
      </c>
      <c r="M129">
        <v>119</v>
      </c>
      <c r="N129">
        <v>12</v>
      </c>
      <c r="O129">
        <v>479</v>
      </c>
      <c r="P129" t="s">
        <v>23</v>
      </c>
    </row>
    <row r="130" spans="1:16" x14ac:dyDescent="0.25">
      <c r="A130">
        <v>333690</v>
      </c>
      <c r="B130" t="s">
        <v>295</v>
      </c>
      <c r="C130" t="s">
        <v>222</v>
      </c>
      <c r="D130" t="s">
        <v>18</v>
      </c>
      <c r="E130" s="1" t="s">
        <v>223</v>
      </c>
      <c r="F130" s="15" t="s">
        <v>296</v>
      </c>
      <c r="G130" t="s">
        <v>297</v>
      </c>
      <c r="H130" t="s">
        <v>22</v>
      </c>
      <c r="I130" s="2">
        <v>6001</v>
      </c>
      <c r="J130" t="s">
        <v>30</v>
      </c>
      <c r="K130">
        <v>88</v>
      </c>
      <c r="L130">
        <v>827</v>
      </c>
      <c r="M130">
        <v>85</v>
      </c>
      <c r="N130">
        <v>4</v>
      </c>
      <c r="O130">
        <v>1004</v>
      </c>
      <c r="P130" t="s">
        <v>23</v>
      </c>
    </row>
    <row r="131" spans="1:16" x14ac:dyDescent="0.25">
      <c r="A131">
        <v>333623</v>
      </c>
      <c r="B131" t="s">
        <v>298</v>
      </c>
      <c r="C131" t="s">
        <v>222</v>
      </c>
      <c r="D131" t="s">
        <v>18</v>
      </c>
      <c r="E131" s="1" t="s">
        <v>223</v>
      </c>
      <c r="F131" s="15" t="s">
        <v>299</v>
      </c>
      <c r="G131" t="s">
        <v>300</v>
      </c>
      <c r="H131" t="s">
        <v>22</v>
      </c>
      <c r="I131" s="2">
        <v>6001</v>
      </c>
      <c r="J131" t="s">
        <v>30</v>
      </c>
      <c r="K131">
        <v>365</v>
      </c>
      <c r="L131">
        <v>0</v>
      </c>
      <c r="M131">
        <v>0</v>
      </c>
      <c r="N131">
        <v>11</v>
      </c>
      <c r="O131">
        <v>376</v>
      </c>
      <c r="P131" t="s">
        <v>23</v>
      </c>
    </row>
    <row r="132" spans="1:16" x14ac:dyDescent="0.25">
      <c r="A132">
        <v>328809</v>
      </c>
      <c r="B132" t="s">
        <v>1424</v>
      </c>
      <c r="C132" t="s">
        <v>1425</v>
      </c>
      <c r="D132" t="s">
        <v>1426</v>
      </c>
      <c r="E132" s="1">
        <v>45206</v>
      </c>
      <c r="F132" s="15" t="s">
        <v>1427</v>
      </c>
      <c r="G132" t="s">
        <v>1428</v>
      </c>
      <c r="H132" t="s">
        <v>22</v>
      </c>
      <c r="I132" s="2">
        <v>6001</v>
      </c>
      <c r="J132" t="s">
        <v>1405</v>
      </c>
      <c r="K132">
        <v>48</v>
      </c>
      <c r="L132">
        <v>32</v>
      </c>
      <c r="M132">
        <v>32</v>
      </c>
      <c r="N132">
        <v>44</v>
      </c>
      <c r="O132">
        <v>156</v>
      </c>
      <c r="P132" t="s">
        <v>23</v>
      </c>
    </row>
    <row r="133" spans="1:16" x14ac:dyDescent="0.25">
      <c r="A133">
        <v>333070</v>
      </c>
      <c r="B133" t="s">
        <v>1429</v>
      </c>
      <c r="C133" t="s">
        <v>1430</v>
      </c>
      <c r="D133" t="s">
        <v>1431</v>
      </c>
      <c r="E133" s="1">
        <v>45206</v>
      </c>
      <c r="F133" s="15" t="s">
        <v>1432</v>
      </c>
      <c r="G133" t="s">
        <v>1433</v>
      </c>
      <c r="H133" t="s">
        <v>22</v>
      </c>
      <c r="I133" s="2">
        <v>6001</v>
      </c>
      <c r="J133" t="s">
        <v>1405</v>
      </c>
      <c r="K133">
        <v>265</v>
      </c>
      <c r="L133">
        <v>136</v>
      </c>
      <c r="M133">
        <v>176</v>
      </c>
      <c r="N133">
        <v>239</v>
      </c>
      <c r="O133">
        <v>816</v>
      </c>
      <c r="P133" t="s">
        <v>23</v>
      </c>
    </row>
    <row r="134" spans="1:16" x14ac:dyDescent="0.25">
      <c r="A134">
        <v>328810</v>
      </c>
      <c r="B134" t="s">
        <v>312</v>
      </c>
      <c r="C134" t="s">
        <v>313</v>
      </c>
      <c r="D134" t="s">
        <v>18</v>
      </c>
      <c r="E134" s="1" t="s">
        <v>310</v>
      </c>
      <c r="F134" s="15" t="s">
        <v>313</v>
      </c>
      <c r="G134" t="s">
        <v>314</v>
      </c>
      <c r="H134" t="s">
        <v>22</v>
      </c>
      <c r="I134" s="2">
        <v>6001</v>
      </c>
      <c r="J134" t="s">
        <v>30</v>
      </c>
      <c r="K134">
        <v>1</v>
      </c>
      <c r="L134">
        <v>1</v>
      </c>
      <c r="M134">
        <v>2</v>
      </c>
      <c r="N134">
        <v>1</v>
      </c>
      <c r="O134">
        <v>5</v>
      </c>
      <c r="P134" t="s">
        <v>23</v>
      </c>
    </row>
    <row r="135" spans="1:16" x14ac:dyDescent="0.25">
      <c r="A135">
        <v>367051</v>
      </c>
      <c r="B135" t="s">
        <v>335</v>
      </c>
      <c r="C135" t="s">
        <v>336</v>
      </c>
      <c r="D135" t="s">
        <v>18</v>
      </c>
      <c r="E135" s="1">
        <v>6001</v>
      </c>
      <c r="F135" s="15" t="s">
        <v>336</v>
      </c>
      <c r="G135" t="s">
        <v>337</v>
      </c>
      <c r="H135" t="s">
        <v>22</v>
      </c>
      <c r="I135" s="2">
        <v>6001</v>
      </c>
      <c r="J135" t="s">
        <v>30</v>
      </c>
      <c r="K135">
        <v>47</v>
      </c>
      <c r="L135">
        <v>60</v>
      </c>
      <c r="M135">
        <v>49</v>
      </c>
      <c r="N135">
        <v>38</v>
      </c>
      <c r="O135">
        <v>194</v>
      </c>
      <c r="P135" t="s">
        <v>23</v>
      </c>
    </row>
    <row r="136" spans="1:16" x14ac:dyDescent="0.25">
      <c r="A136">
        <v>365583</v>
      </c>
      <c r="B136" t="s">
        <v>903</v>
      </c>
      <c r="C136" t="s">
        <v>904</v>
      </c>
      <c r="D136" t="s">
        <v>887</v>
      </c>
      <c r="E136" s="1">
        <v>6032</v>
      </c>
      <c r="F136" s="15" t="s">
        <v>331</v>
      </c>
      <c r="G136" t="s">
        <v>332</v>
      </c>
      <c r="H136" t="s">
        <v>22</v>
      </c>
      <c r="I136" s="2">
        <v>6001</v>
      </c>
      <c r="J136" t="s">
        <v>30</v>
      </c>
      <c r="K136">
        <v>0</v>
      </c>
      <c r="L136">
        <v>0</v>
      </c>
      <c r="M136">
        <v>6</v>
      </c>
      <c r="N136">
        <v>9</v>
      </c>
      <c r="O136">
        <v>15</v>
      </c>
      <c r="P136" t="s">
        <v>905</v>
      </c>
    </row>
    <row r="137" spans="1:16" x14ac:dyDescent="0.25">
      <c r="A137">
        <v>361953</v>
      </c>
      <c r="B137" t="s">
        <v>328</v>
      </c>
      <c r="C137" t="s">
        <v>329</v>
      </c>
      <c r="D137" t="s">
        <v>18</v>
      </c>
      <c r="E137" s="1" t="s">
        <v>330</v>
      </c>
      <c r="F137" s="15" t="s">
        <v>331</v>
      </c>
      <c r="G137" t="s">
        <v>332</v>
      </c>
      <c r="H137" t="s">
        <v>22</v>
      </c>
      <c r="I137" s="2">
        <v>6001</v>
      </c>
      <c r="J137" t="s">
        <v>30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23</v>
      </c>
    </row>
    <row r="138" spans="1:16" x14ac:dyDescent="0.25">
      <c r="A138">
        <v>361958</v>
      </c>
      <c r="B138" t="s">
        <v>328</v>
      </c>
      <c r="C138" t="s">
        <v>329</v>
      </c>
      <c r="D138" t="s">
        <v>18</v>
      </c>
      <c r="E138" s="1" t="s">
        <v>330</v>
      </c>
      <c r="F138" s="15" t="s">
        <v>333</v>
      </c>
      <c r="G138" t="s">
        <v>334</v>
      </c>
      <c r="H138" t="s">
        <v>22</v>
      </c>
      <c r="I138" s="2">
        <v>6001</v>
      </c>
      <c r="J138" t="s">
        <v>30</v>
      </c>
      <c r="K138">
        <v>3</v>
      </c>
      <c r="L138">
        <v>2</v>
      </c>
      <c r="M138">
        <v>2</v>
      </c>
      <c r="N138">
        <v>2</v>
      </c>
      <c r="O138">
        <v>9</v>
      </c>
      <c r="P138" t="s">
        <v>23</v>
      </c>
    </row>
    <row r="139" spans="1:16" x14ac:dyDescent="0.25">
      <c r="A139">
        <v>333342</v>
      </c>
      <c r="B139" t="s">
        <v>1465</v>
      </c>
      <c r="C139" t="s">
        <v>1466</v>
      </c>
      <c r="D139" t="s">
        <v>18</v>
      </c>
      <c r="E139" s="1" t="s">
        <v>1467</v>
      </c>
      <c r="F139" s="15" t="s">
        <v>1468</v>
      </c>
      <c r="G139" t="s">
        <v>1469</v>
      </c>
      <c r="H139" t="s">
        <v>22</v>
      </c>
      <c r="I139" s="2">
        <v>6001</v>
      </c>
      <c r="J139" t="s">
        <v>1447</v>
      </c>
      <c r="K139">
        <v>177</v>
      </c>
      <c r="L139">
        <v>76</v>
      </c>
      <c r="M139">
        <v>132</v>
      </c>
      <c r="N139">
        <v>122</v>
      </c>
      <c r="O139">
        <v>507</v>
      </c>
      <c r="P139" t="s">
        <v>23</v>
      </c>
    </row>
    <row r="140" spans="1:16" x14ac:dyDescent="0.25">
      <c r="A140">
        <v>333343</v>
      </c>
      <c r="B140" t="s">
        <v>1465</v>
      </c>
      <c r="C140" t="s">
        <v>1466</v>
      </c>
      <c r="D140" t="s">
        <v>18</v>
      </c>
      <c r="E140" s="1" t="s">
        <v>1467</v>
      </c>
      <c r="F140" s="15" t="s">
        <v>1468</v>
      </c>
      <c r="G140" t="s">
        <v>1470</v>
      </c>
      <c r="H140" t="s">
        <v>22</v>
      </c>
      <c r="I140" s="2">
        <v>6001</v>
      </c>
      <c r="J140" t="s">
        <v>1447</v>
      </c>
      <c r="K140">
        <v>236</v>
      </c>
      <c r="L140">
        <v>192</v>
      </c>
      <c r="M140">
        <v>48</v>
      </c>
      <c r="N140">
        <v>0</v>
      </c>
      <c r="O140">
        <v>476</v>
      </c>
      <c r="P140" t="s">
        <v>1471</v>
      </c>
    </row>
    <row r="141" spans="1:16" x14ac:dyDescent="0.25">
      <c r="A141">
        <v>328839</v>
      </c>
      <c r="B141" t="s">
        <v>338</v>
      </c>
      <c r="C141" t="s">
        <v>339</v>
      </c>
      <c r="D141" t="s">
        <v>18</v>
      </c>
      <c r="E141" s="1" t="s">
        <v>340</v>
      </c>
      <c r="F141" s="15" t="s">
        <v>339</v>
      </c>
      <c r="G141" t="s">
        <v>341</v>
      </c>
      <c r="H141" t="s">
        <v>22</v>
      </c>
      <c r="I141" s="2">
        <v>6001</v>
      </c>
      <c r="J141" t="s">
        <v>30</v>
      </c>
      <c r="K141">
        <v>18</v>
      </c>
      <c r="L141">
        <v>19</v>
      </c>
      <c r="M141">
        <v>18</v>
      </c>
      <c r="N141">
        <v>15</v>
      </c>
      <c r="O141">
        <v>70</v>
      </c>
      <c r="P141" t="s">
        <v>23</v>
      </c>
    </row>
    <row r="142" spans="1:16" x14ac:dyDescent="0.25">
      <c r="A142">
        <v>333158</v>
      </c>
      <c r="B142" t="s">
        <v>1417</v>
      </c>
      <c r="C142" t="s">
        <v>1418</v>
      </c>
      <c r="D142" t="s">
        <v>18</v>
      </c>
      <c r="E142" s="1" t="s">
        <v>1419</v>
      </c>
      <c r="F142" s="15" t="s">
        <v>1420</v>
      </c>
      <c r="G142" t="s">
        <v>1421</v>
      </c>
      <c r="H142" t="s">
        <v>22</v>
      </c>
      <c r="I142" s="2">
        <v>6001</v>
      </c>
      <c r="J142" t="s">
        <v>1405</v>
      </c>
      <c r="K142">
        <v>12</v>
      </c>
      <c r="L142">
        <v>158</v>
      </c>
      <c r="M142">
        <v>110</v>
      </c>
      <c r="N142">
        <v>0</v>
      </c>
      <c r="O142">
        <v>280</v>
      </c>
      <c r="P142" t="s">
        <v>23</v>
      </c>
    </row>
    <row r="143" spans="1:16" x14ac:dyDescent="0.25">
      <c r="A143">
        <v>333552</v>
      </c>
      <c r="B143" t="s">
        <v>1417</v>
      </c>
      <c r="C143" t="s">
        <v>1418</v>
      </c>
      <c r="D143" t="s">
        <v>18</v>
      </c>
      <c r="E143" s="1" t="s">
        <v>1419</v>
      </c>
      <c r="F143" s="15" t="s">
        <v>1422</v>
      </c>
      <c r="G143" t="s">
        <v>1423</v>
      </c>
      <c r="H143" t="s">
        <v>22</v>
      </c>
      <c r="I143" s="2">
        <v>6001</v>
      </c>
      <c r="J143" t="s">
        <v>1405</v>
      </c>
      <c r="K143">
        <v>106</v>
      </c>
      <c r="L143">
        <v>263</v>
      </c>
      <c r="M143">
        <v>212</v>
      </c>
      <c r="N143">
        <v>74</v>
      </c>
      <c r="O143">
        <v>655</v>
      </c>
      <c r="P143" t="s">
        <v>23</v>
      </c>
    </row>
    <row r="144" spans="1:16" x14ac:dyDescent="0.25">
      <c r="A144">
        <v>371546</v>
      </c>
      <c r="B144" t="s">
        <v>1434</v>
      </c>
      <c r="C144" t="s">
        <v>1435</v>
      </c>
      <c r="D144" t="s">
        <v>1436</v>
      </c>
      <c r="E144" s="1">
        <v>50309</v>
      </c>
      <c r="F144" s="15" t="s">
        <v>1437</v>
      </c>
      <c r="G144" t="s">
        <v>1438</v>
      </c>
      <c r="H144" t="s">
        <v>22</v>
      </c>
      <c r="I144" s="2">
        <v>6001</v>
      </c>
      <c r="J144" t="s">
        <v>1405</v>
      </c>
      <c r="K144">
        <v>0</v>
      </c>
      <c r="L144">
        <v>1</v>
      </c>
      <c r="M144">
        <v>131</v>
      </c>
      <c r="N144">
        <v>125</v>
      </c>
      <c r="O144">
        <v>257</v>
      </c>
      <c r="P144" t="s">
        <v>1439</v>
      </c>
    </row>
    <row r="145" spans="1:16" x14ac:dyDescent="0.25">
      <c r="A145">
        <v>341332</v>
      </c>
      <c r="B145" t="s">
        <v>1440</v>
      </c>
      <c r="C145" t="s">
        <v>1441</v>
      </c>
      <c r="D145" t="s">
        <v>1442</v>
      </c>
      <c r="E145" s="1">
        <v>90720</v>
      </c>
      <c r="F145" s="15" t="s">
        <v>1437</v>
      </c>
      <c r="G145" t="s">
        <v>1438</v>
      </c>
      <c r="H145" t="s">
        <v>22</v>
      </c>
      <c r="I145" s="2">
        <v>6001</v>
      </c>
      <c r="J145" t="s">
        <v>1405</v>
      </c>
      <c r="K145">
        <v>0</v>
      </c>
      <c r="L145">
        <v>0</v>
      </c>
      <c r="M145">
        <v>0</v>
      </c>
      <c r="N145">
        <v>62</v>
      </c>
      <c r="O145">
        <v>62</v>
      </c>
      <c r="P145" t="s">
        <v>1443</v>
      </c>
    </row>
    <row r="146" spans="1:16" x14ac:dyDescent="0.25">
      <c r="A146">
        <v>333153</v>
      </c>
      <c r="B146" t="s">
        <v>944</v>
      </c>
      <c r="C146" t="s">
        <v>945</v>
      </c>
      <c r="D146" t="s">
        <v>946</v>
      </c>
      <c r="E146" s="1" t="s">
        <v>947</v>
      </c>
      <c r="F146" s="15" t="s">
        <v>948</v>
      </c>
      <c r="G146" t="s">
        <v>949</v>
      </c>
      <c r="H146" t="s">
        <v>22</v>
      </c>
      <c r="I146" s="2">
        <v>6001</v>
      </c>
      <c r="J146" t="s">
        <v>30</v>
      </c>
      <c r="K146">
        <v>115</v>
      </c>
      <c r="L146">
        <v>48</v>
      </c>
      <c r="M146">
        <v>96</v>
      </c>
      <c r="N146">
        <v>53</v>
      </c>
      <c r="O146">
        <v>312</v>
      </c>
      <c r="P146" t="s">
        <v>23</v>
      </c>
    </row>
    <row r="147" spans="1:16" x14ac:dyDescent="0.25">
      <c r="A147">
        <v>333154</v>
      </c>
      <c r="B147" t="s">
        <v>944</v>
      </c>
      <c r="C147" t="s">
        <v>945</v>
      </c>
      <c r="D147" t="s">
        <v>946</v>
      </c>
      <c r="E147" s="1" t="s">
        <v>947</v>
      </c>
      <c r="F147" s="15" t="s">
        <v>948</v>
      </c>
      <c r="G147" t="s">
        <v>950</v>
      </c>
      <c r="H147" t="s">
        <v>22</v>
      </c>
      <c r="I147" s="2">
        <v>6001</v>
      </c>
      <c r="J147" t="s">
        <v>30</v>
      </c>
      <c r="K147">
        <v>111</v>
      </c>
      <c r="L147">
        <v>52</v>
      </c>
      <c r="M147">
        <v>85</v>
      </c>
      <c r="N147">
        <v>60</v>
      </c>
      <c r="O147">
        <v>308</v>
      </c>
      <c r="P147" t="s">
        <v>23</v>
      </c>
    </row>
    <row r="148" spans="1:16" x14ac:dyDescent="0.25">
      <c r="A148">
        <v>333160</v>
      </c>
      <c r="B148" t="s">
        <v>363</v>
      </c>
      <c r="C148" t="s">
        <v>364</v>
      </c>
      <c r="D148" t="s">
        <v>18</v>
      </c>
      <c r="E148" s="1" t="s">
        <v>365</v>
      </c>
      <c r="F148" s="15" t="s">
        <v>366</v>
      </c>
      <c r="G148" t="s">
        <v>367</v>
      </c>
      <c r="H148" t="s">
        <v>22</v>
      </c>
      <c r="I148" s="2">
        <v>6001</v>
      </c>
      <c r="J148" t="s">
        <v>30</v>
      </c>
      <c r="K148">
        <v>15</v>
      </c>
      <c r="L148">
        <v>154</v>
      </c>
      <c r="M148">
        <v>73</v>
      </c>
      <c r="N148">
        <v>0</v>
      </c>
      <c r="O148">
        <v>242</v>
      </c>
      <c r="P148" t="s">
        <v>23</v>
      </c>
    </row>
    <row r="149" spans="1:16" x14ac:dyDescent="0.25">
      <c r="A149">
        <v>333554</v>
      </c>
      <c r="B149" t="s">
        <v>368</v>
      </c>
      <c r="C149" t="s">
        <v>369</v>
      </c>
      <c r="D149" t="s">
        <v>18</v>
      </c>
      <c r="E149" s="1" t="s">
        <v>365</v>
      </c>
      <c r="F149" s="15" t="s">
        <v>370</v>
      </c>
      <c r="G149" t="s">
        <v>371</v>
      </c>
      <c r="H149" t="s">
        <v>22</v>
      </c>
      <c r="I149" s="2">
        <v>6001</v>
      </c>
      <c r="J149" t="s">
        <v>30</v>
      </c>
      <c r="K149">
        <v>21</v>
      </c>
      <c r="L149">
        <v>162</v>
      </c>
      <c r="M149">
        <v>81</v>
      </c>
      <c r="N149">
        <v>9</v>
      </c>
      <c r="O149">
        <v>273</v>
      </c>
      <c r="P149" t="s">
        <v>23</v>
      </c>
    </row>
    <row r="150" spans="1:16" x14ac:dyDescent="0.25">
      <c r="A150">
        <v>329176</v>
      </c>
      <c r="B150" t="s">
        <v>372</v>
      </c>
      <c r="C150" t="s">
        <v>373</v>
      </c>
      <c r="D150" t="s">
        <v>18</v>
      </c>
      <c r="E150" s="1" t="s">
        <v>374</v>
      </c>
      <c r="F150" s="15" t="s">
        <v>373</v>
      </c>
      <c r="G150" t="s">
        <v>375</v>
      </c>
      <c r="H150" t="s">
        <v>22</v>
      </c>
      <c r="I150" s="2">
        <v>6001</v>
      </c>
      <c r="J150" t="s">
        <v>30</v>
      </c>
      <c r="K150">
        <v>23</v>
      </c>
      <c r="L150">
        <v>216</v>
      </c>
      <c r="M150">
        <v>38</v>
      </c>
      <c r="N150">
        <v>5</v>
      </c>
      <c r="O150">
        <v>282</v>
      </c>
      <c r="P150" t="s">
        <v>23</v>
      </c>
    </row>
    <row r="151" spans="1:16" x14ac:dyDescent="0.25">
      <c r="A151">
        <v>329177</v>
      </c>
      <c r="B151" t="s">
        <v>376</v>
      </c>
      <c r="C151" t="s">
        <v>377</v>
      </c>
      <c r="D151" t="s">
        <v>18</v>
      </c>
      <c r="E151" s="1" t="s">
        <v>378</v>
      </c>
      <c r="F151" s="15" t="s">
        <v>377</v>
      </c>
      <c r="G151" t="s">
        <v>379</v>
      </c>
      <c r="H151" t="s">
        <v>22</v>
      </c>
      <c r="I151" s="2">
        <v>6001</v>
      </c>
      <c r="J151" t="s">
        <v>30</v>
      </c>
      <c r="K151">
        <v>52</v>
      </c>
      <c r="L151">
        <v>30</v>
      </c>
      <c r="M151">
        <v>51</v>
      </c>
      <c r="N151">
        <v>101</v>
      </c>
      <c r="O151">
        <v>234</v>
      </c>
      <c r="P151" t="s">
        <v>23</v>
      </c>
    </row>
    <row r="152" spans="1:16" x14ac:dyDescent="0.25">
      <c r="A152">
        <v>329178</v>
      </c>
      <c r="B152" t="s">
        <v>380</v>
      </c>
      <c r="C152" t="s">
        <v>381</v>
      </c>
      <c r="D152" t="s">
        <v>18</v>
      </c>
      <c r="E152" s="1" t="s">
        <v>382</v>
      </c>
      <c r="F152" s="15" t="s">
        <v>383</v>
      </c>
      <c r="G152" t="s">
        <v>384</v>
      </c>
      <c r="H152" t="s">
        <v>22</v>
      </c>
      <c r="I152" s="2">
        <v>6001</v>
      </c>
      <c r="J152" t="s">
        <v>30</v>
      </c>
      <c r="K152">
        <v>3</v>
      </c>
      <c r="L152">
        <v>4</v>
      </c>
      <c r="M152">
        <v>11</v>
      </c>
      <c r="N152">
        <v>11</v>
      </c>
      <c r="O152">
        <v>29</v>
      </c>
      <c r="P152" t="s">
        <v>23</v>
      </c>
    </row>
    <row r="153" spans="1:16" x14ac:dyDescent="0.25">
      <c r="A153">
        <v>333095</v>
      </c>
      <c r="B153" t="s">
        <v>380</v>
      </c>
      <c r="C153" t="s">
        <v>381</v>
      </c>
      <c r="D153" t="s">
        <v>18</v>
      </c>
      <c r="E153" s="1" t="s">
        <v>382</v>
      </c>
      <c r="F153" s="15" t="s">
        <v>383</v>
      </c>
      <c r="G153" t="s">
        <v>385</v>
      </c>
      <c r="H153" t="s">
        <v>22</v>
      </c>
      <c r="I153" s="2">
        <v>6001</v>
      </c>
      <c r="J153" t="s">
        <v>30</v>
      </c>
      <c r="K153">
        <v>1</v>
      </c>
      <c r="L153">
        <v>116</v>
      </c>
      <c r="M153">
        <v>74</v>
      </c>
      <c r="N153">
        <v>0</v>
      </c>
      <c r="O153">
        <v>191</v>
      </c>
      <c r="P153" t="s">
        <v>23</v>
      </c>
    </row>
    <row r="154" spans="1:16" x14ac:dyDescent="0.25">
      <c r="A154">
        <v>329186</v>
      </c>
      <c r="B154" t="s">
        <v>386</v>
      </c>
      <c r="C154" t="s">
        <v>387</v>
      </c>
      <c r="D154" t="s">
        <v>18</v>
      </c>
      <c r="E154" s="1">
        <v>6001</v>
      </c>
      <c r="F154" s="15" t="s">
        <v>388</v>
      </c>
      <c r="G154" t="s">
        <v>389</v>
      </c>
      <c r="H154" t="s">
        <v>22</v>
      </c>
      <c r="I154" s="2">
        <v>6001</v>
      </c>
      <c r="J154" t="s">
        <v>30</v>
      </c>
      <c r="K154">
        <v>0</v>
      </c>
      <c r="L154">
        <v>25</v>
      </c>
      <c r="M154">
        <v>8</v>
      </c>
      <c r="N154">
        <v>17</v>
      </c>
      <c r="O154">
        <v>50</v>
      </c>
      <c r="P154" t="s">
        <v>390</v>
      </c>
    </row>
    <row r="155" spans="1:16" x14ac:dyDescent="0.25">
      <c r="A155">
        <v>329187</v>
      </c>
      <c r="B155" t="s">
        <v>391</v>
      </c>
      <c r="C155" t="s">
        <v>392</v>
      </c>
      <c r="D155" t="s">
        <v>18</v>
      </c>
      <c r="E155" s="1" t="s">
        <v>393</v>
      </c>
      <c r="F155" s="15" t="s">
        <v>388</v>
      </c>
      <c r="G155" t="s">
        <v>394</v>
      </c>
      <c r="H155" t="s">
        <v>22</v>
      </c>
      <c r="I155" s="2">
        <v>6001</v>
      </c>
      <c r="J155" t="s">
        <v>30</v>
      </c>
      <c r="K155">
        <v>53</v>
      </c>
      <c r="L155">
        <v>52</v>
      </c>
      <c r="M155">
        <v>42</v>
      </c>
      <c r="N155">
        <v>55</v>
      </c>
      <c r="O155">
        <v>202</v>
      </c>
      <c r="P155" t="s">
        <v>23</v>
      </c>
    </row>
    <row r="156" spans="1:16" x14ac:dyDescent="0.25">
      <c r="A156">
        <v>378517</v>
      </c>
      <c r="B156" t="s">
        <v>395</v>
      </c>
      <c r="C156" t="s">
        <v>388</v>
      </c>
      <c r="D156" t="s">
        <v>18</v>
      </c>
      <c r="E156" s="1">
        <v>6001</v>
      </c>
      <c r="F156" s="15" t="s">
        <v>388</v>
      </c>
      <c r="G156" t="s">
        <v>396</v>
      </c>
      <c r="H156" t="s">
        <v>22</v>
      </c>
      <c r="I156" s="2">
        <v>6001</v>
      </c>
      <c r="J156" t="s">
        <v>30</v>
      </c>
      <c r="K156">
        <v>36</v>
      </c>
      <c r="L156">
        <v>0</v>
      </c>
      <c r="M156">
        <v>0</v>
      </c>
      <c r="N156">
        <v>0</v>
      </c>
      <c r="O156">
        <v>36</v>
      </c>
      <c r="P156" t="s">
        <v>23</v>
      </c>
    </row>
    <row r="157" spans="1:16" x14ac:dyDescent="0.25">
      <c r="A157">
        <v>376408</v>
      </c>
      <c r="B157" t="s">
        <v>397</v>
      </c>
      <c r="C157" t="s">
        <v>388</v>
      </c>
      <c r="D157" t="s">
        <v>18</v>
      </c>
      <c r="E157" s="1">
        <v>6001</v>
      </c>
      <c r="F157" s="15" t="s">
        <v>388</v>
      </c>
      <c r="G157" t="s">
        <v>389</v>
      </c>
      <c r="H157" t="s">
        <v>22</v>
      </c>
      <c r="I157" s="2">
        <v>6001</v>
      </c>
      <c r="J157" t="s">
        <v>30</v>
      </c>
      <c r="K157">
        <v>42</v>
      </c>
      <c r="L157">
        <v>57</v>
      </c>
      <c r="M157">
        <v>0</v>
      </c>
      <c r="N157">
        <v>0</v>
      </c>
      <c r="O157">
        <v>99</v>
      </c>
      <c r="P157" t="s">
        <v>23</v>
      </c>
    </row>
    <row r="158" spans="1:16" x14ac:dyDescent="0.25">
      <c r="A158">
        <v>329197</v>
      </c>
      <c r="B158" t="s">
        <v>398</v>
      </c>
      <c r="C158" t="s">
        <v>399</v>
      </c>
      <c r="D158" t="s">
        <v>18</v>
      </c>
      <c r="E158" s="1" t="s">
        <v>400</v>
      </c>
      <c r="F158" s="15" t="s">
        <v>401</v>
      </c>
      <c r="G158" t="s">
        <v>402</v>
      </c>
      <c r="H158" t="s">
        <v>22</v>
      </c>
      <c r="I158" s="2">
        <v>6001</v>
      </c>
      <c r="J158" t="s">
        <v>30</v>
      </c>
      <c r="K158">
        <v>0</v>
      </c>
      <c r="L158">
        <v>1</v>
      </c>
      <c r="M158">
        <v>0</v>
      </c>
      <c r="N158">
        <v>2</v>
      </c>
      <c r="O158">
        <v>3</v>
      </c>
      <c r="P158" t="s">
        <v>23</v>
      </c>
    </row>
    <row r="159" spans="1:16" x14ac:dyDescent="0.25">
      <c r="A159">
        <v>329198</v>
      </c>
      <c r="B159" t="s">
        <v>403</v>
      </c>
      <c r="C159" t="s">
        <v>388</v>
      </c>
      <c r="D159" t="s">
        <v>18</v>
      </c>
      <c r="E159" s="1">
        <v>6001</v>
      </c>
      <c r="F159" s="15" t="s">
        <v>401</v>
      </c>
      <c r="G159" t="s">
        <v>404</v>
      </c>
      <c r="H159" t="s">
        <v>22</v>
      </c>
      <c r="I159" s="2">
        <v>6001</v>
      </c>
      <c r="J159" t="s">
        <v>30</v>
      </c>
      <c r="K159">
        <v>44</v>
      </c>
      <c r="L159">
        <v>74</v>
      </c>
      <c r="M159">
        <v>332</v>
      </c>
      <c r="N159">
        <v>396</v>
      </c>
      <c r="O159">
        <v>846</v>
      </c>
      <c r="P159" t="s">
        <v>23</v>
      </c>
    </row>
    <row r="160" spans="1:16" x14ac:dyDescent="0.25">
      <c r="A160">
        <v>329199</v>
      </c>
      <c r="B160" t="s">
        <v>405</v>
      </c>
      <c r="C160" t="s">
        <v>406</v>
      </c>
      <c r="D160" t="s">
        <v>18</v>
      </c>
      <c r="E160" s="1">
        <v>6001</v>
      </c>
      <c r="F160" s="15" t="s">
        <v>406</v>
      </c>
      <c r="G160" t="s">
        <v>407</v>
      </c>
      <c r="H160" t="s">
        <v>22</v>
      </c>
      <c r="I160" s="2">
        <v>6001</v>
      </c>
      <c r="J160" t="s">
        <v>30</v>
      </c>
      <c r="K160">
        <v>0</v>
      </c>
      <c r="L160">
        <v>3</v>
      </c>
      <c r="M160">
        <v>3</v>
      </c>
      <c r="N160">
        <v>3</v>
      </c>
      <c r="O160">
        <v>9</v>
      </c>
      <c r="P160" t="s">
        <v>408</v>
      </c>
    </row>
    <row r="161" spans="1:16" x14ac:dyDescent="0.25">
      <c r="A161">
        <v>377775</v>
      </c>
      <c r="B161" t="s">
        <v>409</v>
      </c>
      <c r="C161" t="s">
        <v>410</v>
      </c>
      <c r="D161" t="s">
        <v>18</v>
      </c>
      <c r="E161" s="1">
        <v>6001</v>
      </c>
      <c r="F161" s="15" t="s">
        <v>406</v>
      </c>
      <c r="G161" t="s">
        <v>407</v>
      </c>
      <c r="H161" t="s">
        <v>22</v>
      </c>
      <c r="I161" s="2">
        <v>6001</v>
      </c>
      <c r="J161" t="s">
        <v>30</v>
      </c>
      <c r="K161">
        <v>2</v>
      </c>
      <c r="L161">
        <v>1</v>
      </c>
      <c r="M161">
        <v>0</v>
      </c>
      <c r="N161">
        <v>0</v>
      </c>
      <c r="O161">
        <v>3</v>
      </c>
      <c r="P161" t="s">
        <v>23</v>
      </c>
    </row>
    <row r="162" spans="1:16" x14ac:dyDescent="0.25">
      <c r="A162">
        <v>329203</v>
      </c>
      <c r="B162" t="s">
        <v>411</v>
      </c>
      <c r="C162" t="s">
        <v>412</v>
      </c>
      <c r="D162" t="s">
        <v>18</v>
      </c>
      <c r="E162" s="1" t="s">
        <v>413</v>
      </c>
      <c r="F162" s="15" t="s">
        <v>414</v>
      </c>
      <c r="G162" t="s">
        <v>415</v>
      </c>
      <c r="H162" t="s">
        <v>22</v>
      </c>
      <c r="I162" s="2">
        <v>6001</v>
      </c>
      <c r="J162" t="s">
        <v>30</v>
      </c>
      <c r="K162">
        <v>0</v>
      </c>
      <c r="L162">
        <v>1</v>
      </c>
      <c r="M162">
        <v>0</v>
      </c>
      <c r="N162">
        <v>0</v>
      </c>
      <c r="O162">
        <v>1</v>
      </c>
      <c r="P162" t="s">
        <v>23</v>
      </c>
    </row>
    <row r="163" spans="1:16" x14ac:dyDescent="0.25">
      <c r="A163">
        <v>329205</v>
      </c>
      <c r="B163" t="s">
        <v>411</v>
      </c>
      <c r="C163" t="s">
        <v>412</v>
      </c>
      <c r="D163" t="s">
        <v>18</v>
      </c>
      <c r="E163" s="1" t="s">
        <v>413</v>
      </c>
      <c r="F163" s="15" t="s">
        <v>416</v>
      </c>
      <c r="G163" t="s">
        <v>417</v>
      </c>
      <c r="H163" t="s">
        <v>22</v>
      </c>
      <c r="I163" s="2">
        <v>6001</v>
      </c>
      <c r="J163" t="s">
        <v>30</v>
      </c>
      <c r="K163">
        <v>2</v>
      </c>
      <c r="L163">
        <v>2</v>
      </c>
      <c r="M163">
        <v>1</v>
      </c>
      <c r="N163">
        <v>3</v>
      </c>
      <c r="O163">
        <v>8</v>
      </c>
      <c r="P163" t="s">
        <v>23</v>
      </c>
    </row>
    <row r="164" spans="1:16" x14ac:dyDescent="0.25">
      <c r="A164">
        <v>329202</v>
      </c>
      <c r="B164" t="s">
        <v>418</v>
      </c>
      <c r="C164" t="s">
        <v>414</v>
      </c>
      <c r="D164" t="s">
        <v>18</v>
      </c>
      <c r="E164" s="1" t="s">
        <v>413</v>
      </c>
      <c r="F164" s="15" t="s">
        <v>416</v>
      </c>
      <c r="G164" t="s">
        <v>419</v>
      </c>
      <c r="H164" t="s">
        <v>22</v>
      </c>
      <c r="I164" s="2">
        <v>6001</v>
      </c>
      <c r="J164" t="s">
        <v>30</v>
      </c>
      <c r="K164">
        <v>1</v>
      </c>
      <c r="L164">
        <v>1</v>
      </c>
      <c r="M164">
        <v>2</v>
      </c>
      <c r="N164">
        <v>4</v>
      </c>
      <c r="O164">
        <v>8</v>
      </c>
      <c r="P164" t="s">
        <v>23</v>
      </c>
    </row>
    <row r="165" spans="1:16" x14ac:dyDescent="0.25">
      <c r="A165">
        <v>329206</v>
      </c>
      <c r="B165" t="s">
        <v>420</v>
      </c>
      <c r="C165" t="s">
        <v>399</v>
      </c>
      <c r="D165" t="s">
        <v>18</v>
      </c>
      <c r="E165" s="1" t="s">
        <v>400</v>
      </c>
      <c r="F165" s="15" t="s">
        <v>421</v>
      </c>
      <c r="G165" t="s">
        <v>422</v>
      </c>
      <c r="H165" t="s">
        <v>22</v>
      </c>
      <c r="I165" s="2">
        <v>6001</v>
      </c>
      <c r="J165" t="s">
        <v>30</v>
      </c>
      <c r="K165">
        <v>0</v>
      </c>
      <c r="L165">
        <v>0</v>
      </c>
      <c r="M165">
        <v>1</v>
      </c>
      <c r="N165">
        <v>2</v>
      </c>
      <c r="O165">
        <v>3</v>
      </c>
      <c r="P165" t="s">
        <v>23</v>
      </c>
    </row>
    <row r="166" spans="1:16" x14ac:dyDescent="0.25">
      <c r="A166">
        <v>329207</v>
      </c>
      <c r="B166" t="s">
        <v>423</v>
      </c>
      <c r="C166" t="s">
        <v>424</v>
      </c>
      <c r="D166" t="s">
        <v>18</v>
      </c>
      <c r="E166" s="1" t="s">
        <v>400</v>
      </c>
      <c r="F166" s="15" t="s">
        <v>421</v>
      </c>
      <c r="G166" t="s">
        <v>425</v>
      </c>
      <c r="H166" t="s">
        <v>22</v>
      </c>
      <c r="I166" s="2">
        <v>6001</v>
      </c>
      <c r="J166" t="s">
        <v>30</v>
      </c>
      <c r="K166">
        <v>2</v>
      </c>
      <c r="L166">
        <v>1</v>
      </c>
      <c r="M166">
        <v>2</v>
      </c>
      <c r="N166">
        <v>2</v>
      </c>
      <c r="O166">
        <v>7</v>
      </c>
      <c r="P166" t="s">
        <v>23</v>
      </c>
    </row>
    <row r="167" spans="1:16" x14ac:dyDescent="0.25">
      <c r="A167">
        <v>329216</v>
      </c>
      <c r="B167" t="s">
        <v>426</v>
      </c>
      <c r="C167" t="s">
        <v>427</v>
      </c>
      <c r="D167" t="s">
        <v>18</v>
      </c>
      <c r="E167" s="1" t="s">
        <v>400</v>
      </c>
      <c r="F167" s="15" t="s">
        <v>421</v>
      </c>
      <c r="G167" t="s">
        <v>428</v>
      </c>
      <c r="H167" t="s">
        <v>22</v>
      </c>
      <c r="I167" s="2">
        <v>6001</v>
      </c>
      <c r="J167" t="s">
        <v>30</v>
      </c>
      <c r="K167">
        <v>1</v>
      </c>
      <c r="L167">
        <v>2</v>
      </c>
      <c r="M167">
        <v>2</v>
      </c>
      <c r="N167">
        <v>2</v>
      </c>
      <c r="O167">
        <v>7</v>
      </c>
      <c r="P167" t="s">
        <v>23</v>
      </c>
    </row>
    <row r="168" spans="1:16" x14ac:dyDescent="0.25">
      <c r="A168">
        <v>371481</v>
      </c>
      <c r="B168" t="s">
        <v>429</v>
      </c>
      <c r="C168" t="s">
        <v>430</v>
      </c>
      <c r="D168" t="s">
        <v>18</v>
      </c>
      <c r="E168" s="1">
        <v>6001</v>
      </c>
      <c r="F168" s="15" t="s">
        <v>421</v>
      </c>
      <c r="G168" t="s">
        <v>431</v>
      </c>
      <c r="H168" t="s">
        <v>22</v>
      </c>
      <c r="I168" s="2">
        <v>6001</v>
      </c>
      <c r="J168" t="s">
        <v>30</v>
      </c>
      <c r="K168">
        <v>1</v>
      </c>
      <c r="L168">
        <v>0</v>
      </c>
      <c r="M168">
        <v>0</v>
      </c>
      <c r="N168">
        <v>1</v>
      </c>
      <c r="O168">
        <v>2</v>
      </c>
      <c r="P168" t="s">
        <v>23</v>
      </c>
    </row>
    <row r="169" spans="1:16" x14ac:dyDescent="0.25">
      <c r="A169">
        <v>363801</v>
      </c>
      <c r="B169" t="s">
        <v>432</v>
      </c>
      <c r="C169" t="s">
        <v>433</v>
      </c>
      <c r="D169" t="s">
        <v>18</v>
      </c>
      <c r="E169" s="1">
        <v>6001</v>
      </c>
      <c r="F169" s="15" t="s">
        <v>421</v>
      </c>
      <c r="G169" t="s">
        <v>434</v>
      </c>
      <c r="H169" t="s">
        <v>22</v>
      </c>
      <c r="I169" s="2">
        <v>6001</v>
      </c>
      <c r="J169" t="s">
        <v>30</v>
      </c>
      <c r="K169">
        <v>0</v>
      </c>
      <c r="L169">
        <v>32</v>
      </c>
      <c r="M169">
        <v>37</v>
      </c>
      <c r="N169">
        <v>33</v>
      </c>
      <c r="O169">
        <v>102</v>
      </c>
      <c r="P169" t="s">
        <v>435</v>
      </c>
    </row>
    <row r="170" spans="1:16" x14ac:dyDescent="0.25">
      <c r="A170">
        <v>329215</v>
      </c>
      <c r="B170" t="s">
        <v>436</v>
      </c>
      <c r="C170" t="s">
        <v>424</v>
      </c>
      <c r="D170" t="s">
        <v>18</v>
      </c>
      <c r="E170" s="1" t="s">
        <v>400</v>
      </c>
      <c r="F170" s="15" t="s">
        <v>437</v>
      </c>
      <c r="G170" t="s">
        <v>438</v>
      </c>
      <c r="H170" t="s">
        <v>22</v>
      </c>
      <c r="I170" s="2">
        <v>6001</v>
      </c>
      <c r="J170" t="s">
        <v>30</v>
      </c>
      <c r="K170">
        <v>24</v>
      </c>
      <c r="L170">
        <v>35</v>
      </c>
      <c r="M170">
        <v>29</v>
      </c>
      <c r="N170">
        <v>0</v>
      </c>
      <c r="O170">
        <v>88</v>
      </c>
      <c r="P170" t="s">
        <v>23</v>
      </c>
    </row>
    <row r="171" spans="1:16" x14ac:dyDescent="0.25">
      <c r="A171">
        <v>333098</v>
      </c>
      <c r="B171" t="s">
        <v>439</v>
      </c>
      <c r="C171" t="s">
        <v>440</v>
      </c>
      <c r="D171" t="s">
        <v>18</v>
      </c>
      <c r="E171" s="1" t="s">
        <v>400</v>
      </c>
      <c r="F171" s="15" t="s">
        <v>441</v>
      </c>
      <c r="G171" t="s">
        <v>442</v>
      </c>
      <c r="H171" t="s">
        <v>22</v>
      </c>
      <c r="I171" s="2">
        <v>6001</v>
      </c>
      <c r="J171" t="s">
        <v>30</v>
      </c>
      <c r="K171">
        <v>45</v>
      </c>
      <c r="L171">
        <v>54</v>
      </c>
      <c r="M171">
        <v>60</v>
      </c>
      <c r="N171">
        <v>0</v>
      </c>
      <c r="O171">
        <v>159</v>
      </c>
      <c r="P171" t="s">
        <v>23</v>
      </c>
    </row>
    <row r="172" spans="1:16" x14ac:dyDescent="0.25">
      <c r="A172">
        <v>333099</v>
      </c>
      <c r="B172" t="s">
        <v>398</v>
      </c>
      <c r="C172" t="s">
        <v>424</v>
      </c>
      <c r="D172" t="s">
        <v>18</v>
      </c>
      <c r="E172" s="1" t="s">
        <v>400</v>
      </c>
      <c r="F172" s="15" t="s">
        <v>443</v>
      </c>
      <c r="G172" t="s">
        <v>444</v>
      </c>
      <c r="H172" t="s">
        <v>22</v>
      </c>
      <c r="I172" s="2">
        <v>6001</v>
      </c>
      <c r="J172" t="s">
        <v>30</v>
      </c>
      <c r="K172">
        <v>36</v>
      </c>
      <c r="L172">
        <v>53</v>
      </c>
      <c r="M172">
        <v>41</v>
      </c>
      <c r="N172">
        <v>0</v>
      </c>
      <c r="O172">
        <v>130</v>
      </c>
      <c r="P172" t="s">
        <v>23</v>
      </c>
    </row>
    <row r="173" spans="1:16" x14ac:dyDescent="0.25">
      <c r="A173">
        <v>329213</v>
      </c>
      <c r="B173" t="s">
        <v>445</v>
      </c>
      <c r="C173" t="s">
        <v>424</v>
      </c>
      <c r="D173" t="s">
        <v>18</v>
      </c>
      <c r="E173" s="1" t="s">
        <v>400</v>
      </c>
      <c r="F173" s="15" t="s">
        <v>446</v>
      </c>
      <c r="G173" t="s">
        <v>447</v>
      </c>
      <c r="H173" t="s">
        <v>22</v>
      </c>
      <c r="I173" s="2">
        <v>6001</v>
      </c>
      <c r="J173" t="s">
        <v>30</v>
      </c>
      <c r="K173">
        <v>30</v>
      </c>
      <c r="L173">
        <v>43</v>
      </c>
      <c r="M173">
        <v>34</v>
      </c>
      <c r="N173">
        <v>0</v>
      </c>
      <c r="O173">
        <v>107</v>
      </c>
      <c r="P173" t="s">
        <v>23</v>
      </c>
    </row>
    <row r="174" spans="1:16" x14ac:dyDescent="0.25">
      <c r="A174">
        <v>329194</v>
      </c>
      <c r="B174" t="s">
        <v>448</v>
      </c>
      <c r="C174" t="s">
        <v>424</v>
      </c>
      <c r="D174" t="s">
        <v>18</v>
      </c>
      <c r="E174" s="1" t="s">
        <v>400</v>
      </c>
      <c r="F174" s="15" t="s">
        <v>449</v>
      </c>
      <c r="G174" t="s">
        <v>450</v>
      </c>
      <c r="H174" t="s">
        <v>22</v>
      </c>
      <c r="I174" s="2">
        <v>6001</v>
      </c>
      <c r="J174" t="s">
        <v>30</v>
      </c>
      <c r="K174">
        <v>8</v>
      </c>
      <c r="L174">
        <v>9</v>
      </c>
      <c r="M174">
        <v>9</v>
      </c>
      <c r="N174">
        <v>0</v>
      </c>
      <c r="O174">
        <v>26</v>
      </c>
      <c r="P174" t="s">
        <v>23</v>
      </c>
    </row>
    <row r="175" spans="1:16" x14ac:dyDescent="0.25">
      <c r="A175">
        <v>333090</v>
      </c>
      <c r="B175" t="s">
        <v>380</v>
      </c>
      <c r="C175" t="s">
        <v>381</v>
      </c>
      <c r="D175" t="s">
        <v>18</v>
      </c>
      <c r="E175" s="1" t="s">
        <v>451</v>
      </c>
      <c r="F175" s="15" t="s">
        <v>452</v>
      </c>
      <c r="G175" t="s">
        <v>453</v>
      </c>
      <c r="H175" t="s">
        <v>22</v>
      </c>
      <c r="I175" s="2">
        <v>6001</v>
      </c>
      <c r="J175" t="s">
        <v>30</v>
      </c>
      <c r="K175">
        <v>10</v>
      </c>
      <c r="L175">
        <v>787</v>
      </c>
      <c r="M175">
        <v>425</v>
      </c>
      <c r="N175">
        <v>0</v>
      </c>
      <c r="O175">
        <v>1222</v>
      </c>
      <c r="P175" t="s">
        <v>23</v>
      </c>
    </row>
    <row r="176" spans="1:16" x14ac:dyDescent="0.25">
      <c r="A176">
        <v>333093</v>
      </c>
      <c r="B176" t="s">
        <v>454</v>
      </c>
      <c r="C176" t="s">
        <v>455</v>
      </c>
      <c r="D176" t="s">
        <v>18</v>
      </c>
      <c r="E176" s="1" t="s">
        <v>374</v>
      </c>
      <c r="F176" s="15" t="s">
        <v>456</v>
      </c>
      <c r="G176" t="s">
        <v>457</v>
      </c>
      <c r="H176" t="s">
        <v>22</v>
      </c>
      <c r="I176" s="2">
        <v>6001</v>
      </c>
      <c r="J176" t="s">
        <v>30</v>
      </c>
      <c r="K176">
        <v>58</v>
      </c>
      <c r="L176">
        <v>740</v>
      </c>
      <c r="M176">
        <v>357</v>
      </c>
      <c r="N176">
        <v>0</v>
      </c>
      <c r="O176">
        <v>1155</v>
      </c>
      <c r="P176" t="s">
        <v>23</v>
      </c>
    </row>
    <row r="177" spans="1:16" x14ac:dyDescent="0.25">
      <c r="A177">
        <v>333097</v>
      </c>
      <c r="B177" t="s">
        <v>458</v>
      </c>
      <c r="C177" t="s">
        <v>440</v>
      </c>
      <c r="D177" t="s">
        <v>18</v>
      </c>
      <c r="E177" s="1" t="s">
        <v>400</v>
      </c>
      <c r="F177" s="15" t="s">
        <v>459</v>
      </c>
      <c r="G177" t="s">
        <v>460</v>
      </c>
      <c r="H177" t="s">
        <v>22</v>
      </c>
      <c r="I177" s="2">
        <v>6001</v>
      </c>
      <c r="J177" t="s">
        <v>30</v>
      </c>
      <c r="K177">
        <v>36</v>
      </c>
      <c r="L177">
        <v>31</v>
      </c>
      <c r="M177">
        <v>45</v>
      </c>
      <c r="N177">
        <v>0</v>
      </c>
      <c r="O177">
        <v>112</v>
      </c>
      <c r="P177" t="s">
        <v>23</v>
      </c>
    </row>
    <row r="178" spans="1:16" x14ac:dyDescent="0.25">
      <c r="A178">
        <v>333754</v>
      </c>
      <c r="B178" t="s">
        <v>461</v>
      </c>
      <c r="C178" t="s">
        <v>421</v>
      </c>
      <c r="D178" t="s">
        <v>18</v>
      </c>
      <c r="E178" s="1" t="s">
        <v>451</v>
      </c>
      <c r="F178" s="15" t="s">
        <v>462</v>
      </c>
      <c r="G178" t="s">
        <v>463</v>
      </c>
      <c r="H178" t="s">
        <v>22</v>
      </c>
      <c r="I178" s="2">
        <v>6001</v>
      </c>
      <c r="J178" t="s">
        <v>30</v>
      </c>
      <c r="K178">
        <v>126</v>
      </c>
      <c r="L178">
        <v>904</v>
      </c>
      <c r="M178">
        <v>538</v>
      </c>
      <c r="N178">
        <v>118</v>
      </c>
      <c r="O178">
        <v>1686</v>
      </c>
      <c r="P178" t="s">
        <v>23</v>
      </c>
    </row>
    <row r="179" spans="1:16" x14ac:dyDescent="0.25">
      <c r="A179">
        <v>333556</v>
      </c>
      <c r="B179" t="s">
        <v>454</v>
      </c>
      <c r="C179" t="s">
        <v>455</v>
      </c>
      <c r="D179" t="s">
        <v>18</v>
      </c>
      <c r="E179" s="1" t="s">
        <v>374</v>
      </c>
      <c r="F179" s="15" t="s">
        <v>464</v>
      </c>
      <c r="G179" t="s">
        <v>465</v>
      </c>
      <c r="H179" t="s">
        <v>22</v>
      </c>
      <c r="I179" s="2">
        <v>6001</v>
      </c>
      <c r="J179" t="s">
        <v>30</v>
      </c>
      <c r="K179">
        <v>543</v>
      </c>
      <c r="L179">
        <v>1164</v>
      </c>
      <c r="M179">
        <v>839</v>
      </c>
      <c r="N179">
        <v>362</v>
      </c>
      <c r="O179">
        <v>2908</v>
      </c>
      <c r="P179" t="s">
        <v>23</v>
      </c>
    </row>
    <row r="180" spans="1:16" x14ac:dyDescent="0.25">
      <c r="A180">
        <v>380758</v>
      </c>
      <c r="B180" t="s">
        <v>466</v>
      </c>
      <c r="C180" t="s">
        <v>467</v>
      </c>
      <c r="D180" t="s">
        <v>18</v>
      </c>
      <c r="E180" s="1">
        <v>6001</v>
      </c>
      <c r="F180" s="15" t="s">
        <v>468</v>
      </c>
      <c r="G180" t="s">
        <v>469</v>
      </c>
      <c r="H180" t="s">
        <v>22</v>
      </c>
      <c r="I180" s="2">
        <v>6001</v>
      </c>
      <c r="J180" t="s">
        <v>30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23</v>
      </c>
    </row>
    <row r="181" spans="1:16" x14ac:dyDescent="0.25">
      <c r="A181">
        <v>338435</v>
      </c>
      <c r="B181" t="s">
        <v>398</v>
      </c>
      <c r="C181" t="s">
        <v>399</v>
      </c>
      <c r="D181" t="s">
        <v>18</v>
      </c>
      <c r="E181" s="1" t="s">
        <v>400</v>
      </c>
      <c r="F181" s="15" t="s">
        <v>468</v>
      </c>
      <c r="G181" t="s">
        <v>469</v>
      </c>
      <c r="H181" t="s">
        <v>22</v>
      </c>
      <c r="I181" s="2">
        <v>6001</v>
      </c>
      <c r="J181" t="s">
        <v>30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470</v>
      </c>
    </row>
    <row r="182" spans="1:16" x14ac:dyDescent="0.25">
      <c r="A182">
        <v>337356</v>
      </c>
      <c r="B182" t="s">
        <v>471</v>
      </c>
      <c r="C182" t="s">
        <v>399</v>
      </c>
      <c r="D182" t="s">
        <v>18</v>
      </c>
      <c r="E182" s="1" t="s">
        <v>400</v>
      </c>
      <c r="F182" s="15" t="s">
        <v>472</v>
      </c>
      <c r="G182" t="s">
        <v>473</v>
      </c>
      <c r="H182" t="s">
        <v>22</v>
      </c>
      <c r="I182" s="2">
        <v>6001</v>
      </c>
      <c r="J182" t="s">
        <v>30</v>
      </c>
      <c r="K182">
        <v>0</v>
      </c>
      <c r="L182">
        <v>1</v>
      </c>
      <c r="M182">
        <v>0</v>
      </c>
      <c r="N182">
        <v>1</v>
      </c>
      <c r="O182">
        <v>2</v>
      </c>
      <c r="P182" t="s">
        <v>474</v>
      </c>
    </row>
    <row r="183" spans="1:16" x14ac:dyDescent="0.25">
      <c r="A183">
        <v>378983</v>
      </c>
      <c r="B183" t="s">
        <v>475</v>
      </c>
      <c r="C183" t="s">
        <v>476</v>
      </c>
      <c r="D183" t="s">
        <v>18</v>
      </c>
      <c r="E183" s="1">
        <v>6001</v>
      </c>
      <c r="F183" s="15" t="s">
        <v>472</v>
      </c>
      <c r="G183" t="s">
        <v>473</v>
      </c>
      <c r="H183" t="s">
        <v>22</v>
      </c>
      <c r="I183" s="2">
        <v>6001</v>
      </c>
      <c r="J183" t="s">
        <v>30</v>
      </c>
      <c r="K183">
        <v>2</v>
      </c>
      <c r="L183">
        <v>0</v>
      </c>
      <c r="M183">
        <v>0</v>
      </c>
      <c r="N183">
        <v>0</v>
      </c>
      <c r="O183">
        <v>2</v>
      </c>
      <c r="P183" t="s">
        <v>23</v>
      </c>
    </row>
    <row r="184" spans="1:16" x14ac:dyDescent="0.25">
      <c r="A184">
        <v>373188</v>
      </c>
      <c r="B184" t="s">
        <v>477</v>
      </c>
      <c r="C184" t="s">
        <v>66</v>
      </c>
      <c r="D184" t="s">
        <v>18</v>
      </c>
      <c r="E184" s="1">
        <v>6001</v>
      </c>
      <c r="F184" s="15" t="s">
        <v>478</v>
      </c>
      <c r="G184" t="s">
        <v>479</v>
      </c>
      <c r="H184" t="s">
        <v>22</v>
      </c>
      <c r="I184" s="2">
        <v>6001</v>
      </c>
      <c r="J184" t="s">
        <v>30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23</v>
      </c>
    </row>
    <row r="185" spans="1:16" x14ac:dyDescent="0.25">
      <c r="A185">
        <v>363211</v>
      </c>
      <c r="B185" t="s">
        <v>398</v>
      </c>
      <c r="C185" t="s">
        <v>480</v>
      </c>
      <c r="D185" t="s">
        <v>18</v>
      </c>
      <c r="E185" s="1" t="s">
        <v>400</v>
      </c>
      <c r="F185" s="15" t="s">
        <v>478</v>
      </c>
      <c r="G185" t="s">
        <v>479</v>
      </c>
      <c r="H185" t="s">
        <v>22</v>
      </c>
      <c r="I185" s="2">
        <v>6001</v>
      </c>
      <c r="J185" t="s">
        <v>30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481</v>
      </c>
    </row>
    <row r="186" spans="1:16" x14ac:dyDescent="0.25">
      <c r="A186">
        <v>329208</v>
      </c>
      <c r="B186" t="s">
        <v>398</v>
      </c>
      <c r="C186" t="s">
        <v>399</v>
      </c>
      <c r="D186" t="s">
        <v>18</v>
      </c>
      <c r="E186" s="1" t="s">
        <v>400</v>
      </c>
      <c r="F186" s="15" t="s">
        <v>482</v>
      </c>
      <c r="G186" t="s">
        <v>483</v>
      </c>
      <c r="H186" t="s">
        <v>22</v>
      </c>
      <c r="I186" s="2">
        <v>6001</v>
      </c>
      <c r="J186" t="s">
        <v>30</v>
      </c>
      <c r="K186">
        <v>12</v>
      </c>
      <c r="L186">
        <v>13</v>
      </c>
      <c r="M186">
        <v>11</v>
      </c>
      <c r="N186">
        <v>11</v>
      </c>
      <c r="O186">
        <v>47</v>
      </c>
      <c r="P186" t="s">
        <v>23</v>
      </c>
    </row>
    <row r="187" spans="1:16" x14ac:dyDescent="0.25">
      <c r="A187">
        <v>363212</v>
      </c>
      <c r="B187" t="s">
        <v>484</v>
      </c>
      <c r="C187" t="s">
        <v>485</v>
      </c>
      <c r="D187" t="s">
        <v>18</v>
      </c>
      <c r="E187" s="1">
        <v>6001</v>
      </c>
      <c r="F187" s="15" t="s">
        <v>486</v>
      </c>
      <c r="G187" t="s">
        <v>487</v>
      </c>
      <c r="H187" t="s">
        <v>22</v>
      </c>
      <c r="I187" s="2">
        <v>6001</v>
      </c>
      <c r="J187" t="s">
        <v>30</v>
      </c>
      <c r="K187">
        <v>0</v>
      </c>
      <c r="L187">
        <v>2</v>
      </c>
      <c r="M187">
        <v>2</v>
      </c>
      <c r="N187">
        <v>0</v>
      </c>
      <c r="O187">
        <v>4</v>
      </c>
      <c r="P187" t="s">
        <v>23</v>
      </c>
    </row>
    <row r="188" spans="1:16" x14ac:dyDescent="0.25">
      <c r="A188">
        <v>329189</v>
      </c>
      <c r="B188" t="s">
        <v>488</v>
      </c>
      <c r="C188" t="s">
        <v>399</v>
      </c>
      <c r="D188" t="s">
        <v>18</v>
      </c>
      <c r="E188" s="1" t="s">
        <v>400</v>
      </c>
      <c r="F188" s="15" t="s">
        <v>489</v>
      </c>
      <c r="G188" t="s">
        <v>490</v>
      </c>
      <c r="H188" t="s">
        <v>22</v>
      </c>
      <c r="I188" s="2">
        <v>6001</v>
      </c>
      <c r="J188" t="s">
        <v>30</v>
      </c>
      <c r="K188">
        <v>1</v>
      </c>
      <c r="L188">
        <v>1</v>
      </c>
      <c r="M188">
        <v>3</v>
      </c>
      <c r="N188">
        <v>8</v>
      </c>
      <c r="O188">
        <v>13</v>
      </c>
      <c r="P188" t="s">
        <v>23</v>
      </c>
    </row>
    <row r="189" spans="1:16" x14ac:dyDescent="0.25">
      <c r="A189">
        <v>329190</v>
      </c>
      <c r="B189" t="s">
        <v>398</v>
      </c>
      <c r="C189" t="s">
        <v>399</v>
      </c>
      <c r="D189" t="s">
        <v>18</v>
      </c>
      <c r="E189" s="1" t="s">
        <v>400</v>
      </c>
      <c r="F189" s="15" t="s">
        <v>489</v>
      </c>
      <c r="G189" t="s">
        <v>491</v>
      </c>
      <c r="H189" t="s">
        <v>22</v>
      </c>
      <c r="I189" s="2">
        <v>6001</v>
      </c>
      <c r="J189" t="s">
        <v>30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23</v>
      </c>
    </row>
    <row r="190" spans="1:16" x14ac:dyDescent="0.25">
      <c r="A190">
        <v>329191</v>
      </c>
      <c r="B190" t="s">
        <v>398</v>
      </c>
      <c r="C190" t="s">
        <v>440</v>
      </c>
      <c r="D190" t="s">
        <v>18</v>
      </c>
      <c r="E190" s="1" t="s">
        <v>400</v>
      </c>
      <c r="F190" s="15" t="s">
        <v>489</v>
      </c>
      <c r="G190" t="s">
        <v>492</v>
      </c>
      <c r="H190" t="s">
        <v>22</v>
      </c>
      <c r="I190" s="2">
        <v>6001</v>
      </c>
      <c r="J190" t="s">
        <v>30</v>
      </c>
      <c r="K190">
        <v>11</v>
      </c>
      <c r="L190">
        <v>18</v>
      </c>
      <c r="M190">
        <v>14</v>
      </c>
      <c r="N190">
        <v>14</v>
      </c>
      <c r="O190">
        <v>57</v>
      </c>
      <c r="P190" t="s">
        <v>23</v>
      </c>
    </row>
    <row r="191" spans="1:16" x14ac:dyDescent="0.25">
      <c r="A191">
        <v>329193</v>
      </c>
      <c r="B191" t="s">
        <v>493</v>
      </c>
      <c r="C191" t="s">
        <v>494</v>
      </c>
      <c r="D191" t="s">
        <v>18</v>
      </c>
      <c r="E191" s="1" t="s">
        <v>400</v>
      </c>
      <c r="F191" s="15" t="s">
        <v>489</v>
      </c>
      <c r="G191" t="s">
        <v>495</v>
      </c>
      <c r="H191" t="s">
        <v>22</v>
      </c>
      <c r="I191" s="2">
        <v>6001</v>
      </c>
      <c r="J191" t="s">
        <v>30</v>
      </c>
      <c r="K191">
        <v>19</v>
      </c>
      <c r="L191">
        <v>18</v>
      </c>
      <c r="M191">
        <v>15</v>
      </c>
      <c r="N191">
        <v>12</v>
      </c>
      <c r="O191">
        <v>64</v>
      </c>
      <c r="P191" t="s">
        <v>23</v>
      </c>
    </row>
    <row r="192" spans="1:16" x14ac:dyDescent="0.25">
      <c r="A192">
        <v>350075</v>
      </c>
      <c r="B192" t="s">
        <v>398</v>
      </c>
      <c r="C192" t="s">
        <v>496</v>
      </c>
      <c r="D192" t="s">
        <v>18</v>
      </c>
      <c r="E192" s="1">
        <v>6001</v>
      </c>
      <c r="F192" s="15" t="s">
        <v>497</v>
      </c>
      <c r="G192" t="s">
        <v>498</v>
      </c>
      <c r="H192" t="s">
        <v>22</v>
      </c>
      <c r="I192" s="2">
        <v>6001</v>
      </c>
      <c r="J192" t="s">
        <v>30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23</v>
      </c>
    </row>
    <row r="193" spans="1:16" x14ac:dyDescent="0.25">
      <c r="A193">
        <v>352925</v>
      </c>
      <c r="B193" t="s">
        <v>499</v>
      </c>
      <c r="C193" t="s">
        <v>500</v>
      </c>
      <c r="D193" t="s">
        <v>18</v>
      </c>
      <c r="E193" s="1">
        <v>6001</v>
      </c>
      <c r="F193" s="15" t="s">
        <v>501</v>
      </c>
      <c r="G193" t="s">
        <v>502</v>
      </c>
      <c r="H193" t="s">
        <v>22</v>
      </c>
      <c r="I193" s="2">
        <v>6001</v>
      </c>
      <c r="J193" t="s">
        <v>30</v>
      </c>
      <c r="K193">
        <v>55</v>
      </c>
      <c r="L193">
        <v>74</v>
      </c>
      <c r="M193">
        <v>45</v>
      </c>
      <c r="N193">
        <v>33</v>
      </c>
      <c r="O193">
        <v>207</v>
      </c>
      <c r="P193" t="s">
        <v>23</v>
      </c>
    </row>
    <row r="194" spans="1:16" x14ac:dyDescent="0.25">
      <c r="A194">
        <v>367898</v>
      </c>
      <c r="B194" t="s">
        <v>471</v>
      </c>
      <c r="C194" t="s">
        <v>399</v>
      </c>
      <c r="D194" t="s">
        <v>18</v>
      </c>
      <c r="E194" s="1" t="s">
        <v>400</v>
      </c>
      <c r="F194" s="15" t="s">
        <v>503</v>
      </c>
      <c r="G194" t="s">
        <v>504</v>
      </c>
      <c r="H194" t="s">
        <v>22</v>
      </c>
      <c r="I194" s="2">
        <v>6001</v>
      </c>
      <c r="J194" t="s">
        <v>30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23</v>
      </c>
    </row>
    <row r="195" spans="1:16" x14ac:dyDescent="0.25">
      <c r="A195">
        <v>329188</v>
      </c>
      <c r="B195" t="s">
        <v>767</v>
      </c>
      <c r="C195" t="s">
        <v>768</v>
      </c>
      <c r="D195" t="s">
        <v>763</v>
      </c>
      <c r="E195" s="1">
        <v>6002</v>
      </c>
      <c r="F195" s="15" t="s">
        <v>388</v>
      </c>
      <c r="G195" t="s">
        <v>396</v>
      </c>
      <c r="H195" t="s">
        <v>22</v>
      </c>
      <c r="I195" s="2">
        <v>6001</v>
      </c>
      <c r="J195" t="s">
        <v>30</v>
      </c>
      <c r="K195">
        <v>0</v>
      </c>
      <c r="L195">
        <v>46</v>
      </c>
      <c r="M195">
        <v>36</v>
      </c>
      <c r="N195">
        <v>20</v>
      </c>
      <c r="O195">
        <v>102</v>
      </c>
      <c r="P195" t="s">
        <v>769</v>
      </c>
    </row>
    <row r="196" spans="1:16" x14ac:dyDescent="0.25">
      <c r="A196">
        <v>344160</v>
      </c>
      <c r="B196" t="s">
        <v>799</v>
      </c>
      <c r="C196" t="s">
        <v>800</v>
      </c>
      <c r="D196" t="s">
        <v>796</v>
      </c>
      <c r="E196" s="1" t="s">
        <v>801</v>
      </c>
      <c r="F196" s="15" t="s">
        <v>388</v>
      </c>
      <c r="G196" t="s">
        <v>802</v>
      </c>
      <c r="H196" t="s">
        <v>22</v>
      </c>
      <c r="I196" s="2">
        <v>6001</v>
      </c>
      <c r="J196" t="s">
        <v>30</v>
      </c>
      <c r="K196">
        <v>0</v>
      </c>
      <c r="L196">
        <v>0</v>
      </c>
      <c r="M196">
        <v>1</v>
      </c>
      <c r="N196">
        <v>0</v>
      </c>
      <c r="O196">
        <v>1</v>
      </c>
      <c r="P196" t="s">
        <v>23</v>
      </c>
    </row>
    <row r="197" spans="1:16" x14ac:dyDescent="0.25">
      <c r="A197">
        <v>333089</v>
      </c>
      <c r="B197" t="s">
        <v>935</v>
      </c>
      <c r="C197" t="s">
        <v>936</v>
      </c>
      <c r="D197" t="s">
        <v>931</v>
      </c>
      <c r="E197" s="1">
        <v>6033</v>
      </c>
      <c r="F197" s="15" t="s">
        <v>937</v>
      </c>
      <c r="G197" t="s">
        <v>938</v>
      </c>
      <c r="H197" t="s">
        <v>22</v>
      </c>
      <c r="I197" s="2">
        <v>6001</v>
      </c>
      <c r="J197" t="s">
        <v>30</v>
      </c>
      <c r="K197">
        <v>250</v>
      </c>
      <c r="L197">
        <v>215</v>
      </c>
      <c r="M197">
        <v>181</v>
      </c>
      <c r="N197">
        <v>163</v>
      </c>
      <c r="O197">
        <v>809</v>
      </c>
      <c r="P197" t="s">
        <v>23</v>
      </c>
    </row>
    <row r="198" spans="1:16" x14ac:dyDescent="0.25">
      <c r="A198">
        <v>360142</v>
      </c>
      <c r="C198" t="s">
        <v>959</v>
      </c>
      <c r="D198" t="s">
        <v>960</v>
      </c>
      <c r="E198" s="1" t="s">
        <v>961</v>
      </c>
      <c r="F198" s="15" t="s">
        <v>962</v>
      </c>
      <c r="G198" t="s">
        <v>963</v>
      </c>
      <c r="H198" t="s">
        <v>22</v>
      </c>
      <c r="I198" s="2">
        <v>6001</v>
      </c>
      <c r="J198" t="s">
        <v>30</v>
      </c>
      <c r="K198">
        <v>10</v>
      </c>
      <c r="L198">
        <v>17</v>
      </c>
      <c r="M198">
        <v>15</v>
      </c>
      <c r="N198">
        <v>12</v>
      </c>
      <c r="O198">
        <v>54</v>
      </c>
      <c r="P198" t="s">
        <v>23</v>
      </c>
    </row>
    <row r="199" spans="1:16" x14ac:dyDescent="0.25">
      <c r="A199">
        <v>360140</v>
      </c>
      <c r="C199" t="s">
        <v>959</v>
      </c>
      <c r="D199" t="s">
        <v>960</v>
      </c>
      <c r="E199" s="1" t="s">
        <v>961</v>
      </c>
      <c r="F199" s="15" t="s">
        <v>964</v>
      </c>
      <c r="G199" t="s">
        <v>965</v>
      </c>
      <c r="H199" t="s">
        <v>22</v>
      </c>
      <c r="I199" s="2">
        <v>6001</v>
      </c>
      <c r="J199" t="s">
        <v>30</v>
      </c>
      <c r="K199">
        <v>60</v>
      </c>
      <c r="L199">
        <v>124</v>
      </c>
      <c r="M199">
        <v>62</v>
      </c>
      <c r="N199">
        <v>0</v>
      </c>
      <c r="O199">
        <v>246</v>
      </c>
      <c r="P199" t="s">
        <v>23</v>
      </c>
    </row>
    <row r="200" spans="1:16" x14ac:dyDescent="0.25">
      <c r="A200">
        <v>360132</v>
      </c>
      <c r="B200" t="s">
        <v>958</v>
      </c>
      <c r="C200" t="s">
        <v>959</v>
      </c>
      <c r="D200" t="s">
        <v>960</v>
      </c>
      <c r="E200" s="1">
        <v>33020</v>
      </c>
      <c r="F200" s="15" t="s">
        <v>966</v>
      </c>
      <c r="G200" t="s">
        <v>967</v>
      </c>
      <c r="H200" t="s">
        <v>22</v>
      </c>
      <c r="I200" s="2">
        <v>6001</v>
      </c>
      <c r="J200" t="s">
        <v>30</v>
      </c>
      <c r="K200">
        <v>699</v>
      </c>
      <c r="L200">
        <v>839</v>
      </c>
      <c r="M200">
        <v>681</v>
      </c>
      <c r="N200">
        <v>498</v>
      </c>
      <c r="O200">
        <v>2717</v>
      </c>
      <c r="P200" t="s">
        <v>23</v>
      </c>
    </row>
    <row r="201" spans="1:16" x14ac:dyDescent="0.25">
      <c r="A201">
        <v>360964</v>
      </c>
      <c r="B201" t="s">
        <v>1178</v>
      </c>
      <c r="C201" t="s">
        <v>1179</v>
      </c>
      <c r="D201" t="s">
        <v>1174</v>
      </c>
      <c r="E201" s="1">
        <v>6070</v>
      </c>
      <c r="F201" s="15" t="s">
        <v>1180</v>
      </c>
      <c r="G201" t="s">
        <v>1181</v>
      </c>
      <c r="H201" t="s">
        <v>22</v>
      </c>
      <c r="I201" s="2">
        <v>6001</v>
      </c>
      <c r="J201" t="s">
        <v>30</v>
      </c>
      <c r="K201">
        <v>11</v>
      </c>
      <c r="L201">
        <v>13</v>
      </c>
      <c r="M201">
        <v>13</v>
      </c>
      <c r="N201">
        <v>9</v>
      </c>
      <c r="O201">
        <v>46</v>
      </c>
      <c r="P201" t="s">
        <v>23</v>
      </c>
    </row>
    <row r="202" spans="1:16" x14ac:dyDescent="0.25">
      <c r="A202">
        <v>342288</v>
      </c>
      <c r="B202" t="s">
        <v>1289</v>
      </c>
      <c r="C202" t="s">
        <v>1290</v>
      </c>
      <c r="D202" t="s">
        <v>1269</v>
      </c>
      <c r="E202" s="1">
        <v>6085</v>
      </c>
      <c r="F202" s="15" t="s">
        <v>1291</v>
      </c>
      <c r="G202" t="s">
        <v>1292</v>
      </c>
      <c r="H202" t="s">
        <v>22</v>
      </c>
      <c r="I202" s="2">
        <v>6001</v>
      </c>
      <c r="J202" t="s">
        <v>30</v>
      </c>
      <c r="K202">
        <v>8</v>
      </c>
      <c r="L202">
        <v>8</v>
      </c>
      <c r="M202">
        <v>7</v>
      </c>
      <c r="N202">
        <v>8</v>
      </c>
      <c r="O202">
        <v>31</v>
      </c>
      <c r="P202" t="s">
        <v>23</v>
      </c>
    </row>
    <row r="203" spans="1:16" x14ac:dyDescent="0.25">
      <c r="A203">
        <v>329182</v>
      </c>
      <c r="B203" t="s">
        <v>1311</v>
      </c>
      <c r="C203" t="s">
        <v>1312</v>
      </c>
      <c r="D203" t="s">
        <v>1313</v>
      </c>
      <c r="E203" s="1" t="s">
        <v>1314</v>
      </c>
      <c r="F203" s="15" t="s">
        <v>1315</v>
      </c>
      <c r="G203" t="s">
        <v>1316</v>
      </c>
      <c r="H203" t="s">
        <v>22</v>
      </c>
      <c r="I203" s="2">
        <v>6001</v>
      </c>
      <c r="J203" t="s">
        <v>30</v>
      </c>
      <c r="K203">
        <v>73</v>
      </c>
      <c r="L203">
        <v>26</v>
      </c>
      <c r="M203">
        <v>43</v>
      </c>
      <c r="N203">
        <v>5</v>
      </c>
      <c r="O203">
        <v>147</v>
      </c>
      <c r="P203" t="s">
        <v>23</v>
      </c>
    </row>
    <row r="204" spans="1:16" x14ac:dyDescent="0.25">
      <c r="A204">
        <v>329200</v>
      </c>
      <c r="B204" t="s">
        <v>1388</v>
      </c>
      <c r="C204" t="s">
        <v>1389</v>
      </c>
      <c r="D204" t="s">
        <v>1380</v>
      </c>
      <c r="E204" s="1">
        <v>6095</v>
      </c>
      <c r="F204" s="15" t="s">
        <v>1390</v>
      </c>
      <c r="G204" t="s">
        <v>1391</v>
      </c>
      <c r="H204" t="s">
        <v>22</v>
      </c>
      <c r="I204" s="2">
        <v>6001</v>
      </c>
      <c r="J204" t="s">
        <v>30</v>
      </c>
      <c r="K204">
        <v>3</v>
      </c>
      <c r="L204">
        <v>2</v>
      </c>
      <c r="M204">
        <v>2</v>
      </c>
      <c r="N204">
        <v>1</v>
      </c>
      <c r="O204">
        <v>8</v>
      </c>
      <c r="P204" t="s">
        <v>23</v>
      </c>
    </row>
    <row r="205" spans="1:16" x14ac:dyDescent="0.25">
      <c r="A205">
        <v>329204</v>
      </c>
      <c r="B205" t="s">
        <v>1392</v>
      </c>
      <c r="C205" t="s">
        <v>1389</v>
      </c>
      <c r="D205" t="s">
        <v>1380</v>
      </c>
      <c r="E205" s="1">
        <v>6095</v>
      </c>
      <c r="F205" s="15" t="s">
        <v>414</v>
      </c>
      <c r="G205" t="s">
        <v>1393</v>
      </c>
      <c r="H205" t="s">
        <v>22</v>
      </c>
      <c r="I205" s="2">
        <v>6001</v>
      </c>
      <c r="J205" t="s">
        <v>30</v>
      </c>
      <c r="K205">
        <v>6</v>
      </c>
      <c r="L205">
        <v>6</v>
      </c>
      <c r="M205">
        <v>4</v>
      </c>
      <c r="N205">
        <v>5</v>
      </c>
      <c r="O205">
        <v>21</v>
      </c>
      <c r="P205" t="s">
        <v>23</v>
      </c>
    </row>
    <row r="206" spans="1:16" x14ac:dyDescent="0.25">
      <c r="A206">
        <v>333100</v>
      </c>
      <c r="B206" t="s">
        <v>1394</v>
      </c>
      <c r="C206" t="s">
        <v>1389</v>
      </c>
      <c r="D206" t="s">
        <v>1380</v>
      </c>
      <c r="E206" s="1">
        <v>6095</v>
      </c>
      <c r="F206" s="15" t="s">
        <v>416</v>
      </c>
      <c r="G206" t="s">
        <v>1395</v>
      </c>
      <c r="H206" t="s">
        <v>22</v>
      </c>
      <c r="I206" s="2">
        <v>6001</v>
      </c>
      <c r="J206" t="s">
        <v>30</v>
      </c>
      <c r="K206">
        <v>32</v>
      </c>
      <c r="L206">
        <v>34</v>
      </c>
      <c r="M206">
        <v>42</v>
      </c>
      <c r="N206">
        <v>35</v>
      </c>
      <c r="O206">
        <v>143</v>
      </c>
      <c r="P206" t="s">
        <v>23</v>
      </c>
    </row>
    <row r="207" spans="1:16" x14ac:dyDescent="0.25">
      <c r="A207">
        <v>329211</v>
      </c>
      <c r="B207" t="s">
        <v>1396</v>
      </c>
      <c r="C207" t="s">
        <v>1389</v>
      </c>
      <c r="D207" t="s">
        <v>1380</v>
      </c>
      <c r="E207" s="1">
        <v>6095</v>
      </c>
      <c r="F207" s="15" t="s">
        <v>421</v>
      </c>
      <c r="G207" t="s">
        <v>1397</v>
      </c>
      <c r="H207" t="s">
        <v>22</v>
      </c>
      <c r="I207" s="2">
        <v>6001</v>
      </c>
      <c r="J207" t="s">
        <v>30</v>
      </c>
      <c r="K207">
        <v>94</v>
      </c>
      <c r="L207">
        <v>241</v>
      </c>
      <c r="M207">
        <v>221</v>
      </c>
      <c r="N207">
        <v>46</v>
      </c>
      <c r="O207">
        <v>602</v>
      </c>
      <c r="P207" t="s">
        <v>23</v>
      </c>
    </row>
    <row r="208" spans="1:16" x14ac:dyDescent="0.25">
      <c r="A208">
        <v>329214</v>
      </c>
      <c r="B208" t="s">
        <v>1398</v>
      </c>
      <c r="C208" t="s">
        <v>1389</v>
      </c>
      <c r="D208" t="s">
        <v>1380</v>
      </c>
      <c r="E208" s="1">
        <v>6095</v>
      </c>
      <c r="F208" s="15" t="s">
        <v>421</v>
      </c>
      <c r="G208" t="s">
        <v>1399</v>
      </c>
      <c r="H208" t="s">
        <v>22</v>
      </c>
      <c r="I208" s="2">
        <v>6001</v>
      </c>
      <c r="J208" t="s">
        <v>30</v>
      </c>
      <c r="K208">
        <v>66</v>
      </c>
      <c r="L208">
        <v>88</v>
      </c>
      <c r="M208">
        <v>21</v>
      </c>
      <c r="N208">
        <v>18</v>
      </c>
      <c r="O208">
        <v>193</v>
      </c>
      <c r="P208" t="s">
        <v>23</v>
      </c>
    </row>
    <row r="209" spans="1:16" x14ac:dyDescent="0.25">
      <c r="A209">
        <v>329175</v>
      </c>
      <c r="B209" t="s">
        <v>1465</v>
      </c>
      <c r="C209" t="s">
        <v>1466</v>
      </c>
      <c r="D209" t="s">
        <v>18</v>
      </c>
      <c r="E209" s="1" t="s">
        <v>1467</v>
      </c>
      <c r="F209" s="15" t="s">
        <v>1466</v>
      </c>
      <c r="G209" t="s">
        <v>1475</v>
      </c>
      <c r="H209" t="s">
        <v>22</v>
      </c>
      <c r="I209" s="2">
        <v>6001</v>
      </c>
      <c r="J209" t="s">
        <v>1447</v>
      </c>
      <c r="K209">
        <v>28</v>
      </c>
      <c r="L209">
        <v>67</v>
      </c>
      <c r="M209">
        <v>49</v>
      </c>
      <c r="N209">
        <v>20</v>
      </c>
      <c r="O209">
        <v>164</v>
      </c>
      <c r="P209" t="s">
        <v>23</v>
      </c>
    </row>
    <row r="210" spans="1:16" x14ac:dyDescent="0.25">
      <c r="A210">
        <v>333083</v>
      </c>
      <c r="B210" t="s">
        <v>1452</v>
      </c>
      <c r="C210" t="s">
        <v>1445</v>
      </c>
      <c r="D210" t="s">
        <v>18</v>
      </c>
      <c r="E210" s="1" t="s">
        <v>35</v>
      </c>
      <c r="F210" s="15" t="s">
        <v>1466</v>
      </c>
      <c r="G210" t="s">
        <v>1476</v>
      </c>
      <c r="H210" t="s">
        <v>22</v>
      </c>
      <c r="I210" s="2">
        <v>6001</v>
      </c>
      <c r="J210" t="s">
        <v>1447</v>
      </c>
      <c r="K210">
        <v>47</v>
      </c>
      <c r="L210">
        <v>593</v>
      </c>
      <c r="M210">
        <v>584</v>
      </c>
      <c r="N210">
        <v>0</v>
      </c>
      <c r="O210">
        <v>1224</v>
      </c>
      <c r="P210" t="s">
        <v>470</v>
      </c>
    </row>
    <row r="211" spans="1:16" x14ac:dyDescent="0.25">
      <c r="A211">
        <v>333145</v>
      </c>
      <c r="B211" t="s">
        <v>505</v>
      </c>
      <c r="C211" t="s">
        <v>506</v>
      </c>
      <c r="D211" t="s">
        <v>18</v>
      </c>
      <c r="E211" s="1" t="s">
        <v>507</v>
      </c>
      <c r="F211" s="15" t="s">
        <v>508</v>
      </c>
      <c r="G211" t="s">
        <v>509</v>
      </c>
      <c r="H211" t="s">
        <v>22</v>
      </c>
      <c r="I211" s="2">
        <v>6001</v>
      </c>
      <c r="J211" t="s">
        <v>30</v>
      </c>
      <c r="K211">
        <v>31</v>
      </c>
      <c r="L211">
        <v>89</v>
      </c>
      <c r="M211">
        <v>53</v>
      </c>
      <c r="N211">
        <v>21</v>
      </c>
      <c r="O211">
        <v>194</v>
      </c>
      <c r="P211" t="s">
        <v>23</v>
      </c>
    </row>
    <row r="212" spans="1:16" x14ac:dyDescent="0.25">
      <c r="A212">
        <v>339263</v>
      </c>
      <c r="B212" t="s">
        <v>510</v>
      </c>
      <c r="C212" t="s">
        <v>511</v>
      </c>
      <c r="D212" t="s">
        <v>18</v>
      </c>
      <c r="E212" s="1">
        <v>6001</v>
      </c>
      <c r="F212" s="15" t="s">
        <v>512</v>
      </c>
      <c r="G212" t="s">
        <v>513</v>
      </c>
      <c r="H212" t="s">
        <v>22</v>
      </c>
      <c r="I212" s="2">
        <v>6001</v>
      </c>
      <c r="J212" t="s">
        <v>30</v>
      </c>
      <c r="K212">
        <v>29</v>
      </c>
      <c r="L212">
        <v>104</v>
      </c>
      <c r="M212">
        <v>51</v>
      </c>
      <c r="N212">
        <v>12</v>
      </c>
      <c r="O212">
        <v>196</v>
      </c>
      <c r="P212" t="s">
        <v>23</v>
      </c>
    </row>
    <row r="213" spans="1:16" x14ac:dyDescent="0.25">
      <c r="A213">
        <v>333144</v>
      </c>
      <c r="B213" t="s">
        <v>514</v>
      </c>
      <c r="C213" t="s">
        <v>506</v>
      </c>
      <c r="D213" t="s">
        <v>18</v>
      </c>
      <c r="E213" s="1" t="s">
        <v>507</v>
      </c>
      <c r="F213" s="15" t="s">
        <v>515</v>
      </c>
      <c r="G213" t="s">
        <v>516</v>
      </c>
      <c r="H213" t="s">
        <v>22</v>
      </c>
      <c r="I213" s="2">
        <v>6001</v>
      </c>
      <c r="J213" t="s">
        <v>30</v>
      </c>
      <c r="K213">
        <v>44</v>
      </c>
      <c r="L213">
        <v>69</v>
      </c>
      <c r="M213">
        <v>35</v>
      </c>
      <c r="N213">
        <v>19</v>
      </c>
      <c r="O213">
        <v>167</v>
      </c>
      <c r="P213" t="s">
        <v>23</v>
      </c>
    </row>
    <row r="214" spans="1:16" x14ac:dyDescent="0.25">
      <c r="A214">
        <v>333146</v>
      </c>
      <c r="B214" t="s">
        <v>517</v>
      </c>
      <c r="C214" t="s">
        <v>506</v>
      </c>
      <c r="D214" t="s">
        <v>18</v>
      </c>
      <c r="E214" s="1" t="s">
        <v>507</v>
      </c>
      <c r="F214" s="15" t="s">
        <v>518</v>
      </c>
      <c r="G214" t="s">
        <v>519</v>
      </c>
      <c r="H214" t="s">
        <v>22</v>
      </c>
      <c r="I214" s="2">
        <v>6001</v>
      </c>
      <c r="J214" t="s">
        <v>30</v>
      </c>
      <c r="K214">
        <v>9</v>
      </c>
      <c r="L214">
        <v>23</v>
      </c>
      <c r="M214">
        <v>49</v>
      </c>
      <c r="N214">
        <v>19</v>
      </c>
      <c r="O214">
        <v>100</v>
      </c>
      <c r="P214" t="s">
        <v>23</v>
      </c>
    </row>
    <row r="215" spans="1:16" x14ac:dyDescent="0.25">
      <c r="A215">
        <v>328559</v>
      </c>
      <c r="B215" t="s">
        <v>520</v>
      </c>
      <c r="C215" t="s">
        <v>521</v>
      </c>
      <c r="D215" t="s">
        <v>18</v>
      </c>
      <c r="E215" s="1" t="s">
        <v>522</v>
      </c>
      <c r="F215" s="15" t="s">
        <v>523</v>
      </c>
      <c r="G215" t="s">
        <v>524</v>
      </c>
      <c r="H215" t="s">
        <v>22</v>
      </c>
      <c r="I215" s="2">
        <v>6001</v>
      </c>
      <c r="J215" t="s">
        <v>30</v>
      </c>
      <c r="K215">
        <v>4</v>
      </c>
      <c r="L215">
        <v>6</v>
      </c>
      <c r="M215">
        <v>6</v>
      </c>
      <c r="N215">
        <v>5</v>
      </c>
      <c r="O215">
        <v>21</v>
      </c>
      <c r="P215" t="s">
        <v>23</v>
      </c>
    </row>
    <row r="216" spans="1:16" x14ac:dyDescent="0.25">
      <c r="A216">
        <v>344160</v>
      </c>
      <c r="B216" t="s">
        <v>799</v>
      </c>
      <c r="C216" t="s">
        <v>800</v>
      </c>
      <c r="D216" t="s">
        <v>796</v>
      </c>
      <c r="E216" s="1" t="s">
        <v>801</v>
      </c>
      <c r="F216" s="15" t="s">
        <v>388</v>
      </c>
      <c r="G216" t="s">
        <v>802</v>
      </c>
      <c r="H216" t="s">
        <v>22</v>
      </c>
      <c r="I216" s="2">
        <v>6001</v>
      </c>
      <c r="J216" t="s">
        <v>30</v>
      </c>
      <c r="K216">
        <v>0</v>
      </c>
      <c r="L216">
        <v>0</v>
      </c>
      <c r="M216">
        <v>1</v>
      </c>
      <c r="N216">
        <v>0</v>
      </c>
      <c r="O216">
        <v>1</v>
      </c>
      <c r="P216" t="s">
        <v>23</v>
      </c>
    </row>
    <row r="217" spans="1:16" x14ac:dyDescent="0.25">
      <c r="A217">
        <v>363519</v>
      </c>
      <c r="B217" t="s">
        <v>803</v>
      </c>
      <c r="C217" t="s">
        <v>804</v>
      </c>
      <c r="D217" t="s">
        <v>796</v>
      </c>
      <c r="E217" s="1">
        <v>6019</v>
      </c>
      <c r="F217" s="15" t="s">
        <v>497</v>
      </c>
      <c r="G217" t="s">
        <v>498</v>
      </c>
      <c r="H217" t="s">
        <v>22</v>
      </c>
      <c r="I217" s="2">
        <v>6001</v>
      </c>
      <c r="J217" t="s">
        <v>30</v>
      </c>
      <c r="K217">
        <v>0</v>
      </c>
      <c r="L217">
        <v>0</v>
      </c>
      <c r="M217">
        <v>1</v>
      </c>
      <c r="N217">
        <v>0</v>
      </c>
      <c r="O217">
        <v>1</v>
      </c>
      <c r="P217" t="s">
        <v>805</v>
      </c>
    </row>
    <row r="218" spans="1:16" s="9" customFormat="1" x14ac:dyDescent="0.25">
      <c r="A218" s="9">
        <v>333147</v>
      </c>
      <c r="B218" s="9" t="s">
        <v>1317</v>
      </c>
      <c r="C218" s="9" t="s">
        <v>1318</v>
      </c>
      <c r="D218" s="9" t="s">
        <v>1313</v>
      </c>
      <c r="E218" s="10" t="s">
        <v>1319</v>
      </c>
      <c r="F218" s="9" t="s">
        <v>1320</v>
      </c>
      <c r="G218" s="9" t="s">
        <v>1321</v>
      </c>
      <c r="H218" s="9" t="s">
        <v>22</v>
      </c>
      <c r="I218" s="11">
        <v>6001</v>
      </c>
      <c r="J218" s="9" t="s">
        <v>30</v>
      </c>
      <c r="K218" s="9">
        <v>29</v>
      </c>
      <c r="L218" s="9">
        <v>40</v>
      </c>
      <c r="M218" s="9">
        <v>34</v>
      </c>
      <c r="N218" s="9">
        <v>41</v>
      </c>
      <c r="O218" s="9">
        <v>144</v>
      </c>
      <c r="P218" s="9" t="s">
        <v>23</v>
      </c>
    </row>
    <row r="219" spans="1:16" x14ac:dyDescent="0.25">
      <c r="A219">
        <v>336812</v>
      </c>
      <c r="B219" t="s">
        <v>1322</v>
      </c>
      <c r="C219" t="s">
        <v>1323</v>
      </c>
      <c r="D219" t="s">
        <v>1324</v>
      </c>
      <c r="E219" s="1" t="s">
        <v>1325</v>
      </c>
      <c r="F219" s="15" t="s">
        <v>1326</v>
      </c>
      <c r="G219" t="s">
        <v>1327</v>
      </c>
      <c r="H219" t="s">
        <v>22</v>
      </c>
      <c r="I219" s="2">
        <v>6001</v>
      </c>
      <c r="J219" t="s">
        <v>30</v>
      </c>
      <c r="K219">
        <v>12</v>
      </c>
      <c r="L219">
        <v>70</v>
      </c>
      <c r="M219">
        <v>23</v>
      </c>
      <c r="N219">
        <v>17</v>
      </c>
      <c r="O219">
        <v>122</v>
      </c>
      <c r="P219" t="s">
        <v>23</v>
      </c>
    </row>
    <row r="220" spans="1:16" x14ac:dyDescent="0.25">
      <c r="A220">
        <v>333314</v>
      </c>
      <c r="B220" t="s">
        <v>1477</v>
      </c>
      <c r="C220" t="s">
        <v>1466</v>
      </c>
      <c r="D220" t="s">
        <v>18</v>
      </c>
      <c r="E220" s="1" t="s">
        <v>1467</v>
      </c>
      <c r="F220" s="15" t="s">
        <v>1478</v>
      </c>
      <c r="G220" t="s">
        <v>1479</v>
      </c>
      <c r="H220" t="s">
        <v>22</v>
      </c>
      <c r="I220" s="2">
        <v>6001</v>
      </c>
      <c r="J220" t="s">
        <v>1447</v>
      </c>
      <c r="K220">
        <v>114</v>
      </c>
      <c r="L220">
        <v>67</v>
      </c>
      <c r="M220">
        <v>62</v>
      </c>
      <c r="N220">
        <v>43</v>
      </c>
      <c r="O220">
        <v>286</v>
      </c>
      <c r="P220" t="s">
        <v>23</v>
      </c>
    </row>
    <row r="221" spans="1:16" x14ac:dyDescent="0.25">
      <c r="A221">
        <v>333315</v>
      </c>
      <c r="B221" t="s">
        <v>1477</v>
      </c>
      <c r="C221" t="s">
        <v>1466</v>
      </c>
      <c r="D221" t="s">
        <v>18</v>
      </c>
      <c r="E221" s="1" t="s">
        <v>1467</v>
      </c>
      <c r="F221" s="15" t="s">
        <v>1478</v>
      </c>
      <c r="G221" t="s">
        <v>1480</v>
      </c>
      <c r="H221" t="s">
        <v>22</v>
      </c>
      <c r="I221" s="2">
        <v>6001</v>
      </c>
      <c r="J221" t="s">
        <v>1447</v>
      </c>
      <c r="K221">
        <v>141</v>
      </c>
      <c r="L221">
        <v>72</v>
      </c>
      <c r="M221">
        <v>82</v>
      </c>
      <c r="N221">
        <v>59</v>
      </c>
      <c r="O221">
        <v>354</v>
      </c>
      <c r="P221" t="s">
        <v>23</v>
      </c>
    </row>
    <row r="222" spans="1:16" x14ac:dyDescent="0.25">
      <c r="A222">
        <v>333316</v>
      </c>
      <c r="B222" t="s">
        <v>1481</v>
      </c>
      <c r="C222" t="s">
        <v>1466</v>
      </c>
      <c r="D222" t="s">
        <v>18</v>
      </c>
      <c r="E222" s="1" t="s">
        <v>1467</v>
      </c>
      <c r="F222" s="15" t="s">
        <v>1478</v>
      </c>
      <c r="G222" t="s">
        <v>1482</v>
      </c>
      <c r="H222" t="s">
        <v>22</v>
      </c>
      <c r="I222" s="2">
        <v>6001</v>
      </c>
      <c r="J222" t="s">
        <v>1447</v>
      </c>
      <c r="K222">
        <v>0</v>
      </c>
      <c r="L222">
        <v>404</v>
      </c>
      <c r="M222">
        <v>166</v>
      </c>
      <c r="N222">
        <v>0</v>
      </c>
      <c r="O222">
        <v>570</v>
      </c>
      <c r="P222" t="s">
        <v>23</v>
      </c>
    </row>
    <row r="223" spans="1:16" x14ac:dyDescent="0.25">
      <c r="A223">
        <v>329167</v>
      </c>
      <c r="B223" t="s">
        <v>529</v>
      </c>
      <c r="C223" t="s">
        <v>530</v>
      </c>
      <c r="D223" t="s">
        <v>18</v>
      </c>
      <c r="E223" s="1">
        <v>6001</v>
      </c>
      <c r="F223" s="15" t="s">
        <v>531</v>
      </c>
      <c r="G223" t="s">
        <v>532</v>
      </c>
      <c r="H223" t="s">
        <v>22</v>
      </c>
      <c r="I223" s="2">
        <v>6001</v>
      </c>
      <c r="J223" t="s">
        <v>30</v>
      </c>
      <c r="K223">
        <v>0</v>
      </c>
      <c r="L223">
        <v>1</v>
      </c>
      <c r="M223">
        <v>0</v>
      </c>
      <c r="N223">
        <v>1</v>
      </c>
      <c r="O223">
        <v>2</v>
      </c>
      <c r="P223" t="s">
        <v>23</v>
      </c>
    </row>
    <row r="224" spans="1:16" x14ac:dyDescent="0.25">
      <c r="A224">
        <v>328739</v>
      </c>
      <c r="B224" t="s">
        <v>533</v>
      </c>
      <c r="C224" t="s">
        <v>534</v>
      </c>
      <c r="D224" t="s">
        <v>18</v>
      </c>
      <c r="E224" s="1">
        <v>6001</v>
      </c>
      <c r="F224" s="15" t="s">
        <v>534</v>
      </c>
      <c r="G224" t="s">
        <v>535</v>
      </c>
      <c r="H224" t="s">
        <v>22</v>
      </c>
      <c r="I224" s="2">
        <v>6001</v>
      </c>
      <c r="J224" t="s">
        <v>30</v>
      </c>
      <c r="K224">
        <v>14</v>
      </c>
      <c r="L224">
        <v>61</v>
      </c>
      <c r="M224">
        <v>23</v>
      </c>
      <c r="N224">
        <v>9</v>
      </c>
      <c r="O224">
        <v>107</v>
      </c>
      <c r="P224" t="s">
        <v>23</v>
      </c>
    </row>
    <row r="225" spans="1:16" s="9" customFormat="1" x14ac:dyDescent="0.25">
      <c r="A225" s="9">
        <v>328736</v>
      </c>
      <c r="B225" s="9" t="s">
        <v>536</v>
      </c>
      <c r="C225" s="9" t="s">
        <v>537</v>
      </c>
      <c r="D225" s="9" t="s">
        <v>18</v>
      </c>
      <c r="E225" s="10" t="s">
        <v>413</v>
      </c>
      <c r="F225" s="9" t="s">
        <v>537</v>
      </c>
      <c r="G225" s="9" t="s">
        <v>538</v>
      </c>
      <c r="H225" s="9" t="s">
        <v>22</v>
      </c>
      <c r="I225" s="11">
        <v>6001</v>
      </c>
      <c r="J225" s="9" t="s">
        <v>30</v>
      </c>
      <c r="K225" s="9">
        <v>1</v>
      </c>
      <c r="L225" s="9">
        <v>1</v>
      </c>
      <c r="M225" s="9">
        <v>1</v>
      </c>
      <c r="N225" s="9">
        <v>1</v>
      </c>
      <c r="O225" s="9">
        <v>4</v>
      </c>
      <c r="P225" s="9" t="s">
        <v>23</v>
      </c>
    </row>
    <row r="226" spans="1:16" x14ac:dyDescent="0.25">
      <c r="A226">
        <v>328742</v>
      </c>
      <c r="B226" t="s">
        <v>539</v>
      </c>
      <c r="C226" t="s">
        <v>540</v>
      </c>
      <c r="D226" t="s">
        <v>18</v>
      </c>
      <c r="E226" s="1" t="s">
        <v>541</v>
      </c>
      <c r="F226" s="15" t="s">
        <v>540</v>
      </c>
      <c r="G226" t="s">
        <v>542</v>
      </c>
      <c r="H226" t="s">
        <v>22</v>
      </c>
      <c r="I226" s="2">
        <v>6001</v>
      </c>
      <c r="J226" t="s">
        <v>30</v>
      </c>
      <c r="K226">
        <v>15</v>
      </c>
      <c r="L226">
        <v>90</v>
      </c>
      <c r="M226">
        <v>45</v>
      </c>
      <c r="N226">
        <v>3</v>
      </c>
      <c r="O226">
        <v>153</v>
      </c>
      <c r="P226" t="s">
        <v>23</v>
      </c>
    </row>
    <row r="227" spans="1:16" x14ac:dyDescent="0.25">
      <c r="A227">
        <v>328737</v>
      </c>
      <c r="B227" t="s">
        <v>543</v>
      </c>
      <c r="C227" t="s">
        <v>544</v>
      </c>
      <c r="D227" t="s">
        <v>18</v>
      </c>
      <c r="E227" s="1" t="s">
        <v>545</v>
      </c>
      <c r="F227" s="15" t="s">
        <v>546</v>
      </c>
      <c r="G227" t="s">
        <v>547</v>
      </c>
      <c r="H227" t="s">
        <v>22</v>
      </c>
      <c r="I227" s="2">
        <v>6001</v>
      </c>
      <c r="J227" t="s">
        <v>30</v>
      </c>
      <c r="K227">
        <v>6</v>
      </c>
      <c r="L227">
        <v>7</v>
      </c>
      <c r="M227">
        <v>12</v>
      </c>
      <c r="N227">
        <v>62</v>
      </c>
      <c r="O227">
        <v>87</v>
      </c>
      <c r="P227" t="s">
        <v>23</v>
      </c>
    </row>
    <row r="228" spans="1:16" x14ac:dyDescent="0.25">
      <c r="A228">
        <v>358270</v>
      </c>
      <c r="B228" t="s">
        <v>548</v>
      </c>
      <c r="C228" t="s">
        <v>506</v>
      </c>
      <c r="D228" t="s">
        <v>18</v>
      </c>
      <c r="E228" s="1" t="s">
        <v>549</v>
      </c>
      <c r="F228" s="15" t="s">
        <v>550</v>
      </c>
      <c r="G228" t="s">
        <v>551</v>
      </c>
      <c r="H228" t="s">
        <v>22</v>
      </c>
      <c r="I228" s="2">
        <v>6001</v>
      </c>
      <c r="J228" t="s">
        <v>30</v>
      </c>
      <c r="K228">
        <v>9</v>
      </c>
      <c r="L228">
        <v>191</v>
      </c>
      <c r="M228">
        <v>90</v>
      </c>
      <c r="N228">
        <v>0</v>
      </c>
      <c r="O228">
        <v>290</v>
      </c>
      <c r="P228" t="s">
        <v>23</v>
      </c>
    </row>
    <row r="229" spans="1:16" x14ac:dyDescent="0.25">
      <c r="A229">
        <v>358269</v>
      </c>
      <c r="B229" t="s">
        <v>548</v>
      </c>
      <c r="C229" t="s">
        <v>506</v>
      </c>
      <c r="D229" t="s">
        <v>18</v>
      </c>
      <c r="E229" s="1" t="s">
        <v>549</v>
      </c>
      <c r="F229" s="15" t="s">
        <v>552</v>
      </c>
      <c r="G229" t="s">
        <v>553</v>
      </c>
      <c r="H229" t="s">
        <v>22</v>
      </c>
      <c r="I229" s="2">
        <v>6001</v>
      </c>
      <c r="J229" t="s">
        <v>30</v>
      </c>
      <c r="K229">
        <v>39</v>
      </c>
      <c r="L229">
        <v>238</v>
      </c>
      <c r="M229">
        <v>117</v>
      </c>
      <c r="N229">
        <v>32</v>
      </c>
      <c r="O229">
        <v>426</v>
      </c>
      <c r="P229" t="s">
        <v>23</v>
      </c>
    </row>
    <row r="230" spans="1:16" x14ac:dyDescent="0.25">
      <c r="A230">
        <v>329168</v>
      </c>
      <c r="B230" t="s">
        <v>994</v>
      </c>
      <c r="C230" t="s">
        <v>985</v>
      </c>
      <c r="D230" t="s">
        <v>986</v>
      </c>
      <c r="E230" s="1">
        <v>2919</v>
      </c>
      <c r="F230" s="15" t="s">
        <v>1031</v>
      </c>
      <c r="G230" t="s">
        <v>1032</v>
      </c>
      <c r="H230" t="s">
        <v>22</v>
      </c>
      <c r="I230" s="2">
        <v>6001</v>
      </c>
      <c r="J230" t="s">
        <v>30</v>
      </c>
      <c r="K230">
        <v>4</v>
      </c>
      <c r="L230">
        <v>4</v>
      </c>
      <c r="M230">
        <v>4</v>
      </c>
      <c r="N230">
        <v>3</v>
      </c>
      <c r="O230">
        <v>15</v>
      </c>
      <c r="P230" t="s">
        <v>23</v>
      </c>
    </row>
    <row r="231" spans="1:16" x14ac:dyDescent="0.25">
      <c r="A231">
        <v>329166</v>
      </c>
      <c r="B231" t="s">
        <v>984</v>
      </c>
      <c r="C231" t="s">
        <v>985</v>
      </c>
      <c r="D231" t="s">
        <v>986</v>
      </c>
      <c r="E231" s="1">
        <v>2919</v>
      </c>
      <c r="F231" s="15" t="s">
        <v>1033</v>
      </c>
      <c r="G231" t="s">
        <v>1034</v>
      </c>
      <c r="H231" t="s">
        <v>22</v>
      </c>
      <c r="I231" s="2">
        <v>6001</v>
      </c>
      <c r="J231" t="s">
        <v>30</v>
      </c>
      <c r="K231">
        <v>1</v>
      </c>
      <c r="L231">
        <v>1</v>
      </c>
      <c r="M231">
        <v>1</v>
      </c>
      <c r="N231">
        <v>0</v>
      </c>
      <c r="O231">
        <v>3</v>
      </c>
      <c r="P231" t="s">
        <v>23</v>
      </c>
    </row>
    <row r="232" spans="1:16" x14ac:dyDescent="0.25">
      <c r="A232">
        <v>328740</v>
      </c>
      <c r="B232" t="s">
        <v>1328</v>
      </c>
      <c r="C232" t="s">
        <v>1329</v>
      </c>
      <c r="D232" t="s">
        <v>1324</v>
      </c>
      <c r="E232" s="1" t="s">
        <v>1330</v>
      </c>
      <c r="F232" s="15" t="s">
        <v>1331</v>
      </c>
      <c r="G232" t="s">
        <v>1332</v>
      </c>
      <c r="H232" t="s">
        <v>22</v>
      </c>
      <c r="I232" s="2">
        <v>6001</v>
      </c>
      <c r="J232" t="s">
        <v>30</v>
      </c>
      <c r="K232">
        <v>17</v>
      </c>
      <c r="L232">
        <v>11</v>
      </c>
      <c r="M232">
        <v>8</v>
      </c>
      <c r="N232">
        <v>15</v>
      </c>
      <c r="O232">
        <v>51</v>
      </c>
      <c r="P232" t="s">
        <v>23</v>
      </c>
    </row>
    <row r="233" spans="1:16" x14ac:dyDescent="0.25">
      <c r="A233">
        <v>333039</v>
      </c>
      <c r="B233" t="s">
        <v>951</v>
      </c>
      <c r="C233" t="s">
        <v>945</v>
      </c>
      <c r="D233" t="s">
        <v>946</v>
      </c>
      <c r="E233" s="1" t="s">
        <v>947</v>
      </c>
      <c r="F233" s="15" t="s">
        <v>952</v>
      </c>
      <c r="G233" t="s">
        <v>953</v>
      </c>
      <c r="H233" t="s">
        <v>22</v>
      </c>
      <c r="I233" s="2">
        <v>6001</v>
      </c>
      <c r="J233" t="s">
        <v>30</v>
      </c>
      <c r="K233">
        <v>187</v>
      </c>
      <c r="L233">
        <v>102</v>
      </c>
      <c r="M233">
        <v>145</v>
      </c>
      <c r="N233">
        <v>137</v>
      </c>
      <c r="O233">
        <v>571</v>
      </c>
      <c r="P233" t="s">
        <v>23</v>
      </c>
    </row>
    <row r="234" spans="1:16" x14ac:dyDescent="0.25">
      <c r="A234">
        <v>336122</v>
      </c>
      <c r="B234" t="s">
        <v>16</v>
      </c>
      <c r="C234" t="s">
        <v>17</v>
      </c>
      <c r="D234" t="s">
        <v>18</v>
      </c>
      <c r="E234" s="1" t="s">
        <v>19</v>
      </c>
      <c r="F234" s="15" t="s">
        <v>20</v>
      </c>
      <c r="G234" t="s">
        <v>21</v>
      </c>
      <c r="H234" t="s">
        <v>22</v>
      </c>
      <c r="I234" s="2">
        <v>6001</v>
      </c>
      <c r="J234" t="s">
        <v>1447</v>
      </c>
      <c r="K234">
        <v>0</v>
      </c>
      <c r="L234">
        <v>50</v>
      </c>
      <c r="M234">
        <v>14</v>
      </c>
      <c r="N234">
        <v>0</v>
      </c>
      <c r="O234">
        <v>64</v>
      </c>
      <c r="P234" t="s">
        <v>23</v>
      </c>
    </row>
    <row r="235" spans="1:16" x14ac:dyDescent="0.25">
      <c r="A235">
        <v>333230</v>
      </c>
      <c r="B235" t="s">
        <v>24</v>
      </c>
      <c r="C235" t="s">
        <v>25</v>
      </c>
      <c r="D235" t="s">
        <v>26</v>
      </c>
      <c r="E235" s="1" t="s">
        <v>27</v>
      </c>
      <c r="F235" s="15" t="s">
        <v>28</v>
      </c>
      <c r="G235" t="s">
        <v>29</v>
      </c>
      <c r="H235" t="s">
        <v>22</v>
      </c>
      <c r="I235" s="2">
        <v>6001</v>
      </c>
      <c r="J235" t="s">
        <v>30</v>
      </c>
      <c r="K235">
        <v>144</v>
      </c>
      <c r="L235">
        <v>180</v>
      </c>
      <c r="M235">
        <v>151</v>
      </c>
      <c r="N235">
        <v>152</v>
      </c>
      <c r="O235">
        <v>627</v>
      </c>
      <c r="P235" t="s">
        <v>23</v>
      </c>
    </row>
    <row r="236" spans="1:16" x14ac:dyDescent="0.25">
      <c r="A236">
        <v>333559</v>
      </c>
      <c r="B236" t="s">
        <v>24</v>
      </c>
      <c r="C236" t="s">
        <v>25</v>
      </c>
      <c r="D236" t="s">
        <v>26</v>
      </c>
      <c r="E236" s="1" t="s">
        <v>27</v>
      </c>
      <c r="F236" s="15" t="s">
        <v>31</v>
      </c>
      <c r="G236" t="s">
        <v>32</v>
      </c>
      <c r="H236" t="s">
        <v>22</v>
      </c>
      <c r="I236" s="2">
        <v>6001</v>
      </c>
      <c r="J236" t="s">
        <v>30</v>
      </c>
      <c r="K236">
        <v>2009</v>
      </c>
      <c r="L236">
        <v>2289</v>
      </c>
      <c r="M236">
        <v>2413</v>
      </c>
      <c r="N236">
        <v>2117</v>
      </c>
      <c r="O236">
        <v>8828</v>
      </c>
      <c r="P236" t="s">
        <v>23</v>
      </c>
    </row>
    <row r="237" spans="1:16" x14ac:dyDescent="0.25">
      <c r="A237">
        <v>333557</v>
      </c>
      <c r="B237" t="s">
        <v>525</v>
      </c>
      <c r="C237" t="s">
        <v>526</v>
      </c>
      <c r="D237" t="s">
        <v>18</v>
      </c>
      <c r="E237" s="1">
        <v>6001</v>
      </c>
      <c r="F237" s="15" t="s">
        <v>527</v>
      </c>
      <c r="G237" t="s">
        <v>528</v>
      </c>
      <c r="H237" t="s">
        <v>22</v>
      </c>
      <c r="I237" s="2">
        <v>6001</v>
      </c>
      <c r="J237" t="s">
        <v>30</v>
      </c>
      <c r="K237">
        <v>15</v>
      </c>
      <c r="L237">
        <v>71</v>
      </c>
      <c r="M237">
        <v>34</v>
      </c>
      <c r="N237">
        <v>13</v>
      </c>
      <c r="O237">
        <v>133</v>
      </c>
      <c r="P237" t="s">
        <v>23</v>
      </c>
    </row>
    <row r="238" spans="1:16" x14ac:dyDescent="0.25">
      <c r="A238">
        <v>328474</v>
      </c>
      <c r="B238" t="s">
        <v>617</v>
      </c>
      <c r="C238" t="s">
        <v>618</v>
      </c>
      <c r="D238" t="s">
        <v>18</v>
      </c>
      <c r="E238" s="1" t="s">
        <v>619</v>
      </c>
      <c r="F238" s="15" t="s">
        <v>620</v>
      </c>
      <c r="G238" t="s">
        <v>621</v>
      </c>
      <c r="H238" t="s">
        <v>22</v>
      </c>
      <c r="I238" s="2">
        <v>6001</v>
      </c>
      <c r="J238" t="s">
        <v>30</v>
      </c>
      <c r="K238">
        <v>2</v>
      </c>
      <c r="L238">
        <v>2</v>
      </c>
      <c r="M238">
        <v>2</v>
      </c>
      <c r="N238">
        <v>3</v>
      </c>
      <c r="O238">
        <v>9</v>
      </c>
      <c r="P238" t="s">
        <v>23</v>
      </c>
    </row>
    <row r="239" spans="1:16" x14ac:dyDescent="0.25">
      <c r="A239">
        <v>328503</v>
      </c>
      <c r="B239" t="s">
        <v>622</v>
      </c>
      <c r="C239" t="s">
        <v>623</v>
      </c>
      <c r="D239" t="s">
        <v>18</v>
      </c>
      <c r="E239" s="1" t="s">
        <v>624</v>
      </c>
      <c r="F239" s="15" t="s">
        <v>625</v>
      </c>
      <c r="G239" t="s">
        <v>626</v>
      </c>
      <c r="H239" t="s">
        <v>22</v>
      </c>
      <c r="I239" s="2">
        <v>6001</v>
      </c>
      <c r="J239" t="s">
        <v>30</v>
      </c>
      <c r="K239">
        <v>7</v>
      </c>
      <c r="L239">
        <v>5</v>
      </c>
      <c r="M239">
        <v>9</v>
      </c>
      <c r="N239">
        <v>7</v>
      </c>
      <c r="O239">
        <v>28</v>
      </c>
      <c r="P239" t="s">
        <v>23</v>
      </c>
    </row>
    <row r="240" spans="1:16" x14ac:dyDescent="0.25">
      <c r="A240">
        <v>328475</v>
      </c>
      <c r="B240" t="s">
        <v>627</v>
      </c>
      <c r="C240" t="s">
        <v>628</v>
      </c>
      <c r="D240" t="s">
        <v>18</v>
      </c>
      <c r="E240" s="1" t="s">
        <v>629</v>
      </c>
      <c r="F240" s="15" t="s">
        <v>630</v>
      </c>
      <c r="G240" t="s">
        <v>631</v>
      </c>
      <c r="H240" t="s">
        <v>22</v>
      </c>
      <c r="I240" s="2">
        <v>6001</v>
      </c>
      <c r="J240" t="s">
        <v>30</v>
      </c>
      <c r="K240">
        <v>25</v>
      </c>
      <c r="L240">
        <v>26</v>
      </c>
      <c r="M240">
        <v>25</v>
      </c>
      <c r="N240">
        <v>27</v>
      </c>
      <c r="O240">
        <v>103</v>
      </c>
      <c r="P240" t="s">
        <v>23</v>
      </c>
    </row>
    <row r="241" spans="1:16" x14ac:dyDescent="0.25">
      <c r="A241">
        <v>328478</v>
      </c>
      <c r="B241" t="s">
        <v>632</v>
      </c>
      <c r="C241" t="s">
        <v>633</v>
      </c>
      <c r="D241" t="s">
        <v>18</v>
      </c>
      <c r="E241" s="1" t="s">
        <v>634</v>
      </c>
      <c r="F241" s="15" t="s">
        <v>635</v>
      </c>
      <c r="G241" t="s">
        <v>636</v>
      </c>
      <c r="H241" t="s">
        <v>22</v>
      </c>
      <c r="I241" s="2">
        <v>6001</v>
      </c>
      <c r="J241" t="s">
        <v>30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637</v>
      </c>
    </row>
    <row r="242" spans="1:16" x14ac:dyDescent="0.25">
      <c r="A242">
        <v>328504</v>
      </c>
      <c r="B242" t="s">
        <v>638</v>
      </c>
      <c r="C242" t="s">
        <v>639</v>
      </c>
      <c r="D242" t="s">
        <v>18</v>
      </c>
      <c r="E242" s="1" t="s">
        <v>640</v>
      </c>
      <c r="F242" s="15" t="s">
        <v>641</v>
      </c>
      <c r="G242" t="s">
        <v>642</v>
      </c>
      <c r="H242" t="s">
        <v>22</v>
      </c>
      <c r="I242" s="2">
        <v>6001</v>
      </c>
      <c r="J242" t="s">
        <v>30</v>
      </c>
      <c r="K242">
        <v>3</v>
      </c>
      <c r="L242">
        <v>3</v>
      </c>
      <c r="M242">
        <v>3</v>
      </c>
      <c r="N242">
        <v>5</v>
      </c>
      <c r="O242">
        <v>14</v>
      </c>
      <c r="P242" t="s">
        <v>23</v>
      </c>
    </row>
    <row r="243" spans="1:16" x14ac:dyDescent="0.25">
      <c r="A243">
        <v>328479</v>
      </c>
      <c r="B243" t="s">
        <v>643</v>
      </c>
      <c r="C243" t="s">
        <v>644</v>
      </c>
      <c r="D243" t="s">
        <v>18</v>
      </c>
      <c r="E243" s="1" t="s">
        <v>344</v>
      </c>
      <c r="F243" s="15" t="s">
        <v>645</v>
      </c>
      <c r="G243" t="s">
        <v>646</v>
      </c>
      <c r="H243" t="s">
        <v>22</v>
      </c>
      <c r="I243" s="2">
        <v>6001</v>
      </c>
      <c r="J243" t="s">
        <v>30</v>
      </c>
      <c r="K243">
        <v>1</v>
      </c>
      <c r="L243">
        <v>1</v>
      </c>
      <c r="M243">
        <v>1</v>
      </c>
      <c r="N243">
        <v>1</v>
      </c>
      <c r="O243">
        <v>4</v>
      </c>
      <c r="P243" t="s">
        <v>23</v>
      </c>
    </row>
    <row r="244" spans="1:16" x14ac:dyDescent="0.25">
      <c r="A244">
        <v>333215</v>
      </c>
      <c r="B244" t="s">
        <v>647</v>
      </c>
      <c r="C244" t="s">
        <v>648</v>
      </c>
      <c r="D244" t="s">
        <v>18</v>
      </c>
      <c r="E244" s="1" t="s">
        <v>649</v>
      </c>
      <c r="F244" s="15" t="s">
        <v>650</v>
      </c>
      <c r="G244" t="s">
        <v>651</v>
      </c>
      <c r="H244" t="s">
        <v>22</v>
      </c>
      <c r="I244" s="2">
        <v>6001</v>
      </c>
      <c r="J244" t="s">
        <v>30</v>
      </c>
      <c r="K244">
        <v>3</v>
      </c>
      <c r="L244">
        <v>3</v>
      </c>
      <c r="M244">
        <v>5</v>
      </c>
      <c r="N244">
        <v>3</v>
      </c>
      <c r="O244">
        <v>14</v>
      </c>
      <c r="P244" t="s">
        <v>23</v>
      </c>
    </row>
    <row r="245" spans="1:16" x14ac:dyDescent="0.25">
      <c r="A245">
        <v>333216</v>
      </c>
      <c r="B245" t="s">
        <v>652</v>
      </c>
      <c r="C245" t="s">
        <v>653</v>
      </c>
      <c r="D245" t="s">
        <v>18</v>
      </c>
      <c r="E245" s="1">
        <v>6001</v>
      </c>
      <c r="F245" s="15" t="s">
        <v>653</v>
      </c>
      <c r="G245" t="s">
        <v>654</v>
      </c>
      <c r="H245" t="s">
        <v>22</v>
      </c>
      <c r="I245" s="2">
        <v>6001</v>
      </c>
      <c r="J245" t="s">
        <v>30</v>
      </c>
      <c r="K245">
        <v>343</v>
      </c>
      <c r="L245">
        <v>347</v>
      </c>
      <c r="M245">
        <v>331</v>
      </c>
      <c r="N245">
        <v>276</v>
      </c>
      <c r="O245">
        <v>1297</v>
      </c>
      <c r="P245" t="s">
        <v>23</v>
      </c>
    </row>
    <row r="246" spans="1:16" x14ac:dyDescent="0.25">
      <c r="A246">
        <v>333217</v>
      </c>
      <c r="B246" t="s">
        <v>655</v>
      </c>
      <c r="C246" t="s">
        <v>656</v>
      </c>
      <c r="D246" t="s">
        <v>18</v>
      </c>
      <c r="E246" s="1" t="s">
        <v>657</v>
      </c>
      <c r="F246" s="15" t="s">
        <v>658</v>
      </c>
      <c r="G246" t="s">
        <v>659</v>
      </c>
      <c r="H246" t="s">
        <v>22</v>
      </c>
      <c r="I246" s="2">
        <v>6001</v>
      </c>
      <c r="J246" t="s">
        <v>30</v>
      </c>
      <c r="K246">
        <v>107</v>
      </c>
      <c r="L246">
        <v>75</v>
      </c>
      <c r="M246">
        <v>79</v>
      </c>
      <c r="N246">
        <v>46</v>
      </c>
      <c r="O246">
        <v>307</v>
      </c>
      <c r="P246" t="s">
        <v>23</v>
      </c>
    </row>
    <row r="247" spans="1:16" x14ac:dyDescent="0.25">
      <c r="A247">
        <v>353158</v>
      </c>
      <c r="B247" t="s">
        <v>660</v>
      </c>
      <c r="C247" t="s">
        <v>633</v>
      </c>
      <c r="D247" t="s">
        <v>18</v>
      </c>
      <c r="E247" s="1">
        <v>6001</v>
      </c>
      <c r="F247" s="15" t="s">
        <v>661</v>
      </c>
      <c r="G247" t="s">
        <v>662</v>
      </c>
      <c r="H247" t="s">
        <v>22</v>
      </c>
      <c r="I247" s="2">
        <v>6001</v>
      </c>
      <c r="J247" t="s">
        <v>30</v>
      </c>
      <c r="K247">
        <v>29</v>
      </c>
      <c r="L247">
        <v>42</v>
      </c>
      <c r="M247">
        <v>22</v>
      </c>
      <c r="N247">
        <v>170</v>
      </c>
      <c r="O247">
        <v>263</v>
      </c>
      <c r="P247" t="s">
        <v>23</v>
      </c>
    </row>
    <row r="248" spans="1:16" x14ac:dyDescent="0.25">
      <c r="A248">
        <v>328481</v>
      </c>
      <c r="B248" t="s">
        <v>663</v>
      </c>
      <c r="C248" t="s">
        <v>664</v>
      </c>
      <c r="D248" t="s">
        <v>18</v>
      </c>
      <c r="E248" s="1" t="s">
        <v>344</v>
      </c>
      <c r="F248" s="15" t="s">
        <v>665</v>
      </c>
      <c r="G248" t="s">
        <v>666</v>
      </c>
      <c r="H248" t="s">
        <v>22</v>
      </c>
      <c r="I248" s="2">
        <v>6001</v>
      </c>
      <c r="J248" t="s">
        <v>30</v>
      </c>
      <c r="K248">
        <v>16</v>
      </c>
      <c r="L248">
        <v>17</v>
      </c>
      <c r="M248">
        <v>13</v>
      </c>
      <c r="N248">
        <v>12</v>
      </c>
      <c r="O248">
        <v>58</v>
      </c>
      <c r="P248" t="s">
        <v>23</v>
      </c>
    </row>
    <row r="249" spans="1:16" x14ac:dyDescent="0.25">
      <c r="A249">
        <v>328510</v>
      </c>
      <c r="B249" t="s">
        <v>667</v>
      </c>
      <c r="C249" t="s">
        <v>668</v>
      </c>
      <c r="D249" t="s">
        <v>18</v>
      </c>
      <c r="E249" s="1" t="s">
        <v>669</v>
      </c>
      <c r="F249" s="15" t="s">
        <v>670</v>
      </c>
      <c r="G249" t="s">
        <v>671</v>
      </c>
      <c r="H249" t="s">
        <v>22</v>
      </c>
      <c r="I249" s="2">
        <v>6001</v>
      </c>
      <c r="J249" t="s">
        <v>30</v>
      </c>
      <c r="K249">
        <v>91</v>
      </c>
      <c r="L249">
        <v>105</v>
      </c>
      <c r="M249">
        <v>81</v>
      </c>
      <c r="N249">
        <v>77</v>
      </c>
      <c r="O249">
        <v>354</v>
      </c>
      <c r="P249" t="s">
        <v>23</v>
      </c>
    </row>
    <row r="250" spans="1:16" x14ac:dyDescent="0.25">
      <c r="A250">
        <v>328512</v>
      </c>
      <c r="B250" t="s">
        <v>672</v>
      </c>
      <c r="C250" t="s">
        <v>673</v>
      </c>
      <c r="D250" t="s">
        <v>18</v>
      </c>
      <c r="E250" s="1" t="s">
        <v>669</v>
      </c>
      <c r="F250" s="15" t="s">
        <v>674</v>
      </c>
      <c r="G250" t="s">
        <v>675</v>
      </c>
      <c r="H250" t="s">
        <v>22</v>
      </c>
      <c r="I250" s="2">
        <v>6001</v>
      </c>
      <c r="J250" t="s">
        <v>30</v>
      </c>
      <c r="K250">
        <v>6</v>
      </c>
      <c r="L250">
        <v>9</v>
      </c>
      <c r="M250">
        <v>5</v>
      </c>
      <c r="N250">
        <v>6</v>
      </c>
      <c r="O250">
        <v>26</v>
      </c>
      <c r="P250" t="s">
        <v>23</v>
      </c>
    </row>
    <row r="251" spans="1:16" x14ac:dyDescent="0.25">
      <c r="A251">
        <v>332996</v>
      </c>
      <c r="B251" t="s">
        <v>676</v>
      </c>
      <c r="C251" t="s">
        <v>677</v>
      </c>
      <c r="D251" t="s">
        <v>18</v>
      </c>
      <c r="E251" s="1" t="s">
        <v>678</v>
      </c>
      <c r="F251" s="15" t="s">
        <v>679</v>
      </c>
      <c r="G251" t="s">
        <v>680</v>
      </c>
      <c r="H251" t="s">
        <v>22</v>
      </c>
      <c r="I251" s="2">
        <v>6001</v>
      </c>
      <c r="J251" t="s">
        <v>30</v>
      </c>
      <c r="K251">
        <v>296</v>
      </c>
      <c r="L251">
        <v>349</v>
      </c>
      <c r="M251">
        <v>339</v>
      </c>
      <c r="N251">
        <v>271</v>
      </c>
      <c r="O251">
        <v>1255</v>
      </c>
      <c r="P251" t="s">
        <v>23</v>
      </c>
    </row>
    <row r="252" spans="1:16" x14ac:dyDescent="0.25">
      <c r="A252">
        <v>333231</v>
      </c>
      <c r="B252" t="s">
        <v>681</v>
      </c>
      <c r="C252" t="s">
        <v>682</v>
      </c>
      <c r="D252" t="s">
        <v>18</v>
      </c>
      <c r="E252" s="1" t="s">
        <v>683</v>
      </c>
      <c r="F252" s="15" t="s">
        <v>684</v>
      </c>
      <c r="G252" t="s">
        <v>685</v>
      </c>
      <c r="H252" t="s">
        <v>22</v>
      </c>
      <c r="I252" s="2">
        <v>6001</v>
      </c>
      <c r="J252" t="s">
        <v>30</v>
      </c>
      <c r="K252">
        <v>50</v>
      </c>
      <c r="L252">
        <v>110</v>
      </c>
      <c r="M252">
        <v>103</v>
      </c>
      <c r="N252">
        <v>36</v>
      </c>
      <c r="O252">
        <v>299</v>
      </c>
      <c r="P252" t="s">
        <v>23</v>
      </c>
    </row>
    <row r="253" spans="1:16" x14ac:dyDescent="0.25">
      <c r="A253">
        <v>328471</v>
      </c>
      <c r="B253" t="s">
        <v>686</v>
      </c>
      <c r="C253" t="s">
        <v>687</v>
      </c>
      <c r="D253" t="s">
        <v>18</v>
      </c>
      <c r="E253" s="1" t="s">
        <v>688</v>
      </c>
      <c r="F253" s="15" t="s">
        <v>689</v>
      </c>
      <c r="G253" t="s">
        <v>690</v>
      </c>
      <c r="H253" t="s">
        <v>22</v>
      </c>
      <c r="I253" s="2">
        <v>6001</v>
      </c>
      <c r="J253" t="s">
        <v>30</v>
      </c>
      <c r="K253">
        <v>2</v>
      </c>
      <c r="L253">
        <v>1</v>
      </c>
      <c r="M253">
        <v>2</v>
      </c>
      <c r="N253">
        <v>2</v>
      </c>
      <c r="O253">
        <v>7</v>
      </c>
      <c r="P253" t="s">
        <v>23</v>
      </c>
    </row>
    <row r="254" spans="1:16" x14ac:dyDescent="0.25">
      <c r="A254">
        <v>333235</v>
      </c>
      <c r="B254" t="s">
        <v>691</v>
      </c>
      <c r="C254" t="s">
        <v>692</v>
      </c>
      <c r="D254" t="s">
        <v>18</v>
      </c>
      <c r="E254" s="1" t="s">
        <v>693</v>
      </c>
      <c r="F254" s="15" t="s">
        <v>694</v>
      </c>
      <c r="G254" t="s">
        <v>695</v>
      </c>
      <c r="H254" t="s">
        <v>22</v>
      </c>
      <c r="I254" s="2">
        <v>6001</v>
      </c>
      <c r="J254" t="s">
        <v>30</v>
      </c>
      <c r="K254">
        <v>39</v>
      </c>
      <c r="L254">
        <v>98</v>
      </c>
      <c r="M254">
        <v>43</v>
      </c>
      <c r="N254">
        <v>31</v>
      </c>
      <c r="O254">
        <v>211</v>
      </c>
      <c r="P254" t="s">
        <v>23</v>
      </c>
    </row>
    <row r="255" spans="1:16" x14ac:dyDescent="0.25">
      <c r="A255">
        <v>335393</v>
      </c>
      <c r="B255" t="s">
        <v>696</v>
      </c>
      <c r="C255" t="s">
        <v>697</v>
      </c>
      <c r="D255" t="s">
        <v>18</v>
      </c>
      <c r="E255" s="1">
        <v>6001</v>
      </c>
      <c r="F255" s="15" t="s">
        <v>697</v>
      </c>
      <c r="G255" t="s">
        <v>698</v>
      </c>
      <c r="H255" t="s">
        <v>22</v>
      </c>
      <c r="I255" s="2">
        <v>6001</v>
      </c>
      <c r="J255" t="s">
        <v>30</v>
      </c>
      <c r="K255">
        <v>4</v>
      </c>
      <c r="L255">
        <v>6</v>
      </c>
      <c r="M255">
        <v>3</v>
      </c>
      <c r="N255">
        <v>4</v>
      </c>
      <c r="O255">
        <v>17</v>
      </c>
      <c r="P255" t="s">
        <v>23</v>
      </c>
    </row>
    <row r="256" spans="1:16" x14ac:dyDescent="0.25">
      <c r="A256">
        <v>328524</v>
      </c>
      <c r="B256" t="s">
        <v>699</v>
      </c>
      <c r="C256" t="s">
        <v>700</v>
      </c>
      <c r="D256" t="s">
        <v>18</v>
      </c>
      <c r="E256" s="1" t="s">
        <v>701</v>
      </c>
      <c r="F256" s="15" t="s">
        <v>700</v>
      </c>
      <c r="G256" t="s">
        <v>702</v>
      </c>
      <c r="H256" t="s">
        <v>22</v>
      </c>
      <c r="I256" s="2">
        <v>6001</v>
      </c>
      <c r="J256" t="s">
        <v>30</v>
      </c>
      <c r="K256">
        <v>341</v>
      </c>
      <c r="L256">
        <v>453</v>
      </c>
      <c r="M256">
        <v>359</v>
      </c>
      <c r="N256">
        <v>206</v>
      </c>
      <c r="O256">
        <v>1359</v>
      </c>
      <c r="P256" t="s">
        <v>23</v>
      </c>
    </row>
    <row r="257" spans="1:16" x14ac:dyDescent="0.25">
      <c r="A257">
        <v>328527</v>
      </c>
      <c r="B257" t="s">
        <v>703</v>
      </c>
      <c r="C257" t="s">
        <v>704</v>
      </c>
      <c r="D257" t="s">
        <v>18</v>
      </c>
      <c r="E257" s="1" t="s">
        <v>705</v>
      </c>
      <c r="F257" s="15" t="s">
        <v>704</v>
      </c>
      <c r="G257" t="s">
        <v>706</v>
      </c>
      <c r="H257" t="s">
        <v>22</v>
      </c>
      <c r="I257" s="2">
        <v>6001</v>
      </c>
      <c r="J257" t="s">
        <v>30</v>
      </c>
      <c r="K257">
        <v>12</v>
      </c>
      <c r="L257">
        <v>12</v>
      </c>
      <c r="M257">
        <v>10</v>
      </c>
      <c r="N257">
        <v>8</v>
      </c>
      <c r="O257">
        <v>42</v>
      </c>
      <c r="P257" t="s">
        <v>23</v>
      </c>
    </row>
    <row r="258" spans="1:16" x14ac:dyDescent="0.25">
      <c r="A258">
        <v>328528</v>
      </c>
      <c r="B258" t="s">
        <v>707</v>
      </c>
      <c r="C258" t="s">
        <v>708</v>
      </c>
      <c r="D258" t="s">
        <v>18</v>
      </c>
      <c r="E258" s="1">
        <v>6001</v>
      </c>
      <c r="F258" s="15" t="s">
        <v>704</v>
      </c>
      <c r="G258" t="s">
        <v>709</v>
      </c>
      <c r="H258" t="s">
        <v>22</v>
      </c>
      <c r="I258" s="2">
        <v>6001</v>
      </c>
      <c r="J258" t="s">
        <v>30</v>
      </c>
      <c r="K258">
        <v>111</v>
      </c>
      <c r="L258">
        <v>108</v>
      </c>
      <c r="M258">
        <v>65</v>
      </c>
      <c r="N258">
        <v>62</v>
      </c>
      <c r="O258">
        <v>346</v>
      </c>
      <c r="P258" t="s">
        <v>23</v>
      </c>
    </row>
    <row r="259" spans="1:16" x14ac:dyDescent="0.25">
      <c r="A259">
        <v>333266</v>
      </c>
      <c r="B259" t="s">
        <v>710</v>
      </c>
      <c r="C259" t="s">
        <v>711</v>
      </c>
      <c r="D259" t="s">
        <v>18</v>
      </c>
      <c r="E259" s="1" t="s">
        <v>657</v>
      </c>
      <c r="F259" s="15" t="s">
        <v>712</v>
      </c>
      <c r="G259" t="s">
        <v>713</v>
      </c>
      <c r="H259" t="s">
        <v>22</v>
      </c>
      <c r="I259" s="2">
        <v>6001</v>
      </c>
      <c r="J259" t="s">
        <v>30</v>
      </c>
      <c r="K259">
        <v>62</v>
      </c>
      <c r="L259">
        <v>62</v>
      </c>
      <c r="M259">
        <v>63</v>
      </c>
      <c r="N259">
        <v>60</v>
      </c>
      <c r="O259">
        <v>247</v>
      </c>
      <c r="P259" t="s">
        <v>23</v>
      </c>
    </row>
    <row r="260" spans="1:16" x14ac:dyDescent="0.25">
      <c r="A260">
        <v>333268</v>
      </c>
      <c r="B260" t="s">
        <v>714</v>
      </c>
      <c r="C260" t="s">
        <v>715</v>
      </c>
      <c r="D260" t="s">
        <v>18</v>
      </c>
      <c r="E260" s="1" t="s">
        <v>716</v>
      </c>
      <c r="F260" s="15" t="s">
        <v>717</v>
      </c>
      <c r="G260" t="s">
        <v>718</v>
      </c>
      <c r="H260" t="s">
        <v>22</v>
      </c>
      <c r="I260" s="2">
        <v>6001</v>
      </c>
      <c r="J260" t="s">
        <v>30</v>
      </c>
      <c r="K260">
        <v>405</v>
      </c>
      <c r="L260">
        <v>429</v>
      </c>
      <c r="M260">
        <v>318</v>
      </c>
      <c r="N260">
        <v>244</v>
      </c>
      <c r="O260">
        <v>1396</v>
      </c>
      <c r="P260" t="s">
        <v>23</v>
      </c>
    </row>
    <row r="261" spans="1:16" x14ac:dyDescent="0.25">
      <c r="A261">
        <v>340246</v>
      </c>
      <c r="B261" t="s">
        <v>719</v>
      </c>
      <c r="C261" t="s">
        <v>720</v>
      </c>
      <c r="D261" t="s">
        <v>18</v>
      </c>
      <c r="E261" s="1">
        <v>6001</v>
      </c>
      <c r="F261" s="15" t="s">
        <v>720</v>
      </c>
      <c r="G261" t="s">
        <v>721</v>
      </c>
      <c r="H261" t="s">
        <v>22</v>
      </c>
      <c r="I261" s="2">
        <v>6001</v>
      </c>
      <c r="J261" t="s">
        <v>30</v>
      </c>
      <c r="K261">
        <v>7</v>
      </c>
      <c r="L261">
        <v>21</v>
      </c>
      <c r="M261">
        <v>36</v>
      </c>
      <c r="N261">
        <v>28</v>
      </c>
      <c r="O261">
        <v>92</v>
      </c>
      <c r="P261" t="s">
        <v>23</v>
      </c>
    </row>
    <row r="262" spans="1:16" x14ac:dyDescent="0.25">
      <c r="A262">
        <v>328495</v>
      </c>
      <c r="B262" t="s">
        <v>722</v>
      </c>
      <c r="C262" t="s">
        <v>723</v>
      </c>
      <c r="D262" t="s">
        <v>18</v>
      </c>
      <c r="E262" s="1" t="s">
        <v>724</v>
      </c>
      <c r="F262" s="15" t="s">
        <v>725</v>
      </c>
      <c r="G262" t="s">
        <v>726</v>
      </c>
      <c r="H262" t="s">
        <v>22</v>
      </c>
      <c r="I262" s="2">
        <v>6001</v>
      </c>
      <c r="J262" t="s">
        <v>30</v>
      </c>
      <c r="K262">
        <v>21</v>
      </c>
      <c r="L262">
        <v>8</v>
      </c>
      <c r="M262">
        <v>5</v>
      </c>
      <c r="N262">
        <v>5</v>
      </c>
      <c r="O262">
        <v>39</v>
      </c>
      <c r="P262" t="s">
        <v>23</v>
      </c>
    </row>
    <row r="263" spans="1:16" x14ac:dyDescent="0.25">
      <c r="A263">
        <v>360313</v>
      </c>
      <c r="B263" t="s">
        <v>727</v>
      </c>
      <c r="C263" t="s">
        <v>728</v>
      </c>
      <c r="D263" t="s">
        <v>18</v>
      </c>
      <c r="E263" s="1">
        <v>6001</v>
      </c>
      <c r="F263" s="15" t="s">
        <v>728</v>
      </c>
      <c r="G263" t="s">
        <v>729</v>
      </c>
      <c r="H263" t="s">
        <v>22</v>
      </c>
      <c r="I263" s="2">
        <v>6001</v>
      </c>
      <c r="J263" t="s">
        <v>30</v>
      </c>
      <c r="K263">
        <v>18</v>
      </c>
      <c r="L263">
        <v>13</v>
      </c>
      <c r="M263">
        <v>12</v>
      </c>
      <c r="N263">
        <v>18</v>
      </c>
      <c r="O263">
        <v>61</v>
      </c>
      <c r="P263" t="s">
        <v>23</v>
      </c>
    </row>
    <row r="264" spans="1:16" x14ac:dyDescent="0.25">
      <c r="A264">
        <v>332994</v>
      </c>
      <c r="B264" t="s">
        <v>730</v>
      </c>
      <c r="C264" t="s">
        <v>731</v>
      </c>
      <c r="D264" t="s">
        <v>18</v>
      </c>
      <c r="E264" s="1" t="s">
        <v>688</v>
      </c>
      <c r="F264" s="15" t="s">
        <v>732</v>
      </c>
      <c r="G264" t="s">
        <v>733</v>
      </c>
      <c r="H264" t="s">
        <v>22</v>
      </c>
      <c r="I264" s="2">
        <v>6001</v>
      </c>
      <c r="J264" t="s">
        <v>30</v>
      </c>
      <c r="K264">
        <v>48</v>
      </c>
      <c r="L264">
        <v>27</v>
      </c>
      <c r="M264">
        <v>42</v>
      </c>
      <c r="N264">
        <v>34</v>
      </c>
      <c r="O264">
        <v>151</v>
      </c>
      <c r="P264" t="s">
        <v>23</v>
      </c>
    </row>
    <row r="265" spans="1:16" x14ac:dyDescent="0.25">
      <c r="A265">
        <v>332998</v>
      </c>
      <c r="B265" t="s">
        <v>676</v>
      </c>
      <c r="C265" t="s">
        <v>677</v>
      </c>
      <c r="D265" t="s">
        <v>18</v>
      </c>
      <c r="E265" s="1" t="s">
        <v>678</v>
      </c>
      <c r="F265" s="15" t="s">
        <v>734</v>
      </c>
      <c r="G265" t="s">
        <v>735</v>
      </c>
      <c r="H265" t="s">
        <v>22</v>
      </c>
      <c r="I265" s="2">
        <v>6001</v>
      </c>
      <c r="J265" t="s">
        <v>30</v>
      </c>
      <c r="K265">
        <v>2</v>
      </c>
      <c r="L265">
        <v>169</v>
      </c>
      <c r="M265">
        <v>30</v>
      </c>
      <c r="N265">
        <v>0</v>
      </c>
      <c r="O265">
        <v>201</v>
      </c>
      <c r="P265" t="s">
        <v>23</v>
      </c>
    </row>
    <row r="266" spans="1:16" x14ac:dyDescent="0.25">
      <c r="A266">
        <v>333214</v>
      </c>
      <c r="B266" t="s">
        <v>525</v>
      </c>
      <c r="C266" t="s">
        <v>526</v>
      </c>
      <c r="D266" t="s">
        <v>18</v>
      </c>
      <c r="E266" s="1" t="s">
        <v>736</v>
      </c>
      <c r="F266" s="15" t="s">
        <v>737</v>
      </c>
      <c r="G266" t="s">
        <v>738</v>
      </c>
      <c r="H266" t="s">
        <v>22</v>
      </c>
      <c r="I266" s="2">
        <v>6001</v>
      </c>
      <c r="J266" t="s">
        <v>30</v>
      </c>
      <c r="K266">
        <v>5</v>
      </c>
      <c r="L266">
        <v>60</v>
      </c>
      <c r="M266">
        <v>21</v>
      </c>
      <c r="N266">
        <v>0</v>
      </c>
      <c r="O266">
        <v>86</v>
      </c>
      <c r="P266" t="s">
        <v>23</v>
      </c>
    </row>
    <row r="267" spans="1:16" x14ac:dyDescent="0.25">
      <c r="A267">
        <v>365827</v>
      </c>
      <c r="B267" t="s">
        <v>739</v>
      </c>
      <c r="C267" t="s">
        <v>740</v>
      </c>
      <c r="D267" t="s">
        <v>18</v>
      </c>
      <c r="E267" s="1">
        <v>6001</v>
      </c>
      <c r="F267" s="15" t="s">
        <v>741</v>
      </c>
      <c r="G267" t="s">
        <v>742</v>
      </c>
      <c r="H267" t="s">
        <v>22</v>
      </c>
      <c r="I267" s="2">
        <v>6001</v>
      </c>
      <c r="J267" t="s">
        <v>30</v>
      </c>
      <c r="K267">
        <v>0</v>
      </c>
      <c r="L267">
        <v>0</v>
      </c>
      <c r="M267">
        <v>34</v>
      </c>
      <c r="N267">
        <v>46</v>
      </c>
      <c r="O267">
        <v>80</v>
      </c>
      <c r="P267" t="s">
        <v>743</v>
      </c>
    </row>
    <row r="268" spans="1:16" x14ac:dyDescent="0.25">
      <c r="A268">
        <v>375294</v>
      </c>
      <c r="B268" t="s">
        <v>744</v>
      </c>
      <c r="C268" t="s">
        <v>740</v>
      </c>
      <c r="D268" t="s">
        <v>18</v>
      </c>
      <c r="E268" s="1">
        <v>6001</v>
      </c>
      <c r="F268" s="15" t="s">
        <v>741</v>
      </c>
      <c r="G268" t="s">
        <v>742</v>
      </c>
      <c r="H268" t="s">
        <v>22</v>
      </c>
      <c r="I268" s="2">
        <v>6001</v>
      </c>
      <c r="J268" t="s">
        <v>30</v>
      </c>
      <c r="K268">
        <v>59</v>
      </c>
      <c r="L268">
        <v>4</v>
      </c>
      <c r="M268">
        <v>0</v>
      </c>
      <c r="N268">
        <v>0</v>
      </c>
      <c r="O268">
        <v>63</v>
      </c>
      <c r="P268" t="s">
        <v>23</v>
      </c>
    </row>
    <row r="269" spans="1:16" x14ac:dyDescent="0.25">
      <c r="A269">
        <v>360312</v>
      </c>
      <c r="B269" t="s">
        <v>727</v>
      </c>
      <c r="C269" t="s">
        <v>745</v>
      </c>
      <c r="D269" t="s">
        <v>18</v>
      </c>
      <c r="E269" s="1">
        <v>6001</v>
      </c>
      <c r="F269" s="15" t="s">
        <v>746</v>
      </c>
      <c r="G269" t="s">
        <v>747</v>
      </c>
      <c r="H269" t="s">
        <v>22</v>
      </c>
      <c r="I269" s="2">
        <v>6001</v>
      </c>
      <c r="J269" t="s">
        <v>30</v>
      </c>
      <c r="K269">
        <v>9</v>
      </c>
      <c r="L269">
        <v>90</v>
      </c>
      <c r="M269">
        <v>14</v>
      </c>
      <c r="N269">
        <v>0</v>
      </c>
      <c r="O269">
        <v>113</v>
      </c>
      <c r="P269" t="s">
        <v>23</v>
      </c>
    </row>
    <row r="270" spans="1:16" x14ac:dyDescent="0.25">
      <c r="A270">
        <v>360310</v>
      </c>
      <c r="B270" t="s">
        <v>727</v>
      </c>
      <c r="C270" t="s">
        <v>745</v>
      </c>
      <c r="D270" t="s">
        <v>18</v>
      </c>
      <c r="E270" s="1">
        <v>6001</v>
      </c>
      <c r="F270" s="15" t="s">
        <v>748</v>
      </c>
      <c r="G270" t="s">
        <v>749</v>
      </c>
      <c r="H270" t="s">
        <v>22</v>
      </c>
      <c r="I270" s="2">
        <v>6001</v>
      </c>
      <c r="J270" t="s">
        <v>30</v>
      </c>
      <c r="K270">
        <v>30</v>
      </c>
      <c r="L270">
        <v>142</v>
      </c>
      <c r="M270">
        <v>66</v>
      </c>
      <c r="N270">
        <v>58</v>
      </c>
      <c r="O270">
        <v>296</v>
      </c>
      <c r="P270" t="s">
        <v>23</v>
      </c>
    </row>
    <row r="271" spans="1:16" x14ac:dyDescent="0.25">
      <c r="A271">
        <v>333688</v>
      </c>
      <c r="B271" t="s">
        <v>676</v>
      </c>
      <c r="C271" t="s">
        <v>677</v>
      </c>
      <c r="D271" t="s">
        <v>18</v>
      </c>
      <c r="E271" s="1" t="s">
        <v>678</v>
      </c>
      <c r="F271" s="15" t="s">
        <v>750</v>
      </c>
      <c r="G271" t="s">
        <v>751</v>
      </c>
      <c r="H271" t="s">
        <v>22</v>
      </c>
      <c r="I271" s="2">
        <v>6001</v>
      </c>
      <c r="J271" t="s">
        <v>30</v>
      </c>
      <c r="K271">
        <v>24</v>
      </c>
      <c r="L271">
        <v>278</v>
      </c>
      <c r="M271">
        <v>58</v>
      </c>
      <c r="N271">
        <v>18</v>
      </c>
      <c r="O271">
        <v>378</v>
      </c>
      <c r="P271" t="s">
        <v>23</v>
      </c>
    </row>
    <row r="272" spans="1:16" x14ac:dyDescent="0.25">
      <c r="A272">
        <v>333564</v>
      </c>
      <c r="B272" t="s">
        <v>752</v>
      </c>
      <c r="C272" t="s">
        <v>753</v>
      </c>
      <c r="D272" t="s">
        <v>18</v>
      </c>
      <c r="E272" s="1" t="s">
        <v>754</v>
      </c>
      <c r="F272" s="15" t="s">
        <v>755</v>
      </c>
      <c r="G272" t="s">
        <v>756</v>
      </c>
      <c r="H272" t="s">
        <v>22</v>
      </c>
      <c r="I272" s="2">
        <v>6001</v>
      </c>
      <c r="J272" t="s">
        <v>30</v>
      </c>
      <c r="K272">
        <v>394</v>
      </c>
      <c r="L272">
        <v>397</v>
      </c>
      <c r="M272">
        <v>359</v>
      </c>
      <c r="N272">
        <v>276</v>
      </c>
      <c r="O272">
        <v>1426</v>
      </c>
      <c r="P272" t="s">
        <v>23</v>
      </c>
    </row>
    <row r="273" spans="1:16" x14ac:dyDescent="0.25">
      <c r="A273">
        <v>334557</v>
      </c>
      <c r="B273" t="s">
        <v>757</v>
      </c>
      <c r="C273" t="s">
        <v>758</v>
      </c>
      <c r="D273" t="s">
        <v>18</v>
      </c>
      <c r="E273" s="1">
        <v>6001</v>
      </c>
      <c r="F273" s="15" t="s">
        <v>759</v>
      </c>
      <c r="G273" t="s">
        <v>760</v>
      </c>
      <c r="H273" t="s">
        <v>22</v>
      </c>
      <c r="I273" s="2">
        <v>6001</v>
      </c>
      <c r="J273" t="s">
        <v>30</v>
      </c>
      <c r="K273">
        <v>28</v>
      </c>
      <c r="L273">
        <v>31</v>
      </c>
      <c r="M273">
        <v>30</v>
      </c>
      <c r="N273">
        <v>28</v>
      </c>
      <c r="O273">
        <v>117</v>
      </c>
      <c r="P273" t="s">
        <v>23</v>
      </c>
    </row>
    <row r="274" spans="1:16" x14ac:dyDescent="0.25">
      <c r="A274">
        <v>328717</v>
      </c>
      <c r="B274" t="s">
        <v>775</v>
      </c>
      <c r="C274" t="s">
        <v>776</v>
      </c>
      <c r="D274" t="s">
        <v>772</v>
      </c>
      <c r="E274" s="1">
        <v>2199</v>
      </c>
      <c r="F274" s="15" t="s">
        <v>777</v>
      </c>
      <c r="G274" t="s">
        <v>778</v>
      </c>
      <c r="H274" t="s">
        <v>22</v>
      </c>
      <c r="I274" s="2">
        <v>6001</v>
      </c>
      <c r="J274" t="s">
        <v>30</v>
      </c>
      <c r="K274">
        <v>0</v>
      </c>
      <c r="L274">
        <v>1</v>
      </c>
      <c r="M274">
        <v>1</v>
      </c>
      <c r="N274">
        <v>1</v>
      </c>
      <c r="O274">
        <v>3</v>
      </c>
      <c r="P274" t="s">
        <v>23</v>
      </c>
    </row>
    <row r="275" spans="1:16" x14ac:dyDescent="0.25">
      <c r="A275">
        <v>328719</v>
      </c>
      <c r="B275" t="s">
        <v>779</v>
      </c>
      <c r="C275" t="s">
        <v>776</v>
      </c>
      <c r="D275" t="s">
        <v>772</v>
      </c>
      <c r="E275" s="1">
        <v>2199</v>
      </c>
      <c r="F275" s="15" t="s">
        <v>777</v>
      </c>
      <c r="G275" t="s">
        <v>780</v>
      </c>
      <c r="H275" t="s">
        <v>22</v>
      </c>
      <c r="I275" s="2">
        <v>6001</v>
      </c>
      <c r="J275" t="s">
        <v>30</v>
      </c>
      <c r="K275">
        <v>11</v>
      </c>
      <c r="L275">
        <v>18</v>
      </c>
      <c r="M275">
        <v>14</v>
      </c>
      <c r="N275">
        <v>8</v>
      </c>
      <c r="O275">
        <v>51</v>
      </c>
      <c r="P275" t="s">
        <v>23</v>
      </c>
    </row>
    <row r="276" spans="1:16" x14ac:dyDescent="0.25">
      <c r="A276">
        <v>333236</v>
      </c>
      <c r="B276" t="s">
        <v>781</v>
      </c>
      <c r="C276" t="s">
        <v>782</v>
      </c>
      <c r="D276" t="s">
        <v>772</v>
      </c>
      <c r="E276" s="1" t="s">
        <v>783</v>
      </c>
      <c r="F276" s="15" t="s">
        <v>777</v>
      </c>
      <c r="G276" t="s">
        <v>784</v>
      </c>
      <c r="H276" t="s">
        <v>22</v>
      </c>
      <c r="I276" s="2">
        <v>6001</v>
      </c>
      <c r="J276" t="s">
        <v>30</v>
      </c>
      <c r="K276">
        <v>7</v>
      </c>
      <c r="L276">
        <v>14</v>
      </c>
      <c r="M276">
        <v>10</v>
      </c>
      <c r="N276">
        <v>15</v>
      </c>
      <c r="O276">
        <v>46</v>
      </c>
      <c r="P276" t="s">
        <v>23</v>
      </c>
    </row>
    <row r="277" spans="1:16" x14ac:dyDescent="0.25">
      <c r="A277">
        <v>333237</v>
      </c>
      <c r="B277" t="s">
        <v>785</v>
      </c>
      <c r="C277" t="s">
        <v>782</v>
      </c>
      <c r="D277" t="s">
        <v>772</v>
      </c>
      <c r="E277" s="1" t="s">
        <v>783</v>
      </c>
      <c r="F277" s="15" t="s">
        <v>777</v>
      </c>
      <c r="G277" t="s">
        <v>786</v>
      </c>
      <c r="H277" t="s">
        <v>22</v>
      </c>
      <c r="I277" s="2">
        <v>6001</v>
      </c>
      <c r="J277" t="s">
        <v>30</v>
      </c>
      <c r="K277">
        <v>2</v>
      </c>
      <c r="L277">
        <v>2</v>
      </c>
      <c r="M277">
        <v>2</v>
      </c>
      <c r="N277">
        <v>1</v>
      </c>
      <c r="O277">
        <v>7</v>
      </c>
      <c r="P277" t="s">
        <v>23</v>
      </c>
    </row>
    <row r="278" spans="1:16" x14ac:dyDescent="0.25">
      <c r="A278">
        <v>352022</v>
      </c>
      <c r="B278" t="s">
        <v>785</v>
      </c>
      <c r="C278" t="s">
        <v>782</v>
      </c>
      <c r="D278" t="s">
        <v>772</v>
      </c>
      <c r="E278" s="1" t="s">
        <v>783</v>
      </c>
      <c r="F278" s="15" t="s">
        <v>777</v>
      </c>
      <c r="G278" t="s">
        <v>787</v>
      </c>
      <c r="H278" t="s">
        <v>22</v>
      </c>
      <c r="I278" s="2">
        <v>6001</v>
      </c>
      <c r="J278" t="s">
        <v>30</v>
      </c>
      <c r="K278">
        <v>6</v>
      </c>
      <c r="L278">
        <v>7</v>
      </c>
      <c r="M278">
        <v>8</v>
      </c>
      <c r="N278">
        <v>8</v>
      </c>
      <c r="O278">
        <v>29</v>
      </c>
      <c r="P278" t="s">
        <v>23</v>
      </c>
    </row>
    <row r="279" spans="1:16" x14ac:dyDescent="0.25">
      <c r="A279">
        <v>328724</v>
      </c>
      <c r="B279" t="s">
        <v>788</v>
      </c>
      <c r="C279" t="s">
        <v>789</v>
      </c>
      <c r="D279" t="s">
        <v>790</v>
      </c>
      <c r="E279" s="1" t="s">
        <v>791</v>
      </c>
      <c r="F279" s="15" t="s">
        <v>792</v>
      </c>
      <c r="G279" t="s">
        <v>793</v>
      </c>
      <c r="H279" t="s">
        <v>22</v>
      </c>
      <c r="I279" s="2">
        <v>6001</v>
      </c>
      <c r="J279" t="s">
        <v>30</v>
      </c>
      <c r="K279">
        <v>35</v>
      </c>
      <c r="L279">
        <v>52</v>
      </c>
      <c r="M279">
        <v>35</v>
      </c>
      <c r="N279">
        <v>30</v>
      </c>
      <c r="O279">
        <v>152</v>
      </c>
      <c r="P279" t="s">
        <v>23</v>
      </c>
    </row>
    <row r="280" spans="1:16" x14ac:dyDescent="0.25">
      <c r="A280">
        <v>351599</v>
      </c>
      <c r="B280" t="s">
        <v>806</v>
      </c>
      <c r="C280" t="s">
        <v>807</v>
      </c>
      <c r="D280" t="s">
        <v>796</v>
      </c>
      <c r="E280" s="1" t="s">
        <v>808</v>
      </c>
      <c r="F280" s="15" t="s">
        <v>670</v>
      </c>
      <c r="G280" t="s">
        <v>809</v>
      </c>
      <c r="H280" t="s">
        <v>22</v>
      </c>
      <c r="I280" s="2">
        <v>6001</v>
      </c>
      <c r="J280" t="s">
        <v>30</v>
      </c>
      <c r="K280">
        <v>67</v>
      </c>
      <c r="L280">
        <v>62</v>
      </c>
      <c r="M280">
        <v>52</v>
      </c>
      <c r="N280">
        <v>47</v>
      </c>
      <c r="O280">
        <v>228</v>
      </c>
      <c r="P280" t="s">
        <v>23</v>
      </c>
    </row>
    <row r="281" spans="1:16" x14ac:dyDescent="0.25">
      <c r="A281">
        <v>328520</v>
      </c>
      <c r="B281" t="s">
        <v>810</v>
      </c>
      <c r="C281" t="s">
        <v>811</v>
      </c>
      <c r="D281" t="s">
        <v>812</v>
      </c>
      <c r="E281" s="1" t="s">
        <v>813</v>
      </c>
      <c r="F281" s="15" t="s">
        <v>741</v>
      </c>
      <c r="G281" t="s">
        <v>814</v>
      </c>
      <c r="H281" t="s">
        <v>22</v>
      </c>
      <c r="I281" s="2">
        <v>6001</v>
      </c>
      <c r="J281" t="s">
        <v>30</v>
      </c>
      <c r="K281">
        <v>40</v>
      </c>
      <c r="L281">
        <v>70</v>
      </c>
      <c r="M281">
        <v>53</v>
      </c>
      <c r="N281">
        <v>47</v>
      </c>
      <c r="O281">
        <v>210</v>
      </c>
      <c r="P281" t="s">
        <v>23</v>
      </c>
    </row>
    <row r="282" spans="1:16" x14ac:dyDescent="0.25">
      <c r="A282">
        <v>361408</v>
      </c>
      <c r="B282" t="s">
        <v>815</v>
      </c>
      <c r="C282" t="s">
        <v>816</v>
      </c>
      <c r="D282" t="s">
        <v>817</v>
      </c>
      <c r="E282" s="1" t="s">
        <v>818</v>
      </c>
      <c r="F282" s="15" t="s">
        <v>819</v>
      </c>
      <c r="G282" t="s">
        <v>820</v>
      </c>
      <c r="H282" t="s">
        <v>22</v>
      </c>
      <c r="I282" s="2">
        <v>6001</v>
      </c>
      <c r="J282" t="s">
        <v>30</v>
      </c>
      <c r="K282">
        <v>157</v>
      </c>
      <c r="L282">
        <v>238</v>
      </c>
      <c r="M282">
        <v>3</v>
      </c>
      <c r="N282">
        <v>4</v>
      </c>
      <c r="O282">
        <v>402</v>
      </c>
      <c r="P282" t="s">
        <v>93</v>
      </c>
    </row>
    <row r="283" spans="1:16" x14ac:dyDescent="0.25">
      <c r="A283">
        <v>333221</v>
      </c>
      <c r="B283" t="s">
        <v>821</v>
      </c>
      <c r="C283" t="s">
        <v>822</v>
      </c>
      <c r="D283" t="s">
        <v>817</v>
      </c>
      <c r="E283" s="1" t="s">
        <v>823</v>
      </c>
      <c r="F283" s="15" t="s">
        <v>824</v>
      </c>
      <c r="G283" t="s">
        <v>825</v>
      </c>
      <c r="H283" t="s">
        <v>22</v>
      </c>
      <c r="I283" s="2">
        <v>6001</v>
      </c>
      <c r="J283" t="s">
        <v>30</v>
      </c>
      <c r="K283">
        <v>2</v>
      </c>
      <c r="L283">
        <v>2</v>
      </c>
      <c r="M283">
        <v>2</v>
      </c>
      <c r="N283">
        <v>1</v>
      </c>
      <c r="O283">
        <v>7</v>
      </c>
      <c r="P283" t="s">
        <v>23</v>
      </c>
    </row>
    <row r="284" spans="1:16" x14ac:dyDescent="0.25">
      <c r="A284">
        <v>328721</v>
      </c>
      <c r="B284" t="s">
        <v>826</v>
      </c>
      <c r="C284" t="s">
        <v>827</v>
      </c>
      <c r="D284" t="s">
        <v>817</v>
      </c>
      <c r="E284" s="1" t="s">
        <v>828</v>
      </c>
      <c r="F284" s="15" t="s">
        <v>777</v>
      </c>
      <c r="G284" t="s">
        <v>829</v>
      </c>
      <c r="H284" t="s">
        <v>22</v>
      </c>
      <c r="I284" s="2">
        <v>6001</v>
      </c>
      <c r="J284" t="s">
        <v>30</v>
      </c>
      <c r="K284">
        <v>34</v>
      </c>
      <c r="L284">
        <v>171</v>
      </c>
      <c r="M284">
        <v>31</v>
      </c>
      <c r="N284">
        <v>45</v>
      </c>
      <c r="O284">
        <v>281</v>
      </c>
      <c r="P284" t="s">
        <v>23</v>
      </c>
    </row>
    <row r="285" spans="1:16" x14ac:dyDescent="0.25">
      <c r="A285">
        <v>328722</v>
      </c>
      <c r="B285" t="s">
        <v>830</v>
      </c>
      <c r="C285" t="s">
        <v>827</v>
      </c>
      <c r="D285" t="s">
        <v>817</v>
      </c>
      <c r="E285" s="1" t="s">
        <v>828</v>
      </c>
      <c r="F285" s="15" t="s">
        <v>777</v>
      </c>
      <c r="G285" t="s">
        <v>831</v>
      </c>
      <c r="H285" t="s">
        <v>22</v>
      </c>
      <c r="I285" s="2">
        <v>6001</v>
      </c>
      <c r="J285" t="s">
        <v>30</v>
      </c>
      <c r="K285">
        <v>67</v>
      </c>
      <c r="L285">
        <v>29</v>
      </c>
      <c r="M285">
        <v>17</v>
      </c>
      <c r="N285">
        <v>14</v>
      </c>
      <c r="O285">
        <v>127</v>
      </c>
      <c r="P285" t="s">
        <v>23</v>
      </c>
    </row>
    <row r="286" spans="1:16" x14ac:dyDescent="0.25">
      <c r="A286">
        <v>333238</v>
      </c>
      <c r="B286" t="s">
        <v>832</v>
      </c>
      <c r="C286" t="s">
        <v>833</v>
      </c>
      <c r="D286" t="s">
        <v>817</v>
      </c>
      <c r="E286" s="1" t="s">
        <v>834</v>
      </c>
      <c r="F286" s="15" t="s">
        <v>777</v>
      </c>
      <c r="G286" t="s">
        <v>835</v>
      </c>
      <c r="H286" t="s">
        <v>22</v>
      </c>
      <c r="I286" s="2">
        <v>6001</v>
      </c>
      <c r="J286" t="s">
        <v>30</v>
      </c>
      <c r="K286">
        <v>11</v>
      </c>
      <c r="L286">
        <v>9</v>
      </c>
      <c r="M286">
        <v>8</v>
      </c>
      <c r="N286">
        <v>7</v>
      </c>
      <c r="O286">
        <v>35</v>
      </c>
      <c r="P286" t="s">
        <v>23</v>
      </c>
    </row>
    <row r="287" spans="1:16" x14ac:dyDescent="0.25">
      <c r="A287">
        <v>333259</v>
      </c>
      <c r="B287" t="s">
        <v>836</v>
      </c>
      <c r="C287" t="s">
        <v>837</v>
      </c>
      <c r="D287" t="s">
        <v>817</v>
      </c>
      <c r="E287" s="1" t="s">
        <v>838</v>
      </c>
      <c r="F287" s="15" t="s">
        <v>839</v>
      </c>
      <c r="G287" t="s">
        <v>840</v>
      </c>
      <c r="H287" t="s">
        <v>22</v>
      </c>
      <c r="I287" s="2">
        <v>6001</v>
      </c>
      <c r="J287" t="s">
        <v>30</v>
      </c>
      <c r="K287">
        <v>19</v>
      </c>
      <c r="L287">
        <v>18</v>
      </c>
      <c r="M287">
        <v>18</v>
      </c>
      <c r="N287">
        <v>16</v>
      </c>
      <c r="O287">
        <v>71</v>
      </c>
      <c r="P287" t="s">
        <v>23</v>
      </c>
    </row>
    <row r="288" spans="1:16" x14ac:dyDescent="0.25">
      <c r="A288">
        <v>369581</v>
      </c>
      <c r="B288" t="s">
        <v>841</v>
      </c>
      <c r="C288" t="s">
        <v>842</v>
      </c>
      <c r="D288" t="s">
        <v>843</v>
      </c>
      <c r="E288" s="1">
        <v>75254</v>
      </c>
      <c r="F288" s="15" t="s">
        <v>844</v>
      </c>
      <c r="G288" t="s">
        <v>845</v>
      </c>
      <c r="H288" t="s">
        <v>22</v>
      </c>
      <c r="I288" s="2">
        <v>6001</v>
      </c>
      <c r="J288" t="s">
        <v>30</v>
      </c>
      <c r="K288">
        <v>128</v>
      </c>
      <c r="L288">
        <v>126</v>
      </c>
      <c r="M288">
        <v>117</v>
      </c>
      <c r="N288">
        <v>87</v>
      </c>
      <c r="O288">
        <v>458</v>
      </c>
      <c r="P288" t="s">
        <v>23</v>
      </c>
    </row>
    <row r="289" spans="1:16" x14ac:dyDescent="0.25">
      <c r="A289">
        <v>328516</v>
      </c>
      <c r="B289" t="s">
        <v>864</v>
      </c>
      <c r="C289" t="s">
        <v>865</v>
      </c>
      <c r="D289" t="s">
        <v>866</v>
      </c>
      <c r="E289" s="1" t="s">
        <v>867</v>
      </c>
      <c r="F289" s="15" t="s">
        <v>868</v>
      </c>
      <c r="G289" t="s">
        <v>869</v>
      </c>
      <c r="H289" t="s">
        <v>22</v>
      </c>
      <c r="I289" s="2">
        <v>6001</v>
      </c>
      <c r="J289" t="s">
        <v>30</v>
      </c>
      <c r="K289">
        <v>7</v>
      </c>
      <c r="L289">
        <v>10</v>
      </c>
      <c r="M289">
        <v>6</v>
      </c>
      <c r="N289">
        <v>7</v>
      </c>
      <c r="O289">
        <v>30</v>
      </c>
      <c r="P289" t="s">
        <v>23</v>
      </c>
    </row>
    <row r="290" spans="1:16" x14ac:dyDescent="0.25">
      <c r="A290">
        <v>344842</v>
      </c>
      <c r="B290" t="s">
        <v>870</v>
      </c>
      <c r="C290" t="s">
        <v>871</v>
      </c>
      <c r="D290" t="s">
        <v>872</v>
      </c>
      <c r="E290" s="1" t="s">
        <v>873</v>
      </c>
      <c r="F290" s="15" t="s">
        <v>704</v>
      </c>
      <c r="G290" t="s">
        <v>874</v>
      </c>
      <c r="H290" t="s">
        <v>22</v>
      </c>
      <c r="I290" s="2">
        <v>6001</v>
      </c>
      <c r="J290" t="s">
        <v>30</v>
      </c>
      <c r="K290">
        <v>42</v>
      </c>
      <c r="L290">
        <v>44</v>
      </c>
      <c r="M290">
        <v>34</v>
      </c>
      <c r="N290">
        <v>38</v>
      </c>
      <c r="O290">
        <v>158</v>
      </c>
      <c r="P290" t="s">
        <v>23</v>
      </c>
    </row>
    <row r="291" spans="1:16" x14ac:dyDescent="0.25">
      <c r="A291">
        <v>370698</v>
      </c>
      <c r="B291" t="s">
        <v>875</v>
      </c>
      <c r="C291" t="s">
        <v>876</v>
      </c>
      <c r="D291" t="s">
        <v>872</v>
      </c>
      <c r="E291" s="1" t="s">
        <v>877</v>
      </c>
      <c r="F291" s="15" t="s">
        <v>704</v>
      </c>
      <c r="G291" t="s">
        <v>878</v>
      </c>
      <c r="H291" t="s">
        <v>22</v>
      </c>
      <c r="I291" s="2">
        <v>6001</v>
      </c>
      <c r="J291" t="s">
        <v>30</v>
      </c>
      <c r="K291">
        <v>0</v>
      </c>
      <c r="L291">
        <v>0</v>
      </c>
      <c r="M291">
        <v>0</v>
      </c>
      <c r="N291">
        <v>2</v>
      </c>
      <c r="O291">
        <v>2</v>
      </c>
      <c r="P291" t="s">
        <v>879</v>
      </c>
    </row>
    <row r="292" spans="1:16" x14ac:dyDescent="0.25">
      <c r="A292">
        <v>328513</v>
      </c>
      <c r="B292" t="s">
        <v>911</v>
      </c>
      <c r="C292" t="s">
        <v>912</v>
      </c>
      <c r="D292" t="s">
        <v>887</v>
      </c>
      <c r="E292" s="1">
        <v>6032</v>
      </c>
      <c r="F292" s="15" t="s">
        <v>913</v>
      </c>
      <c r="G292" t="s">
        <v>914</v>
      </c>
      <c r="H292" t="s">
        <v>22</v>
      </c>
      <c r="I292" s="2">
        <v>6001</v>
      </c>
      <c r="J292" t="s">
        <v>30</v>
      </c>
      <c r="K292">
        <v>24</v>
      </c>
      <c r="L292">
        <v>44</v>
      </c>
      <c r="M292">
        <v>18</v>
      </c>
      <c r="N292">
        <v>15</v>
      </c>
      <c r="O292">
        <v>101</v>
      </c>
      <c r="P292" t="s">
        <v>23</v>
      </c>
    </row>
    <row r="293" spans="1:16" x14ac:dyDescent="0.25">
      <c r="A293">
        <v>333227</v>
      </c>
      <c r="B293" t="s">
        <v>915</v>
      </c>
      <c r="C293" t="s">
        <v>916</v>
      </c>
      <c r="D293" t="s">
        <v>887</v>
      </c>
      <c r="E293" s="1" t="s">
        <v>917</v>
      </c>
      <c r="F293" s="15" t="s">
        <v>918</v>
      </c>
      <c r="G293" t="s">
        <v>919</v>
      </c>
      <c r="H293" t="s">
        <v>22</v>
      </c>
      <c r="I293" s="2">
        <v>6001</v>
      </c>
      <c r="J293" t="s">
        <v>30</v>
      </c>
      <c r="K293">
        <v>84</v>
      </c>
      <c r="L293">
        <v>35</v>
      </c>
      <c r="M293">
        <v>36</v>
      </c>
      <c r="N293">
        <v>20</v>
      </c>
      <c r="O293">
        <v>175</v>
      </c>
      <c r="P293" t="s">
        <v>23</v>
      </c>
    </row>
    <row r="294" spans="1:16" x14ac:dyDescent="0.25">
      <c r="A294">
        <v>328522</v>
      </c>
      <c r="B294" t="s">
        <v>920</v>
      </c>
      <c r="C294" t="s">
        <v>921</v>
      </c>
      <c r="D294" t="s">
        <v>887</v>
      </c>
      <c r="E294" s="1">
        <v>6034</v>
      </c>
      <c r="F294" s="15" t="s">
        <v>922</v>
      </c>
      <c r="G294" t="s">
        <v>923</v>
      </c>
      <c r="H294" t="s">
        <v>22</v>
      </c>
      <c r="I294" s="2">
        <v>6001</v>
      </c>
      <c r="J294" t="s">
        <v>30</v>
      </c>
      <c r="K294" s="15">
        <v>7</v>
      </c>
      <c r="L294" s="15">
        <v>87</v>
      </c>
      <c r="M294" s="15">
        <v>21</v>
      </c>
      <c r="N294" s="15">
        <v>4</v>
      </c>
      <c r="O294" s="15">
        <v>119</v>
      </c>
      <c r="P294" t="s">
        <v>23</v>
      </c>
    </row>
    <row r="295" spans="1:16" x14ac:dyDescent="0.25">
      <c r="A295">
        <v>333247</v>
      </c>
      <c r="B295" t="s">
        <v>924</v>
      </c>
      <c r="C295" t="s">
        <v>925</v>
      </c>
      <c r="D295" t="s">
        <v>887</v>
      </c>
      <c r="E295" s="1" t="s">
        <v>926</v>
      </c>
      <c r="F295" s="15" t="s">
        <v>927</v>
      </c>
      <c r="G295" t="s">
        <v>928</v>
      </c>
      <c r="H295" t="s">
        <v>22</v>
      </c>
      <c r="I295" s="2">
        <v>6001</v>
      </c>
      <c r="J295" t="s">
        <v>30</v>
      </c>
      <c r="K295">
        <v>7</v>
      </c>
      <c r="L295">
        <v>7</v>
      </c>
      <c r="M295">
        <v>10</v>
      </c>
      <c r="N295">
        <v>5</v>
      </c>
      <c r="O295">
        <v>29</v>
      </c>
      <c r="P295" t="s">
        <v>23</v>
      </c>
    </row>
    <row r="296" spans="1:16" x14ac:dyDescent="0.25">
      <c r="A296">
        <v>351164</v>
      </c>
      <c r="B296" t="s">
        <v>939</v>
      </c>
      <c r="C296" t="s">
        <v>940</v>
      </c>
      <c r="D296" t="s">
        <v>941</v>
      </c>
      <c r="E296" s="1" t="s">
        <v>942</v>
      </c>
      <c r="F296" s="15" t="s">
        <v>741</v>
      </c>
      <c r="G296" t="s">
        <v>943</v>
      </c>
      <c r="H296" t="s">
        <v>22</v>
      </c>
      <c r="I296" s="2">
        <v>6001</v>
      </c>
      <c r="J296" t="s">
        <v>30</v>
      </c>
      <c r="K296">
        <v>7</v>
      </c>
      <c r="L296">
        <v>7</v>
      </c>
      <c r="M296">
        <v>8</v>
      </c>
      <c r="N296">
        <v>6</v>
      </c>
      <c r="O296">
        <v>28</v>
      </c>
      <c r="P296" t="s">
        <v>23</v>
      </c>
    </row>
    <row r="297" spans="1:16" x14ac:dyDescent="0.25">
      <c r="A297">
        <v>337038</v>
      </c>
      <c r="B297" t="s">
        <v>954</v>
      </c>
      <c r="C297" t="s">
        <v>955</v>
      </c>
      <c r="D297" t="s">
        <v>946</v>
      </c>
      <c r="E297" s="1">
        <v>6102</v>
      </c>
      <c r="F297" s="15" t="s">
        <v>704</v>
      </c>
      <c r="G297" t="s">
        <v>956</v>
      </c>
      <c r="H297" t="s">
        <v>22</v>
      </c>
      <c r="I297" s="2">
        <v>6001</v>
      </c>
      <c r="J297" t="s">
        <v>30</v>
      </c>
      <c r="K297">
        <v>7</v>
      </c>
      <c r="L297">
        <v>9</v>
      </c>
      <c r="M297">
        <v>7</v>
      </c>
      <c r="N297">
        <v>8</v>
      </c>
      <c r="O297">
        <v>31</v>
      </c>
      <c r="P297" t="s">
        <v>23</v>
      </c>
    </row>
    <row r="298" spans="1:16" x14ac:dyDescent="0.25">
      <c r="A298">
        <v>372999</v>
      </c>
      <c r="B298" t="s">
        <v>954</v>
      </c>
      <c r="C298" t="s">
        <v>955</v>
      </c>
      <c r="D298" t="s">
        <v>946</v>
      </c>
      <c r="E298" s="1">
        <v>6102</v>
      </c>
      <c r="F298" s="15" t="s">
        <v>704</v>
      </c>
      <c r="G298" t="s">
        <v>957</v>
      </c>
      <c r="H298" t="s">
        <v>22</v>
      </c>
      <c r="I298" s="2">
        <v>6001</v>
      </c>
      <c r="J298" t="s">
        <v>30</v>
      </c>
      <c r="K298">
        <v>8</v>
      </c>
      <c r="L298">
        <v>10</v>
      </c>
      <c r="M298">
        <v>4</v>
      </c>
      <c r="N298">
        <v>0</v>
      </c>
      <c r="O298">
        <v>22</v>
      </c>
      <c r="P298" t="s">
        <v>23</v>
      </c>
    </row>
    <row r="299" spans="1:16" x14ac:dyDescent="0.25">
      <c r="A299">
        <v>372943</v>
      </c>
      <c r="B299" t="s">
        <v>954</v>
      </c>
      <c r="C299" t="s">
        <v>955</v>
      </c>
      <c r="D299" t="s">
        <v>946</v>
      </c>
      <c r="E299" s="1">
        <v>6102</v>
      </c>
      <c r="F299" s="15" t="s">
        <v>704</v>
      </c>
      <c r="G299" t="s">
        <v>878</v>
      </c>
      <c r="H299" t="s">
        <v>22</v>
      </c>
      <c r="I299" s="2">
        <v>6001</v>
      </c>
      <c r="J299" t="s">
        <v>30</v>
      </c>
      <c r="K299">
        <v>0</v>
      </c>
      <c r="L299">
        <v>0</v>
      </c>
      <c r="M299">
        <v>0</v>
      </c>
      <c r="N299">
        <v>0</v>
      </c>
      <c r="O299">
        <v>0</v>
      </c>
      <c r="P299" t="s">
        <v>23</v>
      </c>
    </row>
    <row r="300" spans="1:16" x14ac:dyDescent="0.25">
      <c r="A300">
        <v>328517</v>
      </c>
      <c r="B300" t="s">
        <v>978</v>
      </c>
      <c r="C300" t="s">
        <v>979</v>
      </c>
      <c r="D300" t="s">
        <v>980</v>
      </c>
      <c r="E300" s="1" t="s">
        <v>981</v>
      </c>
      <c r="F300" s="15" t="s">
        <v>982</v>
      </c>
      <c r="G300" t="s">
        <v>983</v>
      </c>
      <c r="H300" t="s">
        <v>22</v>
      </c>
      <c r="I300" s="2">
        <v>6001</v>
      </c>
      <c r="J300" t="s">
        <v>30</v>
      </c>
      <c r="K300">
        <v>2</v>
      </c>
      <c r="L300">
        <v>2</v>
      </c>
      <c r="M300">
        <v>1</v>
      </c>
      <c r="N300">
        <v>2</v>
      </c>
      <c r="O300">
        <v>7</v>
      </c>
      <c r="P300" t="s">
        <v>23</v>
      </c>
    </row>
    <row r="301" spans="1:16" x14ac:dyDescent="0.25">
      <c r="A301">
        <v>339253</v>
      </c>
      <c r="B301" t="s">
        <v>1035</v>
      </c>
      <c r="C301" t="s">
        <v>1036</v>
      </c>
      <c r="D301" t="s">
        <v>986</v>
      </c>
      <c r="E301" s="1">
        <v>2919</v>
      </c>
      <c r="F301" s="15" t="s">
        <v>1037</v>
      </c>
      <c r="G301" t="s">
        <v>1038</v>
      </c>
      <c r="H301" t="s">
        <v>22</v>
      </c>
      <c r="I301" s="2">
        <v>6001</v>
      </c>
      <c r="J301" t="s">
        <v>30</v>
      </c>
      <c r="K301">
        <v>0</v>
      </c>
      <c r="L301">
        <v>2</v>
      </c>
      <c r="M301">
        <v>2</v>
      </c>
      <c r="N301">
        <v>1</v>
      </c>
      <c r="O301">
        <v>5</v>
      </c>
      <c r="P301" t="s">
        <v>435</v>
      </c>
    </row>
    <row r="302" spans="1:16" x14ac:dyDescent="0.25">
      <c r="A302">
        <v>328490</v>
      </c>
      <c r="B302" t="s">
        <v>984</v>
      </c>
      <c r="C302" t="s">
        <v>985</v>
      </c>
      <c r="D302" t="s">
        <v>986</v>
      </c>
      <c r="E302" s="1">
        <v>2919</v>
      </c>
      <c r="F302" s="15" t="s">
        <v>1039</v>
      </c>
      <c r="G302" t="s">
        <v>1040</v>
      </c>
      <c r="H302" t="s">
        <v>22</v>
      </c>
      <c r="I302" s="2">
        <v>6001</v>
      </c>
      <c r="J302" t="s">
        <v>30</v>
      </c>
      <c r="K302">
        <v>1</v>
      </c>
      <c r="L302">
        <v>14</v>
      </c>
      <c r="M302">
        <v>27</v>
      </c>
      <c r="N302">
        <v>27</v>
      </c>
      <c r="O302">
        <v>69</v>
      </c>
      <c r="P302" t="s">
        <v>23</v>
      </c>
    </row>
    <row r="303" spans="1:16" x14ac:dyDescent="0.25">
      <c r="A303">
        <v>328489</v>
      </c>
      <c r="B303" t="s">
        <v>984</v>
      </c>
      <c r="C303" t="s">
        <v>1041</v>
      </c>
      <c r="D303" t="s">
        <v>986</v>
      </c>
      <c r="E303" s="1">
        <v>2919</v>
      </c>
      <c r="F303" s="15" t="s">
        <v>1042</v>
      </c>
      <c r="G303" t="s">
        <v>1043</v>
      </c>
      <c r="H303" t="s">
        <v>22</v>
      </c>
      <c r="I303" s="2">
        <v>6001</v>
      </c>
      <c r="J303" t="s">
        <v>30</v>
      </c>
      <c r="K303">
        <v>10</v>
      </c>
      <c r="L303">
        <v>58</v>
      </c>
      <c r="M303">
        <v>17</v>
      </c>
      <c r="N303">
        <v>0</v>
      </c>
      <c r="O303">
        <v>85</v>
      </c>
      <c r="P303" t="s">
        <v>23</v>
      </c>
    </row>
    <row r="304" spans="1:16" x14ac:dyDescent="0.25">
      <c r="A304">
        <v>333620</v>
      </c>
      <c r="B304" t="s">
        <v>984</v>
      </c>
      <c r="C304" t="s">
        <v>1041</v>
      </c>
      <c r="D304" t="s">
        <v>986</v>
      </c>
      <c r="E304" s="1" t="s">
        <v>1004</v>
      </c>
      <c r="F304" s="15" t="s">
        <v>1044</v>
      </c>
      <c r="G304" t="s">
        <v>1045</v>
      </c>
      <c r="H304" t="s">
        <v>22</v>
      </c>
      <c r="I304" s="2">
        <v>6001</v>
      </c>
      <c r="J304" t="s">
        <v>30</v>
      </c>
      <c r="K304">
        <v>26</v>
      </c>
      <c r="L304">
        <v>80</v>
      </c>
      <c r="M304">
        <v>25</v>
      </c>
      <c r="N304">
        <v>7</v>
      </c>
      <c r="O304">
        <v>138</v>
      </c>
      <c r="P304" t="s">
        <v>23</v>
      </c>
    </row>
    <row r="305" spans="1:16" x14ac:dyDescent="0.25">
      <c r="A305">
        <v>333250</v>
      </c>
      <c r="B305" t="s">
        <v>1046</v>
      </c>
      <c r="C305" t="s">
        <v>1047</v>
      </c>
      <c r="D305" t="s">
        <v>1048</v>
      </c>
      <c r="E305" s="1">
        <v>33469</v>
      </c>
      <c r="F305" s="15" t="s">
        <v>1049</v>
      </c>
      <c r="G305" t="s">
        <v>1050</v>
      </c>
      <c r="H305" t="s">
        <v>22</v>
      </c>
      <c r="I305" s="2">
        <v>6001</v>
      </c>
      <c r="J305" t="s">
        <v>30</v>
      </c>
      <c r="K305">
        <v>27</v>
      </c>
      <c r="L305">
        <v>21</v>
      </c>
      <c r="M305">
        <v>11</v>
      </c>
      <c r="N305">
        <v>8</v>
      </c>
      <c r="O305">
        <v>67</v>
      </c>
      <c r="P305" t="s">
        <v>23</v>
      </c>
    </row>
    <row r="306" spans="1:16" x14ac:dyDescent="0.25">
      <c r="A306">
        <v>328718</v>
      </c>
      <c r="B306" t="s">
        <v>1062</v>
      </c>
      <c r="C306" t="s">
        <v>1063</v>
      </c>
      <c r="D306" t="s">
        <v>1064</v>
      </c>
      <c r="E306" s="1" t="s">
        <v>1065</v>
      </c>
      <c r="F306" s="15" t="s">
        <v>777</v>
      </c>
      <c r="G306" t="s">
        <v>1066</v>
      </c>
      <c r="H306" t="s">
        <v>22</v>
      </c>
      <c r="I306" s="2">
        <v>6001</v>
      </c>
      <c r="J306" t="s">
        <v>30</v>
      </c>
      <c r="K306">
        <v>14</v>
      </c>
      <c r="L306">
        <v>15</v>
      </c>
      <c r="M306">
        <v>14</v>
      </c>
      <c r="N306">
        <v>14</v>
      </c>
      <c r="O306">
        <v>57</v>
      </c>
      <c r="P306" t="s">
        <v>23</v>
      </c>
    </row>
    <row r="307" spans="1:16" x14ac:dyDescent="0.25">
      <c r="A307">
        <v>328515</v>
      </c>
      <c r="B307" t="s">
        <v>1067</v>
      </c>
      <c r="C307" t="s">
        <v>1068</v>
      </c>
      <c r="D307" t="s">
        <v>1069</v>
      </c>
      <c r="E307" s="1" t="s">
        <v>1070</v>
      </c>
      <c r="F307" s="15" t="s">
        <v>1071</v>
      </c>
      <c r="G307" t="s">
        <v>1072</v>
      </c>
      <c r="H307" t="s">
        <v>22</v>
      </c>
      <c r="I307" s="2">
        <v>6001</v>
      </c>
      <c r="J307" t="s">
        <v>30</v>
      </c>
      <c r="K307">
        <v>4</v>
      </c>
      <c r="L307">
        <v>5</v>
      </c>
      <c r="M307">
        <v>5</v>
      </c>
      <c r="N307">
        <v>7</v>
      </c>
      <c r="O307">
        <v>21</v>
      </c>
      <c r="P307" t="s">
        <v>23</v>
      </c>
    </row>
    <row r="308" spans="1:16" x14ac:dyDescent="0.25">
      <c r="A308">
        <v>333222</v>
      </c>
      <c r="B308" t="s">
        <v>1073</v>
      </c>
      <c r="C308" t="s">
        <v>1074</v>
      </c>
      <c r="D308" t="s">
        <v>1069</v>
      </c>
      <c r="E308" s="1" t="s">
        <v>1075</v>
      </c>
      <c r="F308" s="15" t="s">
        <v>982</v>
      </c>
      <c r="G308" t="s">
        <v>1076</v>
      </c>
      <c r="H308" t="s">
        <v>22</v>
      </c>
      <c r="I308" s="2">
        <v>6001</v>
      </c>
      <c r="J308" t="s">
        <v>30</v>
      </c>
      <c r="K308">
        <v>152</v>
      </c>
      <c r="L308">
        <v>128</v>
      </c>
      <c r="M308">
        <v>104</v>
      </c>
      <c r="N308">
        <v>92</v>
      </c>
      <c r="O308">
        <v>476</v>
      </c>
      <c r="P308" t="s">
        <v>23</v>
      </c>
    </row>
    <row r="309" spans="1:16" s="35" customFormat="1" x14ac:dyDescent="0.25">
      <c r="A309" s="35">
        <v>328480</v>
      </c>
      <c r="B309" s="35" t="s">
        <v>1112</v>
      </c>
      <c r="C309" s="35" t="s">
        <v>1113</v>
      </c>
      <c r="D309" s="35" t="s">
        <v>1105</v>
      </c>
      <c r="E309" s="89">
        <v>6057</v>
      </c>
      <c r="F309" s="35" t="s">
        <v>661</v>
      </c>
      <c r="G309" s="35" t="s">
        <v>662</v>
      </c>
      <c r="H309" s="35" t="s">
        <v>22</v>
      </c>
      <c r="I309" s="90">
        <v>6001</v>
      </c>
      <c r="J309" s="35" t="s">
        <v>30</v>
      </c>
      <c r="K309" s="35">
        <v>0</v>
      </c>
      <c r="L309" s="35">
        <v>0</v>
      </c>
      <c r="M309" s="35">
        <v>0</v>
      </c>
      <c r="N309" s="35">
        <v>-155</v>
      </c>
      <c r="O309" s="35">
        <v>-155</v>
      </c>
      <c r="P309" s="35" t="s">
        <v>1114</v>
      </c>
    </row>
    <row r="310" spans="1:16" x14ac:dyDescent="0.25">
      <c r="A310">
        <v>341193</v>
      </c>
      <c r="B310" t="s">
        <v>1147</v>
      </c>
      <c r="C310" t="s">
        <v>1148</v>
      </c>
      <c r="D310" t="s">
        <v>1149</v>
      </c>
      <c r="E310" s="1" t="s">
        <v>1150</v>
      </c>
      <c r="F310" s="15" t="s">
        <v>839</v>
      </c>
      <c r="G310" t="s">
        <v>1151</v>
      </c>
      <c r="H310" t="s">
        <v>22</v>
      </c>
      <c r="I310" s="2">
        <v>6001</v>
      </c>
      <c r="J310" t="s">
        <v>30</v>
      </c>
      <c r="K310">
        <v>145</v>
      </c>
      <c r="L310">
        <v>150</v>
      </c>
      <c r="M310">
        <v>149</v>
      </c>
      <c r="N310">
        <v>142</v>
      </c>
      <c r="O310">
        <v>586</v>
      </c>
      <c r="P310" t="s">
        <v>23</v>
      </c>
    </row>
    <row r="311" spans="1:16" x14ac:dyDescent="0.25">
      <c r="A311">
        <v>333275</v>
      </c>
      <c r="B311" t="s">
        <v>1152</v>
      </c>
      <c r="C311" t="s">
        <v>1153</v>
      </c>
      <c r="D311" t="s">
        <v>1154</v>
      </c>
      <c r="E311" s="1" t="s">
        <v>1155</v>
      </c>
      <c r="F311" s="15" t="s">
        <v>1156</v>
      </c>
      <c r="G311" t="s">
        <v>1157</v>
      </c>
      <c r="H311" t="s">
        <v>22</v>
      </c>
      <c r="I311" s="2">
        <v>6001</v>
      </c>
      <c r="J311" t="s">
        <v>30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23</v>
      </c>
    </row>
    <row r="312" spans="1:16" x14ac:dyDescent="0.25">
      <c r="A312">
        <v>333223</v>
      </c>
      <c r="B312" t="s">
        <v>1158</v>
      </c>
      <c r="C312" t="s">
        <v>1159</v>
      </c>
      <c r="D312" t="s">
        <v>1160</v>
      </c>
      <c r="E312" s="1" t="s">
        <v>1161</v>
      </c>
      <c r="F312" s="15" t="s">
        <v>1162</v>
      </c>
      <c r="G312" t="s">
        <v>1163</v>
      </c>
      <c r="H312" t="s">
        <v>22</v>
      </c>
      <c r="I312" s="2">
        <v>6001</v>
      </c>
      <c r="J312" t="s">
        <v>30</v>
      </c>
      <c r="K312">
        <v>39</v>
      </c>
      <c r="L312">
        <v>285</v>
      </c>
      <c r="M312">
        <v>46</v>
      </c>
      <c r="N312">
        <v>0</v>
      </c>
      <c r="O312">
        <v>370</v>
      </c>
      <c r="P312" t="s">
        <v>934</v>
      </c>
    </row>
    <row r="313" spans="1:16" x14ac:dyDescent="0.25">
      <c r="A313">
        <v>334352</v>
      </c>
      <c r="B313" t="s">
        <v>1158</v>
      </c>
      <c r="C313" t="s">
        <v>1159</v>
      </c>
      <c r="D313" t="s">
        <v>1160</v>
      </c>
      <c r="E313" s="1" t="s">
        <v>1161</v>
      </c>
      <c r="F313" s="15" t="s">
        <v>1164</v>
      </c>
      <c r="G313" t="s">
        <v>1165</v>
      </c>
      <c r="H313" t="s">
        <v>22</v>
      </c>
      <c r="I313" s="2">
        <v>6001</v>
      </c>
      <c r="J313" t="s">
        <v>30</v>
      </c>
      <c r="K313">
        <v>107</v>
      </c>
      <c r="L313">
        <v>83</v>
      </c>
      <c r="M313">
        <v>96</v>
      </c>
      <c r="N313">
        <v>99</v>
      </c>
      <c r="O313">
        <v>385</v>
      </c>
      <c r="P313" t="s">
        <v>23</v>
      </c>
    </row>
    <row r="314" spans="1:16" x14ac:dyDescent="0.25">
      <c r="A314">
        <v>328511</v>
      </c>
      <c r="B314" t="s">
        <v>1166</v>
      </c>
      <c r="C314" t="s">
        <v>1167</v>
      </c>
      <c r="D314" t="s">
        <v>1168</v>
      </c>
      <c r="E314" s="1" t="s">
        <v>1169</v>
      </c>
      <c r="F314" s="15" t="s">
        <v>1170</v>
      </c>
      <c r="G314" t="s">
        <v>1171</v>
      </c>
      <c r="H314" t="s">
        <v>22</v>
      </c>
      <c r="I314" s="2">
        <v>6001</v>
      </c>
      <c r="J314" t="s">
        <v>30</v>
      </c>
      <c r="K314">
        <v>3</v>
      </c>
      <c r="L314">
        <v>5</v>
      </c>
      <c r="M314">
        <v>14</v>
      </c>
      <c r="N314">
        <v>2</v>
      </c>
      <c r="O314">
        <v>24</v>
      </c>
      <c r="P314" t="s">
        <v>23</v>
      </c>
    </row>
    <row r="315" spans="1:16" x14ac:dyDescent="0.25">
      <c r="A315">
        <v>328492</v>
      </c>
      <c r="B315" t="s">
        <v>1182</v>
      </c>
      <c r="C315" t="s">
        <v>1183</v>
      </c>
      <c r="D315" t="s">
        <v>1174</v>
      </c>
      <c r="E315" s="1" t="s">
        <v>1184</v>
      </c>
      <c r="F315" s="15" t="s">
        <v>1185</v>
      </c>
      <c r="G315" t="s">
        <v>1186</v>
      </c>
      <c r="H315" t="s">
        <v>22</v>
      </c>
      <c r="I315" s="2">
        <v>6001</v>
      </c>
      <c r="J315" t="s">
        <v>30</v>
      </c>
      <c r="K315">
        <v>34</v>
      </c>
      <c r="L315">
        <v>42</v>
      </c>
      <c r="M315">
        <v>34</v>
      </c>
      <c r="N315">
        <v>32</v>
      </c>
      <c r="O315">
        <v>142</v>
      </c>
      <c r="P315" t="s">
        <v>23</v>
      </c>
    </row>
    <row r="316" spans="1:16" x14ac:dyDescent="0.25">
      <c r="A316">
        <v>328506</v>
      </c>
      <c r="B316" t="s">
        <v>1187</v>
      </c>
      <c r="C316" t="s">
        <v>1188</v>
      </c>
      <c r="D316" t="s">
        <v>1189</v>
      </c>
      <c r="E316" s="1" t="s">
        <v>1190</v>
      </c>
      <c r="F316" s="15" t="s">
        <v>1191</v>
      </c>
      <c r="G316" t="s">
        <v>1192</v>
      </c>
      <c r="H316" t="s">
        <v>22</v>
      </c>
      <c r="I316" s="2">
        <v>6001</v>
      </c>
      <c r="J316" t="s">
        <v>30</v>
      </c>
      <c r="K316">
        <v>17</v>
      </c>
      <c r="L316">
        <v>124</v>
      </c>
      <c r="M316">
        <v>34</v>
      </c>
      <c r="N316">
        <v>3</v>
      </c>
      <c r="O316">
        <v>178</v>
      </c>
      <c r="P316" t="s">
        <v>23</v>
      </c>
    </row>
    <row r="317" spans="1:16" x14ac:dyDescent="0.25">
      <c r="A317">
        <v>333232</v>
      </c>
      <c r="B317" t="s">
        <v>1193</v>
      </c>
      <c r="C317" t="s">
        <v>1188</v>
      </c>
      <c r="D317" t="s">
        <v>1189</v>
      </c>
      <c r="E317" s="1" t="s">
        <v>1190</v>
      </c>
      <c r="F317" s="15" t="s">
        <v>1194</v>
      </c>
      <c r="G317" t="s">
        <v>1195</v>
      </c>
      <c r="H317" t="s">
        <v>22</v>
      </c>
      <c r="I317" s="2">
        <v>6001</v>
      </c>
      <c r="J317" t="s">
        <v>30</v>
      </c>
      <c r="K317">
        <v>96</v>
      </c>
      <c r="L317">
        <v>103</v>
      </c>
      <c r="M317">
        <v>77</v>
      </c>
      <c r="N317">
        <v>68</v>
      </c>
      <c r="O317">
        <v>344</v>
      </c>
      <c r="P317" t="s">
        <v>23</v>
      </c>
    </row>
    <row r="318" spans="1:16" x14ac:dyDescent="0.25">
      <c r="A318">
        <v>333233</v>
      </c>
      <c r="B318" t="s">
        <v>1196</v>
      </c>
      <c r="C318" t="s">
        <v>1188</v>
      </c>
      <c r="D318" t="s">
        <v>1189</v>
      </c>
      <c r="E318" s="1" t="s">
        <v>1190</v>
      </c>
      <c r="F318" s="15" t="s">
        <v>1197</v>
      </c>
      <c r="G318" t="s">
        <v>1198</v>
      </c>
      <c r="H318" t="s">
        <v>22</v>
      </c>
      <c r="I318" s="2">
        <v>6001</v>
      </c>
      <c r="J318" t="s">
        <v>30</v>
      </c>
      <c r="K318">
        <v>0</v>
      </c>
      <c r="L318">
        <v>50</v>
      </c>
      <c r="M318">
        <v>45</v>
      </c>
      <c r="N318">
        <v>0</v>
      </c>
      <c r="O318">
        <v>95</v>
      </c>
      <c r="P318" t="s">
        <v>23</v>
      </c>
    </row>
    <row r="319" spans="1:16" x14ac:dyDescent="0.25">
      <c r="A319">
        <v>351688</v>
      </c>
      <c r="B319" t="s">
        <v>1226</v>
      </c>
      <c r="C319" t="s">
        <v>1212</v>
      </c>
      <c r="D319" t="s">
        <v>1207</v>
      </c>
      <c r="E319" s="1">
        <v>99210</v>
      </c>
      <c r="F319" s="15" t="s">
        <v>1227</v>
      </c>
      <c r="G319" t="s">
        <v>1228</v>
      </c>
      <c r="H319" t="s">
        <v>22</v>
      </c>
      <c r="I319" s="2">
        <v>6001</v>
      </c>
      <c r="J319" t="s">
        <v>30</v>
      </c>
      <c r="K319">
        <v>67</v>
      </c>
      <c r="L319">
        <v>15</v>
      </c>
      <c r="M319">
        <v>11</v>
      </c>
      <c r="N319">
        <v>23</v>
      </c>
      <c r="O319">
        <v>116</v>
      </c>
      <c r="P319" t="s">
        <v>23</v>
      </c>
    </row>
    <row r="320" spans="1:16" x14ac:dyDescent="0.25">
      <c r="A320">
        <v>333272</v>
      </c>
      <c r="B320" t="s">
        <v>1229</v>
      </c>
      <c r="C320" t="s">
        <v>1214</v>
      </c>
      <c r="D320" t="s">
        <v>1207</v>
      </c>
      <c r="E320" s="1" t="s">
        <v>1208</v>
      </c>
      <c r="F320" s="15" t="s">
        <v>1230</v>
      </c>
      <c r="G320" t="s">
        <v>1231</v>
      </c>
      <c r="H320" t="s">
        <v>22</v>
      </c>
      <c r="I320" s="2">
        <v>6001</v>
      </c>
      <c r="J320" t="s">
        <v>30</v>
      </c>
      <c r="K320">
        <v>58</v>
      </c>
      <c r="L320">
        <v>48</v>
      </c>
      <c r="M320">
        <v>50</v>
      </c>
      <c r="N320">
        <v>53</v>
      </c>
      <c r="O320">
        <v>209</v>
      </c>
      <c r="P320" t="s">
        <v>23</v>
      </c>
    </row>
    <row r="321" spans="1:16" x14ac:dyDescent="0.25">
      <c r="A321">
        <v>328514</v>
      </c>
      <c r="B321" t="s">
        <v>1232</v>
      </c>
      <c r="C321" t="s">
        <v>1233</v>
      </c>
      <c r="D321" t="s">
        <v>1207</v>
      </c>
      <c r="E321" s="1" t="s">
        <v>1234</v>
      </c>
      <c r="F321" s="15" t="s">
        <v>1235</v>
      </c>
      <c r="G321" t="s">
        <v>1236</v>
      </c>
      <c r="H321" t="s">
        <v>22</v>
      </c>
      <c r="I321" s="2">
        <v>6001</v>
      </c>
      <c r="J321" t="s">
        <v>30</v>
      </c>
      <c r="K321">
        <v>5</v>
      </c>
      <c r="L321">
        <v>9</v>
      </c>
      <c r="M321">
        <v>10</v>
      </c>
      <c r="N321">
        <v>9</v>
      </c>
      <c r="O321">
        <v>33</v>
      </c>
      <c r="P321" t="s">
        <v>23</v>
      </c>
    </row>
    <row r="322" spans="1:16" x14ac:dyDescent="0.25">
      <c r="A322">
        <v>368811</v>
      </c>
      <c r="B322" t="s">
        <v>1237</v>
      </c>
      <c r="C322" t="s">
        <v>1214</v>
      </c>
      <c r="D322" t="s">
        <v>1207</v>
      </c>
      <c r="E322" s="1" t="s">
        <v>1208</v>
      </c>
      <c r="F322" s="15" t="s">
        <v>777</v>
      </c>
      <c r="G322" t="s">
        <v>1238</v>
      </c>
      <c r="H322" t="s">
        <v>22</v>
      </c>
      <c r="I322" s="2">
        <v>6001</v>
      </c>
      <c r="J322" t="s">
        <v>30</v>
      </c>
      <c r="K322">
        <v>0</v>
      </c>
      <c r="L322">
        <v>0</v>
      </c>
      <c r="M322">
        <v>1</v>
      </c>
      <c r="N322">
        <v>1</v>
      </c>
      <c r="O322">
        <v>2</v>
      </c>
      <c r="P322" t="s">
        <v>23</v>
      </c>
    </row>
    <row r="323" spans="1:16" x14ac:dyDescent="0.25">
      <c r="A323">
        <v>333243</v>
      </c>
      <c r="B323" t="s">
        <v>1239</v>
      </c>
      <c r="C323" t="s">
        <v>1214</v>
      </c>
      <c r="D323" t="s">
        <v>1207</v>
      </c>
      <c r="E323" s="1" t="s">
        <v>1208</v>
      </c>
      <c r="F323" s="15" t="s">
        <v>1240</v>
      </c>
      <c r="G323" t="s">
        <v>1241</v>
      </c>
      <c r="H323" t="s">
        <v>22</v>
      </c>
      <c r="I323" s="2">
        <v>6001</v>
      </c>
      <c r="J323" t="s">
        <v>30</v>
      </c>
      <c r="K323">
        <v>165</v>
      </c>
      <c r="L323">
        <v>159</v>
      </c>
      <c r="M323">
        <v>157</v>
      </c>
      <c r="N323">
        <v>155</v>
      </c>
      <c r="O323">
        <v>636</v>
      </c>
      <c r="P323" t="s">
        <v>23</v>
      </c>
    </row>
    <row r="324" spans="1:16" x14ac:dyDescent="0.25">
      <c r="A324">
        <v>333248</v>
      </c>
      <c r="B324" t="s">
        <v>1242</v>
      </c>
      <c r="C324" t="s">
        <v>1214</v>
      </c>
      <c r="D324" t="s">
        <v>1207</v>
      </c>
      <c r="E324" s="1" t="s">
        <v>1208</v>
      </c>
      <c r="F324" s="15" t="s">
        <v>1243</v>
      </c>
      <c r="G324" t="s">
        <v>1244</v>
      </c>
      <c r="H324" t="s">
        <v>22</v>
      </c>
      <c r="I324" s="2">
        <v>6001</v>
      </c>
      <c r="J324" t="s">
        <v>30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23</v>
      </c>
    </row>
    <row r="325" spans="1:16" x14ac:dyDescent="0.25">
      <c r="A325">
        <v>328525</v>
      </c>
      <c r="B325" t="s">
        <v>1245</v>
      </c>
      <c r="C325" t="s">
        <v>1214</v>
      </c>
      <c r="D325" t="s">
        <v>1207</v>
      </c>
      <c r="E325" s="1" t="s">
        <v>1208</v>
      </c>
      <c r="F325" s="15" t="s">
        <v>1243</v>
      </c>
      <c r="G325" t="s">
        <v>1246</v>
      </c>
      <c r="H325" t="s">
        <v>22</v>
      </c>
      <c r="I325" s="2">
        <v>6001</v>
      </c>
      <c r="J325" t="s">
        <v>30</v>
      </c>
      <c r="K325">
        <v>11</v>
      </c>
      <c r="L325">
        <v>12</v>
      </c>
      <c r="M325">
        <v>10</v>
      </c>
      <c r="N325">
        <v>11</v>
      </c>
      <c r="O325">
        <v>44</v>
      </c>
      <c r="P325" t="s">
        <v>23</v>
      </c>
    </row>
    <row r="326" spans="1:16" x14ac:dyDescent="0.25">
      <c r="A326">
        <v>333254</v>
      </c>
      <c r="B326" t="s">
        <v>1247</v>
      </c>
      <c r="C326" t="s">
        <v>1214</v>
      </c>
      <c r="D326" t="s">
        <v>1207</v>
      </c>
      <c r="E326" s="1" t="s">
        <v>1208</v>
      </c>
      <c r="F326" s="15" t="s">
        <v>839</v>
      </c>
      <c r="G326" t="s">
        <v>1248</v>
      </c>
      <c r="H326" t="s">
        <v>22</v>
      </c>
      <c r="I326" s="2">
        <v>6001</v>
      </c>
      <c r="J326" t="s">
        <v>30</v>
      </c>
      <c r="K326">
        <v>79</v>
      </c>
      <c r="L326">
        <v>84</v>
      </c>
      <c r="M326">
        <v>74</v>
      </c>
      <c r="N326">
        <v>61</v>
      </c>
      <c r="O326">
        <v>298</v>
      </c>
      <c r="P326" t="s">
        <v>23</v>
      </c>
    </row>
    <row r="327" spans="1:16" x14ac:dyDescent="0.25">
      <c r="A327">
        <v>328723</v>
      </c>
      <c r="B327" t="s">
        <v>1249</v>
      </c>
      <c r="C327" t="s">
        <v>1214</v>
      </c>
      <c r="D327" t="s">
        <v>1207</v>
      </c>
      <c r="E327" s="1" t="s">
        <v>1208</v>
      </c>
      <c r="F327" s="15" t="s">
        <v>1250</v>
      </c>
      <c r="G327" t="s">
        <v>1251</v>
      </c>
      <c r="H327" t="s">
        <v>22</v>
      </c>
      <c r="I327" s="2">
        <v>6001</v>
      </c>
      <c r="J327" t="s">
        <v>30</v>
      </c>
      <c r="K327">
        <v>2</v>
      </c>
      <c r="L327">
        <v>3</v>
      </c>
      <c r="M327">
        <v>3</v>
      </c>
      <c r="N327">
        <v>2</v>
      </c>
      <c r="O327">
        <v>10</v>
      </c>
      <c r="P327" t="s">
        <v>23</v>
      </c>
    </row>
    <row r="328" spans="1:16" x14ac:dyDescent="0.25">
      <c r="A328">
        <v>333225</v>
      </c>
      <c r="B328" t="s">
        <v>1252</v>
      </c>
      <c r="C328" t="s">
        <v>1214</v>
      </c>
      <c r="D328" t="s">
        <v>1207</v>
      </c>
      <c r="E328" s="1" t="s">
        <v>1208</v>
      </c>
      <c r="F328" s="15" t="s">
        <v>741</v>
      </c>
      <c r="G328" t="s">
        <v>1253</v>
      </c>
      <c r="H328" t="s">
        <v>22</v>
      </c>
      <c r="I328" s="2">
        <v>6001</v>
      </c>
      <c r="J328" t="s">
        <v>30</v>
      </c>
      <c r="K328">
        <v>245</v>
      </c>
      <c r="L328">
        <v>475</v>
      </c>
      <c r="M328">
        <v>329</v>
      </c>
      <c r="N328">
        <v>204</v>
      </c>
      <c r="O328">
        <v>1253</v>
      </c>
      <c r="P328" t="s">
        <v>23</v>
      </c>
    </row>
    <row r="329" spans="1:16" x14ac:dyDescent="0.25">
      <c r="A329">
        <v>333253</v>
      </c>
      <c r="B329" t="s">
        <v>1254</v>
      </c>
      <c r="C329" t="s">
        <v>1255</v>
      </c>
      <c r="D329" t="s">
        <v>1207</v>
      </c>
      <c r="E329" s="1" t="s">
        <v>1256</v>
      </c>
      <c r="F329" s="15" t="s">
        <v>1257</v>
      </c>
      <c r="G329" t="s">
        <v>1258</v>
      </c>
      <c r="H329" t="s">
        <v>22</v>
      </c>
      <c r="I329" s="2">
        <v>6001</v>
      </c>
      <c r="J329" t="s">
        <v>30</v>
      </c>
      <c r="K329">
        <v>2</v>
      </c>
      <c r="L329">
        <v>3</v>
      </c>
      <c r="M329">
        <v>3</v>
      </c>
      <c r="N329">
        <v>2</v>
      </c>
      <c r="O329">
        <v>10</v>
      </c>
      <c r="P329" t="s">
        <v>23</v>
      </c>
    </row>
    <row r="330" spans="1:16" x14ac:dyDescent="0.25">
      <c r="A330">
        <v>333558</v>
      </c>
      <c r="B330" t="s">
        <v>1252</v>
      </c>
      <c r="C330" t="s">
        <v>1206</v>
      </c>
      <c r="D330" t="s">
        <v>1207</v>
      </c>
      <c r="E330" s="1" t="s">
        <v>1208</v>
      </c>
      <c r="F330" s="15" t="s">
        <v>1259</v>
      </c>
      <c r="G330" t="s">
        <v>1260</v>
      </c>
      <c r="H330" t="s">
        <v>22</v>
      </c>
      <c r="I330" s="2">
        <v>6001</v>
      </c>
      <c r="J330" t="s">
        <v>30</v>
      </c>
      <c r="K330">
        <v>453</v>
      </c>
      <c r="L330">
        <v>707</v>
      </c>
      <c r="M330">
        <v>544</v>
      </c>
      <c r="N330">
        <v>425</v>
      </c>
      <c r="O330">
        <v>2129</v>
      </c>
      <c r="P330" t="s">
        <v>23</v>
      </c>
    </row>
    <row r="331" spans="1:16" x14ac:dyDescent="0.25">
      <c r="A331">
        <v>333251</v>
      </c>
      <c r="B331" t="s">
        <v>1307</v>
      </c>
      <c r="C331" t="s">
        <v>1308</v>
      </c>
      <c r="D331" t="s">
        <v>1303</v>
      </c>
      <c r="E331" s="1">
        <v>6795</v>
      </c>
      <c r="F331" s="15" t="s">
        <v>1309</v>
      </c>
      <c r="G331" t="s">
        <v>1310</v>
      </c>
      <c r="H331" t="s">
        <v>22</v>
      </c>
      <c r="I331" s="2">
        <v>6001</v>
      </c>
      <c r="J331" t="s">
        <v>30</v>
      </c>
      <c r="K331">
        <v>47</v>
      </c>
      <c r="L331">
        <v>349</v>
      </c>
      <c r="M331">
        <v>125</v>
      </c>
      <c r="N331">
        <v>0</v>
      </c>
      <c r="O331">
        <v>521</v>
      </c>
      <c r="P331" t="s">
        <v>23</v>
      </c>
    </row>
    <row r="332" spans="1:16" x14ac:dyDescent="0.25">
      <c r="A332">
        <v>328505</v>
      </c>
      <c r="B332" t="s">
        <v>1333</v>
      </c>
      <c r="C332" t="s">
        <v>1334</v>
      </c>
      <c r="D332" t="s">
        <v>1324</v>
      </c>
      <c r="E332" s="1">
        <v>6107</v>
      </c>
      <c r="F332" s="15" t="s">
        <v>653</v>
      </c>
      <c r="G332" t="s">
        <v>1335</v>
      </c>
      <c r="H332" t="s">
        <v>22</v>
      </c>
      <c r="I332" s="2">
        <v>6001</v>
      </c>
      <c r="J332" t="s">
        <v>30</v>
      </c>
      <c r="K332">
        <v>32</v>
      </c>
      <c r="L332">
        <v>40</v>
      </c>
      <c r="M332">
        <v>17</v>
      </c>
      <c r="N332">
        <v>18</v>
      </c>
      <c r="O332">
        <v>107</v>
      </c>
      <c r="P332" t="s">
        <v>23</v>
      </c>
    </row>
    <row r="333" spans="1:16" x14ac:dyDescent="0.25">
      <c r="A333">
        <v>333245</v>
      </c>
      <c r="B333" t="s">
        <v>1336</v>
      </c>
      <c r="C333" t="s">
        <v>1337</v>
      </c>
      <c r="D333" t="s">
        <v>1324</v>
      </c>
      <c r="E333" s="1">
        <v>6107</v>
      </c>
      <c r="F333" s="15" t="s">
        <v>1338</v>
      </c>
      <c r="G333" t="s">
        <v>1339</v>
      </c>
      <c r="H333" t="s">
        <v>22</v>
      </c>
      <c r="I333" s="2">
        <v>6001</v>
      </c>
      <c r="J333" t="s">
        <v>30</v>
      </c>
      <c r="K333">
        <v>30</v>
      </c>
      <c r="L333">
        <v>284</v>
      </c>
      <c r="M333">
        <v>43</v>
      </c>
      <c r="N333">
        <v>18</v>
      </c>
      <c r="O333">
        <v>375</v>
      </c>
      <c r="P333" t="s">
        <v>23</v>
      </c>
    </row>
    <row r="334" spans="1:16" x14ac:dyDescent="0.25">
      <c r="A334">
        <v>328487</v>
      </c>
      <c r="B334" t="s">
        <v>1340</v>
      </c>
      <c r="C334" t="s">
        <v>1341</v>
      </c>
      <c r="D334" t="s">
        <v>1324</v>
      </c>
      <c r="E334" s="1" t="s">
        <v>1342</v>
      </c>
      <c r="F334" s="15" t="s">
        <v>1343</v>
      </c>
      <c r="G334" t="s">
        <v>1344</v>
      </c>
      <c r="H334" t="s">
        <v>22</v>
      </c>
      <c r="I334" s="2">
        <v>6001</v>
      </c>
      <c r="J334" t="s">
        <v>30</v>
      </c>
      <c r="K334">
        <v>21</v>
      </c>
      <c r="L334">
        <v>21</v>
      </c>
      <c r="M334">
        <v>19</v>
      </c>
      <c r="N334">
        <v>17</v>
      </c>
      <c r="O334">
        <v>78</v>
      </c>
      <c r="P334" t="s">
        <v>23</v>
      </c>
    </row>
    <row r="335" spans="1:16" x14ac:dyDescent="0.25">
      <c r="A335">
        <v>333241</v>
      </c>
      <c r="B335" t="s">
        <v>1336</v>
      </c>
      <c r="C335" t="s">
        <v>1345</v>
      </c>
      <c r="D335" t="s">
        <v>1324</v>
      </c>
      <c r="E335" s="1">
        <v>6107</v>
      </c>
      <c r="F335" s="15" t="s">
        <v>1346</v>
      </c>
      <c r="G335" t="s">
        <v>1347</v>
      </c>
      <c r="H335" t="s">
        <v>22</v>
      </c>
      <c r="I335" s="2">
        <v>6001</v>
      </c>
      <c r="J335" t="s">
        <v>30</v>
      </c>
      <c r="K335">
        <v>139</v>
      </c>
      <c r="L335">
        <v>209</v>
      </c>
      <c r="M335">
        <v>120</v>
      </c>
      <c r="N335">
        <v>86</v>
      </c>
      <c r="O335">
        <v>554</v>
      </c>
      <c r="P335" t="s">
        <v>23</v>
      </c>
    </row>
    <row r="336" spans="1:16" x14ac:dyDescent="0.25">
      <c r="A336">
        <v>328482</v>
      </c>
      <c r="B336" t="s">
        <v>1340</v>
      </c>
      <c r="C336" t="s">
        <v>1341</v>
      </c>
      <c r="D336" t="s">
        <v>1324</v>
      </c>
      <c r="E336" s="1" t="s">
        <v>1342</v>
      </c>
      <c r="F336" s="15" t="s">
        <v>1348</v>
      </c>
      <c r="G336" t="s">
        <v>1349</v>
      </c>
      <c r="H336" t="s">
        <v>22</v>
      </c>
      <c r="I336" s="2">
        <v>6001</v>
      </c>
      <c r="J336" t="s">
        <v>30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23</v>
      </c>
    </row>
    <row r="337" spans="1:16" x14ac:dyDescent="0.25">
      <c r="A337">
        <v>328483</v>
      </c>
      <c r="B337" t="s">
        <v>1340</v>
      </c>
      <c r="C337" t="s">
        <v>1341</v>
      </c>
      <c r="D337" t="s">
        <v>1324</v>
      </c>
      <c r="E337" s="1" t="s">
        <v>1342</v>
      </c>
      <c r="F337" s="15" t="s">
        <v>1350</v>
      </c>
      <c r="G337" t="s">
        <v>1351</v>
      </c>
      <c r="H337" t="s">
        <v>22</v>
      </c>
      <c r="I337" s="2">
        <v>6001</v>
      </c>
      <c r="J337" t="s">
        <v>30</v>
      </c>
      <c r="K337">
        <v>47</v>
      </c>
      <c r="L337">
        <v>42</v>
      </c>
      <c r="M337">
        <v>35</v>
      </c>
      <c r="N337">
        <v>50</v>
      </c>
      <c r="O337">
        <v>174</v>
      </c>
      <c r="P337" t="s">
        <v>23</v>
      </c>
    </row>
    <row r="338" spans="1:16" x14ac:dyDescent="0.25">
      <c r="A338">
        <v>328485</v>
      </c>
      <c r="B338" t="s">
        <v>1340</v>
      </c>
      <c r="C338" t="s">
        <v>1352</v>
      </c>
      <c r="D338" t="s">
        <v>1324</v>
      </c>
      <c r="E338" s="1" t="s">
        <v>1342</v>
      </c>
      <c r="F338" s="15" t="s">
        <v>1353</v>
      </c>
      <c r="G338" t="s">
        <v>1354</v>
      </c>
      <c r="H338" t="s">
        <v>22</v>
      </c>
      <c r="I338" s="2">
        <v>6001</v>
      </c>
      <c r="J338" t="s">
        <v>30</v>
      </c>
      <c r="K338">
        <v>0</v>
      </c>
      <c r="L338">
        <v>0</v>
      </c>
      <c r="M338">
        <v>0</v>
      </c>
      <c r="N338">
        <v>0</v>
      </c>
      <c r="O338">
        <v>0</v>
      </c>
      <c r="P338" t="s">
        <v>23</v>
      </c>
    </row>
    <row r="339" spans="1:16" x14ac:dyDescent="0.25">
      <c r="A339">
        <v>328484</v>
      </c>
      <c r="B339" t="s">
        <v>1340</v>
      </c>
      <c r="C339" t="s">
        <v>1341</v>
      </c>
      <c r="D339" t="s">
        <v>1324</v>
      </c>
      <c r="E339" s="1" t="s">
        <v>1342</v>
      </c>
      <c r="F339" s="15" t="s">
        <v>1355</v>
      </c>
      <c r="G339" t="s">
        <v>1356</v>
      </c>
      <c r="H339" t="s">
        <v>22</v>
      </c>
      <c r="I339" s="2">
        <v>6001</v>
      </c>
      <c r="J339" t="s">
        <v>30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23</v>
      </c>
    </row>
    <row r="340" spans="1:16" x14ac:dyDescent="0.25">
      <c r="A340">
        <v>328508</v>
      </c>
      <c r="B340" t="s">
        <v>1357</v>
      </c>
      <c r="C340" t="s">
        <v>1358</v>
      </c>
      <c r="D340" t="s">
        <v>1359</v>
      </c>
      <c r="E340" s="1" t="s">
        <v>1360</v>
      </c>
      <c r="F340" s="15" t="s">
        <v>1361</v>
      </c>
      <c r="G340" t="s">
        <v>1362</v>
      </c>
      <c r="H340" t="s">
        <v>22</v>
      </c>
      <c r="I340" s="2">
        <v>6001</v>
      </c>
      <c r="J340" t="s">
        <v>30</v>
      </c>
      <c r="K340">
        <v>24</v>
      </c>
      <c r="L340">
        <v>23</v>
      </c>
      <c r="M340">
        <v>20</v>
      </c>
      <c r="N340">
        <v>14</v>
      </c>
      <c r="O340">
        <v>81</v>
      </c>
      <c r="P340" t="s">
        <v>23</v>
      </c>
    </row>
    <row r="341" spans="1:16" x14ac:dyDescent="0.25">
      <c r="A341">
        <v>341382</v>
      </c>
      <c r="B341" t="s">
        <v>1363</v>
      </c>
      <c r="C341" t="s">
        <v>1364</v>
      </c>
      <c r="D341" t="s">
        <v>1365</v>
      </c>
      <c r="E341" s="1" t="s">
        <v>1366</v>
      </c>
      <c r="F341" s="15" t="s">
        <v>1367</v>
      </c>
      <c r="G341" t="s">
        <v>1368</v>
      </c>
      <c r="H341" t="s">
        <v>22</v>
      </c>
      <c r="I341" s="2">
        <v>6001</v>
      </c>
      <c r="J341" t="s">
        <v>30</v>
      </c>
      <c r="K341">
        <v>0</v>
      </c>
      <c r="L341">
        <v>0</v>
      </c>
      <c r="M341">
        <v>1</v>
      </c>
      <c r="N341">
        <v>0</v>
      </c>
      <c r="O341">
        <v>1</v>
      </c>
      <c r="P341" t="s">
        <v>93</v>
      </c>
    </row>
    <row r="342" spans="1:16" x14ac:dyDescent="0.25">
      <c r="A342">
        <v>333258</v>
      </c>
      <c r="B342" t="s">
        <v>1363</v>
      </c>
      <c r="C342" t="s">
        <v>1364</v>
      </c>
      <c r="D342" t="s">
        <v>1365</v>
      </c>
      <c r="E342" s="1" t="s">
        <v>1366</v>
      </c>
      <c r="F342" s="15" t="s">
        <v>1369</v>
      </c>
      <c r="G342" t="s">
        <v>1370</v>
      </c>
      <c r="H342" t="s">
        <v>22</v>
      </c>
      <c r="I342" s="2">
        <v>6001</v>
      </c>
      <c r="J342" t="s">
        <v>30</v>
      </c>
      <c r="K342">
        <v>3</v>
      </c>
      <c r="L342">
        <v>3</v>
      </c>
      <c r="M342">
        <v>3</v>
      </c>
      <c r="N342">
        <v>3</v>
      </c>
      <c r="O342">
        <v>12</v>
      </c>
      <c r="P342" t="s">
        <v>23</v>
      </c>
    </row>
    <row r="343" spans="1:16" x14ac:dyDescent="0.25">
      <c r="A343">
        <v>333616</v>
      </c>
      <c r="B343" t="s">
        <v>1363</v>
      </c>
      <c r="C343" t="s">
        <v>1364</v>
      </c>
      <c r="D343" t="s">
        <v>1365</v>
      </c>
      <c r="E343" s="1" t="s">
        <v>1366</v>
      </c>
      <c r="F343" s="15" t="s">
        <v>1371</v>
      </c>
      <c r="G343" t="s">
        <v>1372</v>
      </c>
      <c r="H343" t="s">
        <v>22</v>
      </c>
      <c r="I343" s="2">
        <v>6001</v>
      </c>
      <c r="J343" t="s">
        <v>30</v>
      </c>
      <c r="K343">
        <v>84</v>
      </c>
      <c r="L343">
        <v>85</v>
      </c>
      <c r="M343">
        <v>93</v>
      </c>
      <c r="N343">
        <v>87</v>
      </c>
      <c r="O343">
        <v>349</v>
      </c>
      <c r="P343" t="s">
        <v>23</v>
      </c>
    </row>
    <row r="344" spans="1:16" x14ac:dyDescent="0.25">
      <c r="A344">
        <v>333003</v>
      </c>
      <c r="B344" t="s">
        <v>1505</v>
      </c>
      <c r="C344" t="s">
        <v>1445</v>
      </c>
      <c r="D344" t="s">
        <v>18</v>
      </c>
      <c r="E344" s="1" t="s">
        <v>35</v>
      </c>
      <c r="F344" s="15" t="s">
        <v>1506</v>
      </c>
      <c r="G344" t="s">
        <v>1507</v>
      </c>
      <c r="H344" t="s">
        <v>22</v>
      </c>
      <c r="I344" s="2">
        <v>6001</v>
      </c>
      <c r="J344" t="s">
        <v>1447</v>
      </c>
      <c r="K344">
        <v>1</v>
      </c>
      <c r="L344">
        <v>132</v>
      </c>
      <c r="M344">
        <v>83</v>
      </c>
      <c r="N344">
        <v>0</v>
      </c>
      <c r="O344">
        <v>216</v>
      </c>
      <c r="P344" t="s">
        <v>470</v>
      </c>
    </row>
    <row r="345" spans="1:16" x14ac:dyDescent="0.25">
      <c r="A345">
        <v>328501</v>
      </c>
      <c r="B345" t="s">
        <v>1508</v>
      </c>
      <c r="C345" t="s">
        <v>17</v>
      </c>
      <c r="D345" t="s">
        <v>18</v>
      </c>
      <c r="E345" s="1" t="s">
        <v>19</v>
      </c>
      <c r="F345" s="15" t="s">
        <v>1509</v>
      </c>
      <c r="G345" t="s">
        <v>1510</v>
      </c>
      <c r="H345" t="s">
        <v>22</v>
      </c>
      <c r="I345" s="2">
        <v>6001</v>
      </c>
      <c r="J345" t="s">
        <v>1447</v>
      </c>
      <c r="K345">
        <v>36</v>
      </c>
      <c r="L345">
        <v>17</v>
      </c>
      <c r="M345">
        <v>15</v>
      </c>
      <c r="N345">
        <v>17</v>
      </c>
      <c r="O345">
        <v>85</v>
      </c>
      <c r="P345" t="s">
        <v>23</v>
      </c>
    </row>
    <row r="346" spans="1:16" x14ac:dyDescent="0.25">
      <c r="A346">
        <v>328496</v>
      </c>
      <c r="B346" t="s">
        <v>1511</v>
      </c>
      <c r="C346" t="s">
        <v>17</v>
      </c>
      <c r="D346" t="s">
        <v>18</v>
      </c>
      <c r="E346" s="1" t="s">
        <v>19</v>
      </c>
      <c r="F346" s="15" t="s">
        <v>1512</v>
      </c>
      <c r="G346" t="s">
        <v>1513</v>
      </c>
      <c r="H346" t="s">
        <v>22</v>
      </c>
      <c r="I346" s="2">
        <v>6001</v>
      </c>
      <c r="J346" t="s">
        <v>1447</v>
      </c>
      <c r="K346">
        <v>3</v>
      </c>
      <c r="L346">
        <v>3</v>
      </c>
      <c r="M346">
        <v>4</v>
      </c>
      <c r="N346">
        <v>3</v>
      </c>
      <c r="O346">
        <v>13</v>
      </c>
      <c r="P346" t="s">
        <v>23</v>
      </c>
    </row>
    <row r="347" spans="1:16" x14ac:dyDescent="0.25">
      <c r="A347">
        <v>328500</v>
      </c>
      <c r="B347" t="s">
        <v>1508</v>
      </c>
      <c r="C347" t="s">
        <v>17</v>
      </c>
      <c r="D347" t="s">
        <v>18</v>
      </c>
      <c r="E347" s="1" t="s">
        <v>19</v>
      </c>
      <c r="F347" s="15" t="s">
        <v>1514</v>
      </c>
      <c r="G347" t="s">
        <v>1515</v>
      </c>
      <c r="H347" t="s">
        <v>22</v>
      </c>
      <c r="I347" s="2">
        <v>6001</v>
      </c>
      <c r="J347" t="s">
        <v>1447</v>
      </c>
      <c r="K347">
        <v>6</v>
      </c>
      <c r="L347">
        <v>7</v>
      </c>
      <c r="M347">
        <v>5</v>
      </c>
      <c r="N347">
        <v>5</v>
      </c>
      <c r="O347">
        <v>23</v>
      </c>
      <c r="P347" t="s">
        <v>23</v>
      </c>
    </row>
    <row r="348" spans="1:16" x14ac:dyDescent="0.25">
      <c r="A348">
        <v>328499</v>
      </c>
      <c r="B348" t="s">
        <v>1508</v>
      </c>
      <c r="C348" t="s">
        <v>17</v>
      </c>
      <c r="D348" t="s">
        <v>18</v>
      </c>
      <c r="E348" s="1" t="s">
        <v>19</v>
      </c>
      <c r="F348" s="15" t="s">
        <v>1516</v>
      </c>
      <c r="G348" t="s">
        <v>1517</v>
      </c>
      <c r="H348" t="s">
        <v>22</v>
      </c>
      <c r="I348" s="2">
        <v>6001</v>
      </c>
      <c r="J348" t="s">
        <v>1447</v>
      </c>
      <c r="K348">
        <v>31</v>
      </c>
      <c r="L348">
        <v>23</v>
      </c>
      <c r="M348">
        <v>20</v>
      </c>
      <c r="N348">
        <v>16</v>
      </c>
      <c r="O348">
        <v>90</v>
      </c>
      <c r="P348" t="s">
        <v>23</v>
      </c>
    </row>
    <row r="349" spans="1:16" x14ac:dyDescent="0.25">
      <c r="A349">
        <v>336642</v>
      </c>
      <c r="B349" t="s">
        <v>16</v>
      </c>
      <c r="C349" t="s">
        <v>17</v>
      </c>
      <c r="D349" t="s">
        <v>18</v>
      </c>
      <c r="E349" s="1" t="s">
        <v>19</v>
      </c>
      <c r="F349" s="15" t="s">
        <v>1518</v>
      </c>
      <c r="G349" t="s">
        <v>1519</v>
      </c>
      <c r="H349" t="s">
        <v>22</v>
      </c>
      <c r="I349" s="2">
        <v>6001</v>
      </c>
      <c r="J349" t="s">
        <v>1447</v>
      </c>
      <c r="K349">
        <v>9</v>
      </c>
      <c r="L349">
        <v>57</v>
      </c>
      <c r="M349">
        <v>21</v>
      </c>
      <c r="N349">
        <v>5</v>
      </c>
      <c r="O349">
        <v>92</v>
      </c>
      <c r="P349" t="s">
        <v>23</v>
      </c>
    </row>
    <row r="350" spans="1:16" x14ac:dyDescent="0.25">
      <c r="A350">
        <v>328606</v>
      </c>
      <c r="B350" t="s">
        <v>554</v>
      </c>
      <c r="C350" t="s">
        <v>555</v>
      </c>
      <c r="D350" t="s">
        <v>18</v>
      </c>
      <c r="E350" s="1" t="s">
        <v>556</v>
      </c>
      <c r="F350" s="15" t="s">
        <v>557</v>
      </c>
      <c r="G350" t="s">
        <v>558</v>
      </c>
      <c r="H350" t="s">
        <v>22</v>
      </c>
      <c r="I350" s="2">
        <v>6001</v>
      </c>
      <c r="J350" t="s">
        <v>30</v>
      </c>
      <c r="K350">
        <v>3</v>
      </c>
      <c r="L350">
        <v>3</v>
      </c>
      <c r="M350">
        <v>2</v>
      </c>
      <c r="N350">
        <v>3</v>
      </c>
      <c r="O350">
        <v>11</v>
      </c>
      <c r="P350" t="s">
        <v>23</v>
      </c>
    </row>
    <row r="351" spans="1:16" x14ac:dyDescent="0.25">
      <c r="A351">
        <v>328608</v>
      </c>
      <c r="B351" t="s">
        <v>559</v>
      </c>
      <c r="C351" t="s">
        <v>560</v>
      </c>
      <c r="D351" t="s">
        <v>18</v>
      </c>
      <c r="E351" s="1">
        <v>6001</v>
      </c>
      <c r="F351" s="15" t="s">
        <v>561</v>
      </c>
      <c r="G351" t="s">
        <v>562</v>
      </c>
      <c r="H351" t="s">
        <v>22</v>
      </c>
      <c r="I351" s="2">
        <v>6001</v>
      </c>
      <c r="J351" t="s">
        <v>30</v>
      </c>
      <c r="K351">
        <v>52</v>
      </c>
      <c r="L351">
        <v>49</v>
      </c>
      <c r="M351">
        <v>118</v>
      </c>
      <c r="N351">
        <v>44</v>
      </c>
      <c r="O351">
        <v>263</v>
      </c>
      <c r="P351" t="s">
        <v>23</v>
      </c>
    </row>
    <row r="352" spans="1:16" x14ac:dyDescent="0.25">
      <c r="A352">
        <v>329952</v>
      </c>
      <c r="B352" t="s">
        <v>563</v>
      </c>
      <c r="C352" t="s">
        <v>564</v>
      </c>
      <c r="D352" t="s">
        <v>18</v>
      </c>
      <c r="E352" s="1" t="s">
        <v>565</v>
      </c>
      <c r="F352" s="15" t="s">
        <v>566</v>
      </c>
      <c r="G352" t="s">
        <v>567</v>
      </c>
      <c r="H352" t="s">
        <v>22</v>
      </c>
      <c r="I352" s="2">
        <v>6001</v>
      </c>
      <c r="J352" t="s">
        <v>30</v>
      </c>
      <c r="K352">
        <v>2</v>
      </c>
      <c r="L352">
        <v>3</v>
      </c>
      <c r="M352">
        <v>2</v>
      </c>
      <c r="N352">
        <v>9</v>
      </c>
      <c r="O352">
        <v>16</v>
      </c>
      <c r="P352" t="s">
        <v>130</v>
      </c>
    </row>
    <row r="353" spans="1:16" x14ac:dyDescent="0.25">
      <c r="A353">
        <v>329953</v>
      </c>
      <c r="B353" t="s">
        <v>125</v>
      </c>
      <c r="C353" t="s">
        <v>568</v>
      </c>
      <c r="D353" t="s">
        <v>18</v>
      </c>
      <c r="E353" s="1" t="s">
        <v>127</v>
      </c>
      <c r="F353" s="15" t="s">
        <v>566</v>
      </c>
      <c r="G353" t="s">
        <v>569</v>
      </c>
      <c r="H353" t="s">
        <v>22</v>
      </c>
      <c r="I353" s="2">
        <v>6001</v>
      </c>
      <c r="J353" t="s">
        <v>30</v>
      </c>
      <c r="K353">
        <v>2</v>
      </c>
      <c r="L353">
        <v>2</v>
      </c>
      <c r="M353">
        <v>1</v>
      </c>
      <c r="N353">
        <v>1</v>
      </c>
      <c r="O353">
        <v>6</v>
      </c>
      <c r="P353" t="s">
        <v>130</v>
      </c>
    </row>
    <row r="354" spans="1:16" x14ac:dyDescent="0.25">
      <c r="A354">
        <v>329954</v>
      </c>
      <c r="B354" t="s">
        <v>570</v>
      </c>
      <c r="C354" t="s">
        <v>564</v>
      </c>
      <c r="D354" t="s">
        <v>18</v>
      </c>
      <c r="E354" s="1" t="s">
        <v>565</v>
      </c>
      <c r="F354" s="15" t="s">
        <v>566</v>
      </c>
      <c r="G354" t="s">
        <v>571</v>
      </c>
      <c r="H354" t="s">
        <v>22</v>
      </c>
      <c r="I354" s="2">
        <v>6001</v>
      </c>
      <c r="J354" t="s">
        <v>30</v>
      </c>
      <c r="K354">
        <v>7</v>
      </c>
      <c r="L354">
        <v>9</v>
      </c>
      <c r="M354">
        <v>8</v>
      </c>
      <c r="N354">
        <v>8</v>
      </c>
      <c r="O354">
        <v>32</v>
      </c>
      <c r="P354" t="s">
        <v>130</v>
      </c>
    </row>
    <row r="355" spans="1:16" x14ac:dyDescent="0.25">
      <c r="A355">
        <v>329955</v>
      </c>
      <c r="B355" t="s">
        <v>125</v>
      </c>
      <c r="C355" t="s">
        <v>126</v>
      </c>
      <c r="D355" t="s">
        <v>18</v>
      </c>
      <c r="E355" s="1" t="s">
        <v>127</v>
      </c>
      <c r="F355" s="15" t="s">
        <v>566</v>
      </c>
      <c r="G355" t="s">
        <v>572</v>
      </c>
      <c r="H355" t="s">
        <v>22</v>
      </c>
      <c r="I355" s="2">
        <v>6001</v>
      </c>
      <c r="J355" t="s">
        <v>30</v>
      </c>
      <c r="K355">
        <v>0</v>
      </c>
      <c r="L355">
        <v>1</v>
      </c>
      <c r="M355">
        <v>0</v>
      </c>
      <c r="N355">
        <v>0</v>
      </c>
      <c r="O355">
        <v>1</v>
      </c>
      <c r="P355" t="s">
        <v>130</v>
      </c>
    </row>
    <row r="356" spans="1:16" x14ac:dyDescent="0.25">
      <c r="A356">
        <v>329957</v>
      </c>
      <c r="B356" t="s">
        <v>125</v>
      </c>
      <c r="C356" t="s">
        <v>568</v>
      </c>
      <c r="D356" t="s">
        <v>18</v>
      </c>
      <c r="E356" s="1" t="s">
        <v>127</v>
      </c>
      <c r="F356" s="15" t="s">
        <v>566</v>
      </c>
      <c r="G356" t="s">
        <v>573</v>
      </c>
      <c r="H356" t="s">
        <v>22</v>
      </c>
      <c r="I356" s="2">
        <v>6001</v>
      </c>
      <c r="J356" t="s">
        <v>30</v>
      </c>
      <c r="K356">
        <v>10</v>
      </c>
      <c r="L356">
        <v>8</v>
      </c>
      <c r="M356">
        <v>27</v>
      </c>
      <c r="N356">
        <v>16</v>
      </c>
      <c r="O356">
        <v>61</v>
      </c>
      <c r="P356" t="s">
        <v>130</v>
      </c>
    </row>
    <row r="357" spans="1:16" x14ac:dyDescent="0.25">
      <c r="A357">
        <v>350531</v>
      </c>
      <c r="B357" t="s">
        <v>125</v>
      </c>
      <c r="C357" t="s">
        <v>568</v>
      </c>
      <c r="D357" t="s">
        <v>18</v>
      </c>
      <c r="E357" s="1" t="s">
        <v>127</v>
      </c>
      <c r="F357" s="15" t="s">
        <v>566</v>
      </c>
      <c r="G357" t="s">
        <v>574</v>
      </c>
      <c r="H357" t="s">
        <v>22</v>
      </c>
      <c r="I357" s="2">
        <v>6001</v>
      </c>
      <c r="J357" t="s">
        <v>30</v>
      </c>
      <c r="K357">
        <v>0</v>
      </c>
      <c r="L357">
        <v>1</v>
      </c>
      <c r="M357">
        <v>0</v>
      </c>
      <c r="N357">
        <v>0</v>
      </c>
      <c r="O357">
        <v>1</v>
      </c>
      <c r="P357" t="s">
        <v>130</v>
      </c>
    </row>
    <row r="358" spans="1:16" s="9" customFormat="1" x14ac:dyDescent="0.25">
      <c r="A358" s="9">
        <v>328609</v>
      </c>
      <c r="B358" s="9" t="s">
        <v>575</v>
      </c>
      <c r="C358" s="9" t="s">
        <v>576</v>
      </c>
      <c r="D358" s="9" t="s">
        <v>18</v>
      </c>
      <c r="E358" s="10" t="s">
        <v>577</v>
      </c>
      <c r="F358" s="9" t="s">
        <v>578</v>
      </c>
      <c r="G358" s="9" t="s">
        <v>579</v>
      </c>
      <c r="H358" s="9" t="s">
        <v>22</v>
      </c>
      <c r="I358" s="11">
        <v>6001</v>
      </c>
      <c r="J358" s="9" t="s">
        <v>30</v>
      </c>
      <c r="K358" s="9">
        <v>0</v>
      </c>
      <c r="L358" s="9">
        <v>0</v>
      </c>
      <c r="M358" s="9">
        <v>0</v>
      </c>
      <c r="N358" s="9">
        <v>0</v>
      </c>
      <c r="O358" s="9">
        <v>0</v>
      </c>
      <c r="P358" s="9" t="s">
        <v>580</v>
      </c>
    </row>
    <row r="359" spans="1:16" s="9" customFormat="1" x14ac:dyDescent="0.25">
      <c r="A359" s="9">
        <v>330219</v>
      </c>
      <c r="B359" s="9" t="s">
        <v>581</v>
      </c>
      <c r="C359" s="9" t="s">
        <v>582</v>
      </c>
      <c r="D359" s="9" t="s">
        <v>18</v>
      </c>
      <c r="E359" s="10" t="s">
        <v>583</v>
      </c>
      <c r="F359" s="9" t="s">
        <v>584</v>
      </c>
      <c r="G359" s="9" t="s">
        <v>585</v>
      </c>
      <c r="H359" s="9" t="s">
        <v>22</v>
      </c>
      <c r="I359" s="11">
        <v>6001</v>
      </c>
      <c r="J359" s="9" t="s">
        <v>30</v>
      </c>
      <c r="K359" s="9">
        <v>14</v>
      </c>
      <c r="L359" s="9">
        <v>44</v>
      </c>
      <c r="M359" s="9">
        <v>5</v>
      </c>
      <c r="N359" s="9">
        <v>4</v>
      </c>
      <c r="O359" s="9">
        <v>67</v>
      </c>
      <c r="P359" s="9" t="s">
        <v>130</v>
      </c>
    </row>
    <row r="360" spans="1:16" x14ac:dyDescent="0.25">
      <c r="A360">
        <v>330238</v>
      </c>
      <c r="B360" t="s">
        <v>586</v>
      </c>
      <c r="C360" t="s">
        <v>587</v>
      </c>
      <c r="D360" t="s">
        <v>18</v>
      </c>
      <c r="E360" s="1" t="s">
        <v>588</v>
      </c>
      <c r="F360" s="15" t="s">
        <v>589</v>
      </c>
      <c r="G360" t="s">
        <v>590</v>
      </c>
      <c r="H360" t="s">
        <v>22</v>
      </c>
      <c r="I360" s="2">
        <v>6001</v>
      </c>
      <c r="J360" t="s">
        <v>30</v>
      </c>
      <c r="K360">
        <v>57</v>
      </c>
      <c r="L360">
        <v>46</v>
      </c>
      <c r="M360">
        <v>34</v>
      </c>
      <c r="N360">
        <v>20</v>
      </c>
      <c r="O360">
        <v>157</v>
      </c>
      <c r="P360" t="s">
        <v>130</v>
      </c>
    </row>
    <row r="361" spans="1:16" x14ac:dyDescent="0.25">
      <c r="A361">
        <v>330239</v>
      </c>
      <c r="B361" t="s">
        <v>591</v>
      </c>
      <c r="C361" t="s">
        <v>587</v>
      </c>
      <c r="D361" t="s">
        <v>18</v>
      </c>
      <c r="E361" s="1" t="s">
        <v>588</v>
      </c>
      <c r="F361" s="15" t="s">
        <v>589</v>
      </c>
      <c r="G361" t="s">
        <v>592</v>
      </c>
      <c r="H361" t="s">
        <v>22</v>
      </c>
      <c r="I361" s="2">
        <v>6001</v>
      </c>
      <c r="J361" t="s">
        <v>30</v>
      </c>
      <c r="K361">
        <v>72</v>
      </c>
      <c r="L361">
        <v>148</v>
      </c>
      <c r="M361">
        <v>33</v>
      </c>
      <c r="N361">
        <v>0</v>
      </c>
      <c r="O361">
        <v>253</v>
      </c>
      <c r="P361" t="s">
        <v>130</v>
      </c>
    </row>
    <row r="362" spans="1:16" x14ac:dyDescent="0.25">
      <c r="A362">
        <v>333292</v>
      </c>
      <c r="B362" t="s">
        <v>593</v>
      </c>
      <c r="C362" t="s">
        <v>594</v>
      </c>
      <c r="D362" t="s">
        <v>18</v>
      </c>
      <c r="E362" s="1" t="s">
        <v>595</v>
      </c>
      <c r="F362" s="15" t="s">
        <v>596</v>
      </c>
      <c r="G362" t="s">
        <v>597</v>
      </c>
      <c r="H362" t="s">
        <v>22</v>
      </c>
      <c r="I362" s="2">
        <v>6001</v>
      </c>
      <c r="J362" t="s">
        <v>30</v>
      </c>
      <c r="K362">
        <v>0</v>
      </c>
      <c r="L362">
        <v>315</v>
      </c>
      <c r="M362">
        <v>70</v>
      </c>
      <c r="N362">
        <v>0</v>
      </c>
      <c r="O362">
        <v>385</v>
      </c>
      <c r="P362" t="s">
        <v>598</v>
      </c>
    </row>
    <row r="363" spans="1:16" x14ac:dyDescent="0.25">
      <c r="A363">
        <v>333560</v>
      </c>
      <c r="B363" t="s">
        <v>599</v>
      </c>
      <c r="C363" t="s">
        <v>600</v>
      </c>
      <c r="D363" t="s">
        <v>18</v>
      </c>
      <c r="E363" s="1" t="s">
        <v>601</v>
      </c>
      <c r="F363" s="15" t="s">
        <v>602</v>
      </c>
      <c r="G363" t="s">
        <v>603</v>
      </c>
      <c r="H363" t="s">
        <v>22</v>
      </c>
      <c r="I363" s="2">
        <v>6001</v>
      </c>
      <c r="J363" t="s">
        <v>30</v>
      </c>
      <c r="K363">
        <v>197</v>
      </c>
      <c r="L363">
        <v>413</v>
      </c>
      <c r="M363">
        <v>314</v>
      </c>
      <c r="N363">
        <v>104</v>
      </c>
      <c r="O363">
        <v>1028</v>
      </c>
      <c r="P363" t="s">
        <v>23</v>
      </c>
    </row>
    <row r="364" spans="1:16" x14ac:dyDescent="0.25">
      <c r="A364">
        <v>333563</v>
      </c>
      <c r="B364" t="s">
        <v>604</v>
      </c>
      <c r="C364" t="s">
        <v>594</v>
      </c>
      <c r="D364" t="s">
        <v>18</v>
      </c>
      <c r="E364" s="1" t="s">
        <v>595</v>
      </c>
      <c r="F364" s="15" t="s">
        <v>605</v>
      </c>
      <c r="G364" t="s">
        <v>606</v>
      </c>
      <c r="H364" t="s">
        <v>22</v>
      </c>
      <c r="I364" s="2">
        <v>6001</v>
      </c>
      <c r="J364" t="s">
        <v>30</v>
      </c>
      <c r="K364">
        <v>764</v>
      </c>
      <c r="L364">
        <v>1342</v>
      </c>
      <c r="M364">
        <v>946</v>
      </c>
      <c r="N364">
        <v>679</v>
      </c>
      <c r="O364">
        <v>3731</v>
      </c>
      <c r="P364" t="s">
        <v>23</v>
      </c>
    </row>
    <row r="365" spans="1:16" x14ac:dyDescent="0.25">
      <c r="A365">
        <v>330215</v>
      </c>
      <c r="B365" t="s">
        <v>607</v>
      </c>
      <c r="C365" t="s">
        <v>608</v>
      </c>
      <c r="D365" t="s">
        <v>18</v>
      </c>
      <c r="E365" s="1" t="s">
        <v>583</v>
      </c>
      <c r="F365" s="15" t="s">
        <v>609</v>
      </c>
      <c r="G365" t="s">
        <v>610</v>
      </c>
      <c r="H365" t="s">
        <v>22</v>
      </c>
      <c r="I365" s="2">
        <v>6001</v>
      </c>
      <c r="J365" t="s">
        <v>30</v>
      </c>
      <c r="K365">
        <v>24</v>
      </c>
      <c r="L365">
        <v>24</v>
      </c>
      <c r="M365">
        <v>26</v>
      </c>
      <c r="N365">
        <v>21</v>
      </c>
      <c r="O365">
        <v>95</v>
      </c>
      <c r="P365" t="s">
        <v>130</v>
      </c>
    </row>
    <row r="366" spans="1:16" x14ac:dyDescent="0.25">
      <c r="A366">
        <v>359211</v>
      </c>
      <c r="B366" t="s">
        <v>611</v>
      </c>
      <c r="C366" t="s">
        <v>612</v>
      </c>
      <c r="D366" t="s">
        <v>18</v>
      </c>
      <c r="E366" s="1">
        <v>6001</v>
      </c>
      <c r="F366" s="15" t="s">
        <v>609</v>
      </c>
      <c r="G366" t="s">
        <v>613</v>
      </c>
      <c r="H366" t="s">
        <v>22</v>
      </c>
      <c r="I366" s="2">
        <v>6001</v>
      </c>
      <c r="J366" t="s">
        <v>30</v>
      </c>
      <c r="K366">
        <v>12</v>
      </c>
      <c r="L366">
        <v>18</v>
      </c>
      <c r="M366">
        <v>15</v>
      </c>
      <c r="N366">
        <v>10</v>
      </c>
      <c r="O366">
        <v>55</v>
      </c>
      <c r="P366" t="s">
        <v>130</v>
      </c>
    </row>
    <row r="367" spans="1:16" x14ac:dyDescent="0.25">
      <c r="A367">
        <v>330217</v>
      </c>
      <c r="B367" t="s">
        <v>614</v>
      </c>
      <c r="C367" t="s">
        <v>615</v>
      </c>
      <c r="D367" t="s">
        <v>18</v>
      </c>
      <c r="E367" s="1" t="s">
        <v>583</v>
      </c>
      <c r="F367" s="15" t="s">
        <v>609</v>
      </c>
      <c r="G367" t="s">
        <v>616</v>
      </c>
      <c r="H367" t="s">
        <v>22</v>
      </c>
      <c r="I367" s="2">
        <v>6001</v>
      </c>
      <c r="J367" t="s">
        <v>30</v>
      </c>
      <c r="K367">
        <v>1</v>
      </c>
      <c r="L367">
        <v>1</v>
      </c>
      <c r="M367">
        <v>0</v>
      </c>
      <c r="N367">
        <v>1</v>
      </c>
      <c r="O367">
        <v>3</v>
      </c>
      <c r="P367" t="s">
        <v>130</v>
      </c>
    </row>
    <row r="368" spans="1:16" x14ac:dyDescent="0.25">
      <c r="A368">
        <v>352118</v>
      </c>
      <c r="B368" t="s">
        <v>880</v>
      </c>
      <c r="C368" t="s">
        <v>881</v>
      </c>
      <c r="D368" t="s">
        <v>882</v>
      </c>
      <c r="E368" s="1" t="s">
        <v>883</v>
      </c>
      <c r="F368" s="15" t="s">
        <v>609</v>
      </c>
      <c r="G368" t="s">
        <v>884</v>
      </c>
      <c r="H368" t="s">
        <v>22</v>
      </c>
      <c r="I368" s="2">
        <v>6001</v>
      </c>
      <c r="J368" t="s">
        <v>30</v>
      </c>
      <c r="K368">
        <v>3</v>
      </c>
      <c r="L368">
        <v>3</v>
      </c>
      <c r="M368">
        <v>3</v>
      </c>
      <c r="N368">
        <v>3</v>
      </c>
      <c r="O368">
        <v>12</v>
      </c>
      <c r="P368" t="s">
        <v>130</v>
      </c>
    </row>
    <row r="369" spans="1:16" x14ac:dyDescent="0.25">
      <c r="A369">
        <v>330214</v>
      </c>
      <c r="B369" t="s">
        <v>906</v>
      </c>
      <c r="C369" t="s">
        <v>907</v>
      </c>
      <c r="D369" t="s">
        <v>887</v>
      </c>
      <c r="E369" s="1" t="s">
        <v>908</v>
      </c>
      <c r="F369" s="15" t="s">
        <v>909</v>
      </c>
      <c r="G369" t="s">
        <v>910</v>
      </c>
      <c r="H369" t="s">
        <v>22</v>
      </c>
      <c r="I369" s="2">
        <v>6001</v>
      </c>
      <c r="J369" t="s">
        <v>30</v>
      </c>
      <c r="K369">
        <v>172</v>
      </c>
      <c r="L369">
        <v>250</v>
      </c>
      <c r="M369">
        <v>15</v>
      </c>
      <c r="N369">
        <v>0</v>
      </c>
      <c r="O369">
        <v>437</v>
      </c>
      <c r="P369" t="s">
        <v>130</v>
      </c>
    </row>
    <row r="370" spans="1:16" x14ac:dyDescent="0.25">
      <c r="A370">
        <v>330218</v>
      </c>
      <c r="B370" t="s">
        <v>1085</v>
      </c>
      <c r="C370" t="s">
        <v>1086</v>
      </c>
      <c r="D370" t="s">
        <v>1079</v>
      </c>
      <c r="E370" s="1">
        <v>6457</v>
      </c>
      <c r="F370" s="15" t="s">
        <v>609</v>
      </c>
      <c r="G370" t="s">
        <v>1087</v>
      </c>
      <c r="H370" t="s">
        <v>22</v>
      </c>
      <c r="I370" s="2">
        <v>6001</v>
      </c>
      <c r="J370" t="s">
        <v>30</v>
      </c>
      <c r="K370">
        <v>15</v>
      </c>
      <c r="L370">
        <v>15</v>
      </c>
      <c r="M370">
        <v>17</v>
      </c>
      <c r="N370">
        <v>16</v>
      </c>
      <c r="O370">
        <v>63</v>
      </c>
      <c r="P370" t="s">
        <v>130</v>
      </c>
    </row>
    <row r="371" spans="1:16" x14ac:dyDescent="0.25">
      <c r="A371">
        <v>342797</v>
      </c>
      <c r="B371" t="s">
        <v>1088</v>
      </c>
      <c r="C371" t="s">
        <v>1089</v>
      </c>
      <c r="D371" t="s">
        <v>1090</v>
      </c>
      <c r="E371" s="1" t="s">
        <v>1091</v>
      </c>
      <c r="F371" s="15" t="s">
        <v>1092</v>
      </c>
      <c r="G371" t="s">
        <v>1093</v>
      </c>
      <c r="H371" t="s">
        <v>22</v>
      </c>
      <c r="I371" s="2">
        <v>6001</v>
      </c>
      <c r="J371" t="s">
        <v>30</v>
      </c>
      <c r="K371">
        <v>118</v>
      </c>
      <c r="L371">
        <v>114</v>
      </c>
      <c r="M371">
        <v>101</v>
      </c>
      <c r="N371">
        <v>193</v>
      </c>
      <c r="O371">
        <v>526</v>
      </c>
      <c r="P371" t="s">
        <v>23</v>
      </c>
    </row>
    <row r="372" spans="1:16" x14ac:dyDescent="0.25">
      <c r="A372">
        <v>354457</v>
      </c>
      <c r="B372" t="s">
        <v>1088</v>
      </c>
      <c r="C372" t="s">
        <v>1089</v>
      </c>
      <c r="D372" t="s">
        <v>1090</v>
      </c>
      <c r="E372" s="1" t="s">
        <v>1091</v>
      </c>
      <c r="F372" s="15" t="s">
        <v>1092</v>
      </c>
      <c r="G372" t="s">
        <v>1094</v>
      </c>
      <c r="H372" t="s">
        <v>22</v>
      </c>
      <c r="I372" s="2">
        <v>6001</v>
      </c>
      <c r="J372" t="s">
        <v>30</v>
      </c>
      <c r="K372">
        <v>124</v>
      </c>
      <c r="L372">
        <v>119</v>
      </c>
      <c r="M372">
        <v>105</v>
      </c>
      <c r="N372">
        <v>202</v>
      </c>
      <c r="O372">
        <v>550</v>
      </c>
      <c r="P372" t="s">
        <v>23</v>
      </c>
    </row>
    <row r="373" spans="1:16" x14ac:dyDescent="0.25">
      <c r="A373">
        <v>354464</v>
      </c>
      <c r="B373" t="s">
        <v>1088</v>
      </c>
      <c r="C373" t="s">
        <v>1089</v>
      </c>
      <c r="D373" t="s">
        <v>1090</v>
      </c>
      <c r="E373" s="1" t="s">
        <v>1091</v>
      </c>
      <c r="F373" s="15" t="s">
        <v>1095</v>
      </c>
      <c r="G373" t="s">
        <v>1096</v>
      </c>
      <c r="H373" t="s">
        <v>22</v>
      </c>
      <c r="I373" s="2">
        <v>6001</v>
      </c>
      <c r="J373" t="s">
        <v>30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23</v>
      </c>
    </row>
    <row r="374" spans="1:16" x14ac:dyDescent="0.25">
      <c r="A374">
        <v>354466</v>
      </c>
      <c r="B374" t="s">
        <v>1088</v>
      </c>
      <c r="C374" t="s">
        <v>1089</v>
      </c>
      <c r="D374" t="s">
        <v>1090</v>
      </c>
      <c r="E374" s="1" t="s">
        <v>1091</v>
      </c>
      <c r="F374" s="15" t="s">
        <v>1097</v>
      </c>
      <c r="G374" t="s">
        <v>1098</v>
      </c>
      <c r="H374" t="s">
        <v>22</v>
      </c>
      <c r="I374" s="2">
        <v>6001</v>
      </c>
      <c r="J374" t="s">
        <v>30</v>
      </c>
      <c r="K374">
        <v>6</v>
      </c>
      <c r="L374">
        <v>6</v>
      </c>
      <c r="M374">
        <v>7</v>
      </c>
      <c r="N374">
        <v>5</v>
      </c>
      <c r="O374">
        <v>24</v>
      </c>
      <c r="P374" t="s">
        <v>23</v>
      </c>
    </row>
    <row r="375" spans="1:16" x14ac:dyDescent="0.25">
      <c r="A375">
        <v>333277</v>
      </c>
      <c r="B375" t="s">
        <v>1109</v>
      </c>
      <c r="C375" t="s">
        <v>1104</v>
      </c>
      <c r="D375" t="s">
        <v>1105</v>
      </c>
      <c r="E375" s="1" t="s">
        <v>1106</v>
      </c>
      <c r="F375" s="15" t="s">
        <v>1110</v>
      </c>
      <c r="G375" t="s">
        <v>1111</v>
      </c>
      <c r="H375" t="s">
        <v>22</v>
      </c>
      <c r="I375" s="2">
        <v>6001</v>
      </c>
      <c r="J375" t="s">
        <v>30</v>
      </c>
      <c r="K375">
        <v>17</v>
      </c>
      <c r="L375">
        <v>20</v>
      </c>
      <c r="M375">
        <v>18</v>
      </c>
      <c r="N375">
        <v>18</v>
      </c>
      <c r="O375">
        <v>73</v>
      </c>
      <c r="P375" t="s">
        <v>23</v>
      </c>
    </row>
    <row r="376" spans="1:16" s="9" customFormat="1" x14ac:dyDescent="0.25">
      <c r="A376" s="9">
        <v>368055</v>
      </c>
      <c r="B376" s="9" t="s">
        <v>1051</v>
      </c>
      <c r="C376" s="9" t="s">
        <v>1052</v>
      </c>
      <c r="D376" s="9" t="s">
        <v>1053</v>
      </c>
      <c r="E376" s="10">
        <v>1843</v>
      </c>
      <c r="F376" s="9" t="s">
        <v>1054</v>
      </c>
      <c r="G376" s="9" t="s">
        <v>1055</v>
      </c>
      <c r="H376" s="9" t="s">
        <v>22</v>
      </c>
      <c r="I376" s="11">
        <v>6001</v>
      </c>
      <c r="J376" s="9" t="s">
        <v>30</v>
      </c>
      <c r="K376" s="9">
        <v>172</v>
      </c>
      <c r="L376" s="9">
        <v>157</v>
      </c>
      <c r="M376" s="9">
        <v>91</v>
      </c>
      <c r="N376" s="9">
        <v>55</v>
      </c>
      <c r="O376" s="9">
        <v>475</v>
      </c>
      <c r="P376" s="9" t="s">
        <v>23</v>
      </c>
    </row>
    <row r="377" spans="1:16" x14ac:dyDescent="0.25">
      <c r="A377">
        <v>332905</v>
      </c>
      <c r="B377" t="s">
        <v>1293</v>
      </c>
      <c r="C377" t="s">
        <v>1268</v>
      </c>
      <c r="D377" t="s">
        <v>1269</v>
      </c>
      <c r="E377" s="1">
        <v>6085</v>
      </c>
      <c r="F377" s="15" t="s">
        <v>1294</v>
      </c>
      <c r="G377" t="s">
        <v>1295</v>
      </c>
      <c r="H377" t="s">
        <v>22</v>
      </c>
      <c r="I377" s="2">
        <v>6001</v>
      </c>
      <c r="J377" t="s">
        <v>30</v>
      </c>
      <c r="K377">
        <v>37</v>
      </c>
      <c r="L377">
        <v>27</v>
      </c>
      <c r="M377">
        <v>0</v>
      </c>
      <c r="N377">
        <v>1</v>
      </c>
      <c r="O377">
        <v>65</v>
      </c>
      <c r="P377" t="s">
        <v>1272</v>
      </c>
    </row>
    <row r="378" spans="1:16" x14ac:dyDescent="0.25">
      <c r="A378">
        <v>359322</v>
      </c>
      <c r="B378" t="s">
        <v>1373</v>
      </c>
      <c r="C378" t="s">
        <v>1374</v>
      </c>
      <c r="D378" t="s">
        <v>1375</v>
      </c>
      <c r="E378" s="1">
        <v>6109</v>
      </c>
      <c r="F378" s="15" t="s">
        <v>1376</v>
      </c>
      <c r="G378" t="s">
        <v>1377</v>
      </c>
      <c r="H378" t="s">
        <v>22</v>
      </c>
      <c r="I378" s="2">
        <v>6001</v>
      </c>
      <c r="J378" t="s">
        <v>30</v>
      </c>
      <c r="K378">
        <v>1</v>
      </c>
      <c r="L378">
        <v>2</v>
      </c>
      <c r="M378">
        <v>2</v>
      </c>
      <c r="N378">
        <v>2</v>
      </c>
      <c r="O378">
        <v>7</v>
      </c>
      <c r="P378" t="s">
        <v>23</v>
      </c>
    </row>
    <row r="379" spans="1:16" x14ac:dyDescent="0.25">
      <c r="A379">
        <v>330212</v>
      </c>
      <c r="B379" t="s">
        <v>1384</v>
      </c>
      <c r="C379" t="s">
        <v>1379</v>
      </c>
      <c r="D379" t="s">
        <v>1380</v>
      </c>
      <c r="E379" s="1" t="s">
        <v>1381</v>
      </c>
      <c r="F379" s="15" t="s">
        <v>1400</v>
      </c>
      <c r="G379" t="s">
        <v>1401</v>
      </c>
      <c r="H379" t="s">
        <v>22</v>
      </c>
      <c r="I379" s="2">
        <v>6001</v>
      </c>
      <c r="J379" t="s">
        <v>30</v>
      </c>
      <c r="K379">
        <v>13</v>
      </c>
      <c r="L379">
        <v>15</v>
      </c>
      <c r="M379">
        <v>15</v>
      </c>
      <c r="N379">
        <v>12</v>
      </c>
      <c r="O379">
        <v>55</v>
      </c>
      <c r="P379" t="s">
        <v>130</v>
      </c>
    </row>
    <row r="380" spans="1:16" s="15" customFormat="1" x14ac:dyDescent="0.25">
      <c r="A380" s="15">
        <v>333280</v>
      </c>
      <c r="B380" s="15" t="s">
        <v>1483</v>
      </c>
      <c r="C380" s="15" t="s">
        <v>1466</v>
      </c>
      <c r="D380" s="15" t="s">
        <v>18</v>
      </c>
      <c r="E380" s="16" t="s">
        <v>1467</v>
      </c>
      <c r="F380" s="15" t="s">
        <v>1484</v>
      </c>
      <c r="G380" s="15" t="s">
        <v>1485</v>
      </c>
      <c r="H380" s="15" t="s">
        <v>22</v>
      </c>
      <c r="I380" s="17">
        <v>6001</v>
      </c>
      <c r="J380" s="15" t="s">
        <v>1447</v>
      </c>
      <c r="K380" s="15">
        <v>61</v>
      </c>
      <c r="L380" s="15">
        <v>22</v>
      </c>
      <c r="M380" s="15">
        <v>44</v>
      </c>
      <c r="N380" s="15">
        <v>40</v>
      </c>
      <c r="O380" s="15">
        <v>167</v>
      </c>
      <c r="P380" s="15" t="s">
        <v>23</v>
      </c>
    </row>
    <row r="381" spans="1:16" s="15" customFormat="1" x14ac:dyDescent="0.25">
      <c r="A381" s="15">
        <v>333278</v>
      </c>
      <c r="B381" s="15" t="s">
        <v>1483</v>
      </c>
      <c r="C381" s="15" t="s">
        <v>1466</v>
      </c>
      <c r="D381" s="15" t="s">
        <v>18</v>
      </c>
      <c r="E381" s="16" t="s">
        <v>1467</v>
      </c>
      <c r="F381" s="15" t="s">
        <v>1484</v>
      </c>
      <c r="G381" s="15" t="s">
        <v>1486</v>
      </c>
      <c r="H381" s="15" t="s">
        <v>22</v>
      </c>
      <c r="I381" s="17">
        <v>6001</v>
      </c>
      <c r="J381" s="15" t="s">
        <v>1447</v>
      </c>
      <c r="K381" s="15">
        <v>78</v>
      </c>
      <c r="L381" s="15">
        <v>30</v>
      </c>
      <c r="M381" s="15">
        <v>57</v>
      </c>
      <c r="N381" s="15">
        <v>50</v>
      </c>
      <c r="O381" s="15">
        <v>215</v>
      </c>
      <c r="P381" s="15" t="s">
        <v>23</v>
      </c>
    </row>
    <row r="382" spans="1:16" x14ac:dyDescent="0.25">
      <c r="A382">
        <v>330227</v>
      </c>
      <c r="B382" t="s">
        <v>1487</v>
      </c>
      <c r="C382" t="s">
        <v>1459</v>
      </c>
      <c r="D382" t="s">
        <v>18</v>
      </c>
      <c r="E382" s="1" t="s">
        <v>1460</v>
      </c>
      <c r="F382" s="15" t="s">
        <v>1488</v>
      </c>
      <c r="G382" t="s">
        <v>1489</v>
      </c>
      <c r="H382" t="s">
        <v>22</v>
      </c>
      <c r="I382" s="2">
        <v>6001</v>
      </c>
      <c r="J382" t="s">
        <v>1447</v>
      </c>
      <c r="K382">
        <v>10</v>
      </c>
      <c r="L382">
        <v>11</v>
      </c>
      <c r="M382">
        <v>10</v>
      </c>
      <c r="N382">
        <v>7</v>
      </c>
      <c r="O382">
        <v>38</v>
      </c>
      <c r="P382" t="s">
        <v>130</v>
      </c>
    </row>
    <row r="383" spans="1:16" x14ac:dyDescent="0.25">
      <c r="A383">
        <v>333283</v>
      </c>
      <c r="B383" t="s">
        <v>1490</v>
      </c>
      <c r="C383" t="s">
        <v>1466</v>
      </c>
      <c r="D383" t="s">
        <v>18</v>
      </c>
      <c r="E383" s="1" t="s">
        <v>1467</v>
      </c>
      <c r="F383" s="15" t="s">
        <v>1491</v>
      </c>
      <c r="G383" t="s">
        <v>1492</v>
      </c>
      <c r="H383" t="s">
        <v>22</v>
      </c>
      <c r="I383" s="2">
        <v>6001</v>
      </c>
      <c r="J383" t="s">
        <v>1447</v>
      </c>
      <c r="K383">
        <v>232</v>
      </c>
      <c r="L383">
        <v>111</v>
      </c>
      <c r="M383">
        <v>164</v>
      </c>
      <c r="N383">
        <v>118</v>
      </c>
      <c r="O383">
        <v>625</v>
      </c>
      <c r="P383" t="s">
        <v>23</v>
      </c>
    </row>
    <row r="384" spans="1:16" x14ac:dyDescent="0.25">
      <c r="A384">
        <v>333284</v>
      </c>
      <c r="B384" t="s">
        <v>1493</v>
      </c>
      <c r="C384" t="s">
        <v>1466</v>
      </c>
      <c r="D384" t="s">
        <v>18</v>
      </c>
      <c r="E384" s="1" t="s">
        <v>1467</v>
      </c>
      <c r="F384" s="15" t="s">
        <v>1491</v>
      </c>
      <c r="G384" t="s">
        <v>1494</v>
      </c>
      <c r="H384" t="s">
        <v>22</v>
      </c>
      <c r="I384" s="2">
        <v>6001</v>
      </c>
      <c r="J384" t="s">
        <v>1447</v>
      </c>
      <c r="K384">
        <v>36</v>
      </c>
      <c r="L384">
        <v>44</v>
      </c>
      <c r="M384">
        <v>5</v>
      </c>
      <c r="N384">
        <v>0</v>
      </c>
      <c r="O384">
        <v>85</v>
      </c>
      <c r="P384" t="s">
        <v>23</v>
      </c>
    </row>
    <row r="385" spans="1:16" s="9" customFormat="1" x14ac:dyDescent="0.25">
      <c r="A385" s="9">
        <v>330243</v>
      </c>
      <c r="B385" s="9" t="s">
        <v>1495</v>
      </c>
      <c r="C385" s="9" t="s">
        <v>1445</v>
      </c>
      <c r="D385" s="9" t="s">
        <v>18</v>
      </c>
      <c r="E385" s="10" t="s">
        <v>35</v>
      </c>
      <c r="F385" s="9" t="s">
        <v>1496</v>
      </c>
      <c r="G385" s="9" t="s">
        <v>1497</v>
      </c>
      <c r="H385" s="9" t="s">
        <v>22</v>
      </c>
      <c r="I385" s="11">
        <v>6001</v>
      </c>
      <c r="J385" s="9" t="s">
        <v>1447</v>
      </c>
      <c r="K385" s="9">
        <v>72</v>
      </c>
      <c r="L385" s="9">
        <v>246</v>
      </c>
      <c r="M385" s="9">
        <v>30</v>
      </c>
      <c r="N385" s="9">
        <v>10</v>
      </c>
      <c r="O385" s="9">
        <v>358</v>
      </c>
      <c r="P385" s="9" t="s">
        <v>130</v>
      </c>
    </row>
    <row r="386" spans="1:16" s="9" customFormat="1" x14ac:dyDescent="0.25">
      <c r="A386" s="9">
        <v>333288</v>
      </c>
      <c r="B386" s="9" t="s">
        <v>1498</v>
      </c>
      <c r="C386" s="9" t="s">
        <v>1445</v>
      </c>
      <c r="D386" s="9" t="s">
        <v>18</v>
      </c>
      <c r="E386" s="10" t="s">
        <v>35</v>
      </c>
      <c r="F386" s="9" t="s">
        <v>1496</v>
      </c>
      <c r="G386" s="9" t="s">
        <v>1499</v>
      </c>
      <c r="H386" s="9" t="s">
        <v>22</v>
      </c>
      <c r="I386" s="11">
        <v>6001</v>
      </c>
      <c r="J386" s="9" t="s">
        <v>1447</v>
      </c>
      <c r="K386" s="9">
        <v>33</v>
      </c>
      <c r="L386" s="9">
        <v>131</v>
      </c>
      <c r="M386" s="9">
        <v>203</v>
      </c>
      <c r="N386" s="9">
        <v>0</v>
      </c>
      <c r="O386" s="9">
        <v>367</v>
      </c>
      <c r="P386" s="9" t="s">
        <v>470</v>
      </c>
    </row>
    <row r="387" spans="1:16" s="9" customFormat="1" x14ac:dyDescent="0.25">
      <c r="A387" s="9">
        <v>333289</v>
      </c>
      <c r="B387" s="9" t="s">
        <v>1498</v>
      </c>
      <c r="C387" s="9" t="s">
        <v>1445</v>
      </c>
      <c r="D387" s="9" t="s">
        <v>18</v>
      </c>
      <c r="E387" s="10" t="s">
        <v>35</v>
      </c>
      <c r="F387" s="9" t="s">
        <v>1496</v>
      </c>
      <c r="G387" s="9" t="s">
        <v>1500</v>
      </c>
      <c r="H387" s="9" t="s">
        <v>22</v>
      </c>
      <c r="I387" s="11">
        <v>6001</v>
      </c>
      <c r="J387" s="9" t="s">
        <v>1447</v>
      </c>
      <c r="K387" s="9">
        <v>33</v>
      </c>
      <c r="L387" s="9">
        <v>131</v>
      </c>
      <c r="M387" s="9">
        <v>199</v>
      </c>
      <c r="N387" s="9">
        <v>0</v>
      </c>
      <c r="O387" s="9">
        <v>363</v>
      </c>
      <c r="P387" s="9" t="s">
        <v>470</v>
      </c>
    </row>
    <row r="388" spans="1:16" s="9" customFormat="1" x14ac:dyDescent="0.25">
      <c r="A388" s="9">
        <v>333279</v>
      </c>
      <c r="B388" s="9" t="s">
        <v>1483</v>
      </c>
      <c r="C388" s="9" t="s">
        <v>1466</v>
      </c>
      <c r="D388" s="9" t="s">
        <v>18</v>
      </c>
      <c r="E388" s="10" t="s">
        <v>1467</v>
      </c>
      <c r="F388" s="9" t="s">
        <v>1501</v>
      </c>
      <c r="G388" s="9" t="s">
        <v>1502</v>
      </c>
      <c r="H388" s="9" t="s">
        <v>22</v>
      </c>
      <c r="I388" s="11">
        <v>6001</v>
      </c>
      <c r="J388" s="9" t="s">
        <v>1447</v>
      </c>
      <c r="K388" s="9">
        <v>0</v>
      </c>
      <c r="L388" s="9">
        <v>341</v>
      </c>
      <c r="M388" s="9">
        <v>173</v>
      </c>
      <c r="N388" s="9">
        <v>0</v>
      </c>
      <c r="O388" s="9">
        <v>514</v>
      </c>
      <c r="P388" s="9" t="s">
        <v>1272</v>
      </c>
    </row>
    <row r="389" spans="1:16" x14ac:dyDescent="0.25">
      <c r="A389">
        <v>333285</v>
      </c>
      <c r="B389" t="s">
        <v>1490</v>
      </c>
      <c r="C389" t="s">
        <v>1466</v>
      </c>
      <c r="D389" t="s">
        <v>18</v>
      </c>
      <c r="E389" s="1" t="s">
        <v>1467</v>
      </c>
      <c r="F389" s="15" t="s">
        <v>1503</v>
      </c>
      <c r="G389" t="s">
        <v>1504</v>
      </c>
      <c r="H389" t="s">
        <v>22</v>
      </c>
      <c r="I389" s="2">
        <v>6001</v>
      </c>
      <c r="J389" t="s">
        <v>1447</v>
      </c>
      <c r="K389">
        <v>69</v>
      </c>
      <c r="L389">
        <v>499</v>
      </c>
      <c r="M389">
        <v>245</v>
      </c>
      <c r="N389">
        <v>0</v>
      </c>
      <c r="O389">
        <v>813</v>
      </c>
      <c r="P389" t="s">
        <v>93</v>
      </c>
    </row>
    <row r="390" spans="1:16" s="9" customFormat="1" x14ac:dyDescent="0.25">
      <c r="A390" s="9">
        <v>333309</v>
      </c>
      <c r="B390" s="9" t="s">
        <v>1472</v>
      </c>
      <c r="C390" s="9" t="s">
        <v>1466</v>
      </c>
      <c r="D390" s="9" t="s">
        <v>18</v>
      </c>
      <c r="E390" s="10" t="s">
        <v>1467</v>
      </c>
      <c r="F390" s="9" t="s">
        <v>1473</v>
      </c>
      <c r="G390" s="9" t="s">
        <v>1474</v>
      </c>
      <c r="H390" s="9" t="s">
        <v>22</v>
      </c>
      <c r="I390" s="11">
        <v>6001</v>
      </c>
      <c r="J390" s="9" t="s">
        <v>1447</v>
      </c>
      <c r="K390" s="9">
        <v>177</v>
      </c>
      <c r="L390" s="9">
        <v>451</v>
      </c>
      <c r="M390" s="9">
        <v>244</v>
      </c>
      <c r="N390" s="9">
        <v>158</v>
      </c>
      <c r="O390" s="9">
        <v>1030</v>
      </c>
      <c r="P390" s="9" t="s">
        <v>23</v>
      </c>
    </row>
    <row r="391" spans="1:16" x14ac:dyDescent="0.25">
      <c r="A391">
        <v>333071</v>
      </c>
      <c r="B391" t="s">
        <v>308</v>
      </c>
      <c r="C391" t="s">
        <v>309</v>
      </c>
      <c r="D391" t="s">
        <v>18</v>
      </c>
      <c r="E391" s="1" t="s">
        <v>310</v>
      </c>
      <c r="F391" s="15" t="s">
        <v>309</v>
      </c>
      <c r="G391" t="s">
        <v>311</v>
      </c>
      <c r="H391" t="s">
        <v>22</v>
      </c>
      <c r="I391" s="2">
        <v>6001</v>
      </c>
      <c r="J391" t="s">
        <v>30</v>
      </c>
      <c r="K391">
        <v>8</v>
      </c>
      <c r="L391">
        <v>10</v>
      </c>
      <c r="M391">
        <v>11</v>
      </c>
      <c r="N391">
        <v>12</v>
      </c>
      <c r="O391">
        <v>41</v>
      </c>
      <c r="P391" t="s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5"/>
  <sheetViews>
    <sheetView tabSelected="1" topLeftCell="A183" zoomScale="82" zoomScaleNormal="82" workbookViewId="0">
      <selection activeCell="B54" sqref="B54"/>
    </sheetView>
  </sheetViews>
  <sheetFormatPr defaultRowHeight="15" x14ac:dyDescent="0.25"/>
  <cols>
    <col min="1" max="1" width="13.140625" style="61" customWidth="1"/>
    <col min="2" max="2" width="24" style="61" customWidth="1"/>
    <col min="3" max="3" width="38.28515625" style="61" customWidth="1"/>
    <col min="4" max="4" width="9.140625" style="61"/>
    <col min="5" max="5" width="11.28515625" style="60" customWidth="1"/>
    <col min="6" max="6" width="9.140625" style="68"/>
    <col min="7" max="7" width="9.140625" style="66"/>
    <col min="8" max="10" width="9.140625" style="60"/>
    <col min="11" max="15" width="9.140625" style="51"/>
    <col min="16" max="16" width="12.28515625" style="65" customWidth="1"/>
    <col min="17" max="17" width="10" style="127" bestFit="1" customWidth="1"/>
    <col min="18" max="18" width="14.28515625" style="61" customWidth="1"/>
    <col min="19" max="19" width="9.140625" style="65"/>
    <col min="20" max="20" width="9.140625" style="127"/>
    <col min="21" max="16384" width="9.140625" style="61"/>
  </cols>
  <sheetData>
    <row r="1" spans="1:27" s="46" customFormat="1" x14ac:dyDescent="0.25">
      <c r="A1" s="38"/>
      <c r="B1" s="38" t="s">
        <v>1529</v>
      </c>
      <c r="C1" s="38" t="s">
        <v>1530</v>
      </c>
      <c r="D1" s="39" t="s">
        <v>1531</v>
      </c>
      <c r="E1" s="39" t="s">
        <v>1532</v>
      </c>
      <c r="F1" s="39" t="s">
        <v>1533</v>
      </c>
      <c r="G1" s="41" t="s">
        <v>1534</v>
      </c>
      <c r="H1" s="41" t="s">
        <v>1535</v>
      </c>
      <c r="I1" s="40" t="s">
        <v>1536</v>
      </c>
      <c r="J1" s="40" t="s">
        <v>1537</v>
      </c>
      <c r="K1" s="42" t="s">
        <v>1540</v>
      </c>
      <c r="L1" s="42" t="s">
        <v>1543</v>
      </c>
      <c r="M1" s="42" t="s">
        <v>1546</v>
      </c>
      <c r="N1" s="42" t="s">
        <v>1549</v>
      </c>
      <c r="O1" s="43" t="s">
        <v>1550</v>
      </c>
      <c r="P1" s="44"/>
      <c r="Q1" s="45"/>
      <c r="R1" s="45"/>
      <c r="S1" s="44">
        <v>2022</v>
      </c>
      <c r="T1" s="125">
        <v>2021</v>
      </c>
    </row>
    <row r="2" spans="1:27" s="46" customFormat="1" x14ac:dyDescent="0.25">
      <c r="A2" s="139" t="s">
        <v>1551</v>
      </c>
      <c r="B2" s="47" t="s">
        <v>1552</v>
      </c>
      <c r="C2" s="47" t="s">
        <v>1553</v>
      </c>
      <c r="D2" s="103">
        <v>1090011</v>
      </c>
      <c r="E2" s="48"/>
      <c r="F2" s="48"/>
      <c r="G2" s="49"/>
      <c r="H2" s="49" t="s">
        <v>1554</v>
      </c>
      <c r="J2" s="50"/>
      <c r="K2" s="51">
        <v>10</v>
      </c>
      <c r="L2" s="51">
        <v>88</v>
      </c>
      <c r="M2" s="51">
        <v>61</v>
      </c>
      <c r="N2" s="51">
        <v>12</v>
      </c>
      <c r="O2" s="51">
        <v>171</v>
      </c>
      <c r="P2" s="44"/>
      <c r="Q2" s="45"/>
      <c r="R2" s="45"/>
      <c r="S2" s="44"/>
      <c r="T2" s="45"/>
    </row>
    <row r="3" spans="1:27" s="46" customFormat="1" x14ac:dyDescent="0.25">
      <c r="A3" s="139" t="s">
        <v>1556</v>
      </c>
      <c r="B3" s="47" t="s">
        <v>1552</v>
      </c>
      <c r="C3" s="47" t="s">
        <v>1557</v>
      </c>
      <c r="D3" s="103">
        <v>1090011</v>
      </c>
      <c r="E3" s="48"/>
      <c r="F3" s="48"/>
      <c r="G3" s="49"/>
      <c r="H3" s="49" t="s">
        <v>1554</v>
      </c>
      <c r="J3" s="50"/>
      <c r="K3" s="51">
        <v>0</v>
      </c>
      <c r="L3" s="51">
        <v>1</v>
      </c>
      <c r="M3" s="51">
        <v>0</v>
      </c>
      <c r="N3" s="51">
        <v>0</v>
      </c>
      <c r="O3" s="51">
        <v>1</v>
      </c>
      <c r="P3" s="44"/>
      <c r="Q3" s="45"/>
      <c r="R3" s="45"/>
      <c r="S3" s="44"/>
      <c r="T3" s="45"/>
    </row>
    <row r="4" spans="1:27" s="46" customFormat="1" x14ac:dyDescent="0.25">
      <c r="A4" s="139" t="s">
        <v>1558</v>
      </c>
      <c r="B4" s="47" t="s">
        <v>1552</v>
      </c>
      <c r="C4" s="47" t="s">
        <v>1559</v>
      </c>
      <c r="D4" s="103">
        <v>1090011</v>
      </c>
      <c r="E4" s="104">
        <v>1090011</v>
      </c>
      <c r="F4" s="103">
        <v>1</v>
      </c>
      <c r="G4" s="105"/>
      <c r="H4" s="105" t="s">
        <v>1554</v>
      </c>
      <c r="I4" s="111"/>
      <c r="J4" s="118"/>
      <c r="K4" s="117">
        <v>39</v>
      </c>
      <c r="L4" s="117">
        <v>7</v>
      </c>
      <c r="M4" s="117">
        <v>38</v>
      </c>
      <c r="N4" s="117">
        <v>62</v>
      </c>
      <c r="O4" s="117">
        <v>146</v>
      </c>
      <c r="P4" s="107">
        <f>SUM(O2:O4)*1000</f>
        <v>318000</v>
      </c>
      <c r="Q4" s="108">
        <f>SUM(P4/76650)</f>
        <v>4.1487279843444229</v>
      </c>
      <c r="R4" s="108">
        <f>SUM(Q4*600)</f>
        <v>2489.2367906066538</v>
      </c>
      <c r="S4" s="107">
        <v>1.9</v>
      </c>
      <c r="T4" s="45">
        <v>3.73</v>
      </c>
      <c r="U4" s="131" t="s">
        <v>2241</v>
      </c>
    </row>
    <row r="5" spans="1:27" s="46" customFormat="1" x14ac:dyDescent="0.25">
      <c r="A5" s="139" t="s">
        <v>1560</v>
      </c>
      <c r="B5" s="47" t="s">
        <v>1561</v>
      </c>
      <c r="C5" s="47" t="s">
        <v>1562</v>
      </c>
      <c r="D5" s="103">
        <v>1090021</v>
      </c>
      <c r="E5" s="52">
        <v>1090021</v>
      </c>
      <c r="F5" s="48">
        <v>2</v>
      </c>
      <c r="G5" s="49"/>
      <c r="H5" s="49" t="s">
        <v>1554</v>
      </c>
      <c r="J5" s="50"/>
      <c r="K5" s="53">
        <v>8</v>
      </c>
      <c r="L5" s="53">
        <v>9</v>
      </c>
      <c r="M5" s="53">
        <v>7</v>
      </c>
      <c r="N5" s="53">
        <v>7</v>
      </c>
      <c r="O5" s="43">
        <v>76.650000000000006</v>
      </c>
      <c r="P5" s="44">
        <f>SUM(O5*1000)</f>
        <v>76650</v>
      </c>
      <c r="Q5" s="108">
        <f>SUM(P5/76650)</f>
        <v>1</v>
      </c>
      <c r="R5" s="108">
        <f>SUM(Q5*600)</f>
        <v>600</v>
      </c>
      <c r="S5" s="44">
        <v>1</v>
      </c>
      <c r="T5" s="45"/>
      <c r="U5" s="131"/>
    </row>
    <row r="6" spans="1:27" s="46" customFormat="1" x14ac:dyDescent="0.25">
      <c r="A6" s="139" t="s">
        <v>1563</v>
      </c>
      <c r="B6" s="47" t="s">
        <v>1564</v>
      </c>
      <c r="C6" s="47" t="s">
        <v>1565</v>
      </c>
      <c r="D6" s="104">
        <v>2210021</v>
      </c>
      <c r="E6" s="52"/>
      <c r="F6" s="52"/>
      <c r="G6" s="49"/>
      <c r="H6" s="49" t="s">
        <v>1554</v>
      </c>
      <c r="I6" s="50"/>
      <c r="J6" s="50"/>
      <c r="K6" s="53">
        <v>31</v>
      </c>
      <c r="L6" s="53">
        <v>43</v>
      </c>
      <c r="M6" s="53">
        <v>48</v>
      </c>
      <c r="N6" s="53">
        <v>37</v>
      </c>
      <c r="O6" s="43">
        <v>159</v>
      </c>
      <c r="P6" s="44"/>
      <c r="Q6" s="45"/>
      <c r="R6" s="45"/>
      <c r="S6" s="44"/>
      <c r="T6" s="45"/>
    </row>
    <row r="7" spans="1:27" s="46" customFormat="1" x14ac:dyDescent="0.25">
      <c r="A7" s="139" t="s">
        <v>1566</v>
      </c>
      <c r="B7" s="47" t="s">
        <v>1567</v>
      </c>
      <c r="C7" s="47" t="s">
        <v>1565</v>
      </c>
      <c r="D7" s="104">
        <v>2210021</v>
      </c>
      <c r="E7" s="52"/>
      <c r="F7" s="52"/>
      <c r="G7" s="49"/>
      <c r="H7" s="49" t="s">
        <v>1554</v>
      </c>
      <c r="I7" s="50"/>
      <c r="J7" s="50"/>
      <c r="K7" s="51">
        <v>7</v>
      </c>
      <c r="L7" s="51">
        <v>6</v>
      </c>
      <c r="M7" s="51">
        <v>5</v>
      </c>
      <c r="N7" s="51">
        <v>4</v>
      </c>
      <c r="O7" s="51">
        <v>22</v>
      </c>
      <c r="P7" s="44"/>
      <c r="Q7" s="45"/>
      <c r="R7" s="45"/>
      <c r="S7" s="44"/>
      <c r="T7" s="45"/>
    </row>
    <row r="8" spans="1:27" s="58" customFormat="1" x14ac:dyDescent="0.25">
      <c r="A8" s="139" t="s">
        <v>1568</v>
      </c>
      <c r="B8" s="54" t="s">
        <v>1567</v>
      </c>
      <c r="C8" s="54" t="s">
        <v>1569</v>
      </c>
      <c r="D8" s="104">
        <v>2210021</v>
      </c>
      <c r="E8" s="55"/>
      <c r="F8" s="63"/>
      <c r="G8" s="56" t="s">
        <v>1570</v>
      </c>
      <c r="H8" s="49" t="s">
        <v>1554</v>
      </c>
      <c r="K8" s="59">
        <v>9</v>
      </c>
      <c r="L8" s="59">
        <v>94</v>
      </c>
      <c r="M8" s="59">
        <v>35</v>
      </c>
      <c r="N8" s="59">
        <v>0</v>
      </c>
      <c r="O8" s="59">
        <v>138</v>
      </c>
      <c r="P8" s="44"/>
      <c r="Q8" s="45"/>
      <c r="R8" s="45"/>
      <c r="S8" s="72"/>
      <c r="T8" s="126"/>
      <c r="U8" s="60"/>
      <c r="V8" s="60"/>
      <c r="W8" s="60"/>
      <c r="X8" s="60"/>
    </row>
    <row r="9" spans="1:27" s="58" customFormat="1" x14ac:dyDescent="0.25">
      <c r="A9" s="139" t="s">
        <v>1619</v>
      </c>
      <c r="B9" s="47" t="s">
        <v>1620</v>
      </c>
      <c r="C9" s="47" t="s">
        <v>1565</v>
      </c>
      <c r="D9" s="104">
        <v>2210021</v>
      </c>
      <c r="E9" s="52"/>
      <c r="F9" s="52"/>
      <c r="G9" s="49"/>
      <c r="H9" s="49" t="s">
        <v>1554</v>
      </c>
      <c r="I9" s="60"/>
      <c r="J9" s="60"/>
      <c r="K9" s="61">
        <v>9</v>
      </c>
      <c r="L9" s="61">
        <v>7</v>
      </c>
      <c r="M9" s="61">
        <v>8</v>
      </c>
      <c r="N9" s="61">
        <v>8</v>
      </c>
      <c r="O9" s="61">
        <v>32</v>
      </c>
      <c r="P9" s="44"/>
      <c r="Q9" s="45"/>
      <c r="R9" s="45"/>
      <c r="S9" s="72"/>
      <c r="T9" s="126"/>
      <c r="U9" s="60"/>
      <c r="V9" s="60"/>
      <c r="W9" s="60"/>
      <c r="X9" s="60"/>
      <c r="Y9" s="60"/>
      <c r="Z9" s="60"/>
      <c r="AA9" s="60"/>
    </row>
    <row r="10" spans="1:27" s="58" customFormat="1" x14ac:dyDescent="0.25">
      <c r="A10" s="139" t="s">
        <v>1621</v>
      </c>
      <c r="B10" s="54" t="s">
        <v>1620</v>
      </c>
      <c r="C10" s="54" t="s">
        <v>1622</v>
      </c>
      <c r="D10" s="104">
        <v>2210021</v>
      </c>
      <c r="E10" s="55"/>
      <c r="F10" s="55"/>
      <c r="G10" s="57" t="s">
        <v>1570</v>
      </c>
      <c r="H10" s="49" t="s">
        <v>1554</v>
      </c>
      <c r="K10" s="58">
        <v>13</v>
      </c>
      <c r="L10" s="58">
        <v>115</v>
      </c>
      <c r="M10" s="58">
        <v>21</v>
      </c>
      <c r="N10" s="58">
        <v>0</v>
      </c>
      <c r="O10" s="58">
        <v>149</v>
      </c>
      <c r="P10" s="44"/>
      <c r="Q10" s="45"/>
      <c r="R10" s="45"/>
      <c r="S10" s="72"/>
      <c r="T10" s="126"/>
      <c r="U10" s="60"/>
      <c r="V10" s="60"/>
      <c r="W10" s="60"/>
    </row>
    <row r="11" spans="1:27" s="58" customFormat="1" x14ac:dyDescent="0.25">
      <c r="A11" s="139" t="s">
        <v>1639</v>
      </c>
      <c r="B11" s="47" t="s">
        <v>1640</v>
      </c>
      <c r="C11" s="47" t="s">
        <v>1565</v>
      </c>
      <c r="D11" s="104">
        <v>2210021</v>
      </c>
      <c r="E11" s="52"/>
      <c r="F11" s="52"/>
      <c r="G11" s="49"/>
      <c r="H11" s="49" t="s">
        <v>1554</v>
      </c>
      <c r="I11" s="60"/>
      <c r="J11" s="60"/>
      <c r="K11" s="61">
        <v>26</v>
      </c>
      <c r="L11" s="61">
        <v>13</v>
      </c>
      <c r="M11" s="61">
        <v>12</v>
      </c>
      <c r="N11" s="61">
        <v>12</v>
      </c>
      <c r="O11" s="61">
        <v>63</v>
      </c>
      <c r="P11" s="44"/>
      <c r="Q11" s="45"/>
      <c r="R11" s="45"/>
      <c r="S11" s="72"/>
      <c r="T11" s="126"/>
      <c r="U11" s="60"/>
      <c r="V11" s="60"/>
      <c r="W11" s="60"/>
      <c r="X11" s="60"/>
      <c r="Y11" s="60"/>
    </row>
    <row r="12" spans="1:27" s="58" customFormat="1" x14ac:dyDescent="0.25">
      <c r="A12" s="139" t="s">
        <v>1641</v>
      </c>
      <c r="B12" s="47" t="s">
        <v>1642</v>
      </c>
      <c r="C12" s="47" t="s">
        <v>1565</v>
      </c>
      <c r="D12" s="104">
        <v>2210021</v>
      </c>
      <c r="E12" s="52"/>
      <c r="F12" s="52"/>
      <c r="G12" s="49"/>
      <c r="H12" s="49" t="s">
        <v>1554</v>
      </c>
      <c r="I12" s="60"/>
      <c r="J12" s="60"/>
      <c r="K12" s="61">
        <v>1</v>
      </c>
      <c r="L12" s="61">
        <v>0</v>
      </c>
      <c r="M12" s="61">
        <v>0</v>
      </c>
      <c r="N12" s="61">
        <v>0</v>
      </c>
      <c r="O12" s="61">
        <v>1</v>
      </c>
      <c r="P12" s="44"/>
      <c r="Q12" s="45"/>
      <c r="R12" s="45"/>
      <c r="S12" s="72"/>
      <c r="T12" s="126"/>
      <c r="U12" s="60"/>
      <c r="V12" s="60"/>
      <c r="W12" s="60"/>
      <c r="X12" s="60"/>
      <c r="Y12" s="60"/>
    </row>
    <row r="13" spans="1:27" s="58" customFormat="1" x14ac:dyDescent="0.25">
      <c r="A13" s="139" t="s">
        <v>1643</v>
      </c>
      <c r="B13" s="47" t="s">
        <v>1644</v>
      </c>
      <c r="C13" s="47" t="s">
        <v>1565</v>
      </c>
      <c r="D13" s="104">
        <v>2210021</v>
      </c>
      <c r="E13" s="52"/>
      <c r="F13" s="52"/>
      <c r="G13" s="49"/>
      <c r="H13" s="49" t="s">
        <v>1554</v>
      </c>
      <c r="I13" s="60"/>
      <c r="J13" s="60"/>
      <c r="K13" s="61">
        <v>0</v>
      </c>
      <c r="L13" s="61">
        <v>1</v>
      </c>
      <c r="M13" s="61">
        <v>0</v>
      </c>
      <c r="N13" s="61">
        <v>1</v>
      </c>
      <c r="O13" s="61">
        <v>2</v>
      </c>
      <c r="P13" s="44"/>
      <c r="Q13" s="45"/>
      <c r="R13" s="45"/>
      <c r="S13" s="72"/>
      <c r="T13" s="126"/>
      <c r="U13" s="60"/>
      <c r="V13" s="60"/>
      <c r="W13" s="60"/>
      <c r="X13" s="60"/>
      <c r="Y13" s="60"/>
    </row>
    <row r="14" spans="1:27" s="58" customFormat="1" x14ac:dyDescent="0.25">
      <c r="A14" s="139" t="s">
        <v>1645</v>
      </c>
      <c r="B14" s="54" t="s">
        <v>1644</v>
      </c>
      <c r="C14" s="54" t="s">
        <v>1622</v>
      </c>
      <c r="D14" s="104">
        <v>2210021</v>
      </c>
      <c r="E14" s="55"/>
      <c r="F14" s="55"/>
      <c r="G14" s="57" t="s">
        <v>1570</v>
      </c>
      <c r="H14" s="49" t="s">
        <v>1554</v>
      </c>
      <c r="K14" s="58">
        <v>3</v>
      </c>
      <c r="L14" s="58">
        <v>19</v>
      </c>
      <c r="M14" s="58">
        <v>4</v>
      </c>
      <c r="N14" s="58">
        <v>0</v>
      </c>
      <c r="O14" s="58">
        <v>26</v>
      </c>
      <c r="P14" s="44"/>
      <c r="Q14" s="45"/>
      <c r="R14" s="45"/>
      <c r="S14" s="72"/>
      <c r="T14" s="126"/>
      <c r="U14" s="60"/>
      <c r="V14" s="60"/>
      <c r="W14" s="60"/>
      <c r="X14" s="60"/>
      <c r="Y14" s="60"/>
    </row>
    <row r="15" spans="1:27" s="58" customFormat="1" x14ac:dyDescent="0.25">
      <c r="A15" s="139" t="s">
        <v>1646</v>
      </c>
      <c r="B15" s="47" t="s">
        <v>1647</v>
      </c>
      <c r="C15" s="47" t="s">
        <v>1565</v>
      </c>
      <c r="D15" s="104">
        <v>2210021</v>
      </c>
      <c r="E15" s="52"/>
      <c r="F15" s="52"/>
      <c r="G15" s="49"/>
      <c r="H15" s="49" t="s">
        <v>1554</v>
      </c>
      <c r="I15" s="60"/>
      <c r="J15" s="60"/>
      <c r="K15" s="61">
        <v>28</v>
      </c>
      <c r="L15" s="61">
        <v>20</v>
      </c>
      <c r="M15" s="61">
        <v>13</v>
      </c>
      <c r="N15" s="61">
        <v>15</v>
      </c>
      <c r="O15" s="61">
        <v>76</v>
      </c>
      <c r="P15" s="44"/>
      <c r="Q15" s="45"/>
      <c r="R15" s="45"/>
      <c r="S15" s="72"/>
      <c r="T15" s="126"/>
      <c r="U15" s="60"/>
      <c r="V15" s="60"/>
      <c r="W15" s="60"/>
      <c r="X15" s="60"/>
      <c r="Y15" s="60"/>
    </row>
    <row r="16" spans="1:27" s="58" customFormat="1" x14ac:dyDescent="0.25">
      <c r="A16" s="139" t="s">
        <v>1648</v>
      </c>
      <c r="B16" s="54" t="s">
        <v>1647</v>
      </c>
      <c r="C16" s="54" t="s">
        <v>1622</v>
      </c>
      <c r="D16" s="104">
        <v>2210021</v>
      </c>
      <c r="E16" s="55"/>
      <c r="F16" s="55"/>
      <c r="G16" s="57" t="s">
        <v>1570</v>
      </c>
      <c r="H16" s="49" t="s">
        <v>1554</v>
      </c>
      <c r="K16" s="58">
        <v>10</v>
      </c>
      <c r="L16" s="58">
        <v>81</v>
      </c>
      <c r="M16" s="58">
        <v>17</v>
      </c>
      <c r="N16" s="58">
        <v>0</v>
      </c>
      <c r="O16" s="58">
        <v>108</v>
      </c>
      <c r="P16" s="44"/>
      <c r="Q16" s="45"/>
      <c r="R16" s="45"/>
      <c r="S16" s="72"/>
      <c r="T16" s="126"/>
      <c r="U16" s="60"/>
      <c r="V16" s="60"/>
      <c r="W16" s="60"/>
      <c r="X16" s="60"/>
      <c r="Y16" s="60"/>
    </row>
    <row r="17" spans="1:28" s="58" customFormat="1" x14ac:dyDescent="0.25">
      <c r="A17" s="139" t="s">
        <v>1649</v>
      </c>
      <c r="B17" s="47" t="s">
        <v>1650</v>
      </c>
      <c r="C17" s="47" t="s">
        <v>1651</v>
      </c>
      <c r="D17" s="104">
        <v>2210021</v>
      </c>
      <c r="E17" s="52"/>
      <c r="F17" s="52"/>
      <c r="G17" s="49"/>
      <c r="H17" s="49" t="s">
        <v>1554</v>
      </c>
      <c r="I17" s="60"/>
      <c r="J17" s="60"/>
      <c r="K17" s="69">
        <v>1</v>
      </c>
      <c r="L17" s="69">
        <v>1</v>
      </c>
      <c r="M17" s="69">
        <v>1</v>
      </c>
      <c r="N17" s="69">
        <v>0</v>
      </c>
      <c r="O17" s="69">
        <v>3</v>
      </c>
      <c r="P17" s="44"/>
      <c r="Q17" s="45"/>
      <c r="R17" s="45"/>
      <c r="S17" s="72"/>
      <c r="T17" s="126"/>
      <c r="U17" s="60"/>
      <c r="V17" s="60"/>
      <c r="W17" s="60"/>
      <c r="X17" s="60"/>
      <c r="Y17" s="60"/>
    </row>
    <row r="18" spans="1:28" s="58" customFormat="1" x14ac:dyDescent="0.25">
      <c r="A18" s="139" t="s">
        <v>1652</v>
      </c>
      <c r="B18" s="47" t="s">
        <v>1650</v>
      </c>
      <c r="C18" s="47" t="s">
        <v>1653</v>
      </c>
      <c r="D18" s="104">
        <v>2210021</v>
      </c>
      <c r="E18" s="52"/>
      <c r="F18" s="52"/>
      <c r="G18" s="49"/>
      <c r="H18" s="49" t="s">
        <v>1554</v>
      </c>
      <c r="I18" s="60"/>
      <c r="J18" s="60"/>
      <c r="K18" s="61">
        <v>1</v>
      </c>
      <c r="L18" s="61">
        <v>1</v>
      </c>
      <c r="M18" s="61">
        <v>1</v>
      </c>
      <c r="N18" s="61">
        <v>0</v>
      </c>
      <c r="O18" s="61">
        <v>3</v>
      </c>
      <c r="P18" s="44"/>
      <c r="Q18" s="45"/>
      <c r="R18" s="45"/>
      <c r="S18" s="72"/>
      <c r="T18" s="126"/>
      <c r="U18" s="60"/>
      <c r="V18" s="60"/>
      <c r="W18" s="60"/>
      <c r="X18" s="60"/>
      <c r="Y18" s="60"/>
    </row>
    <row r="19" spans="1:28" s="58" customFormat="1" x14ac:dyDescent="0.25">
      <c r="A19" s="139" t="s">
        <v>1654</v>
      </c>
      <c r="B19" s="47" t="s">
        <v>1655</v>
      </c>
      <c r="C19" s="47" t="s">
        <v>1656</v>
      </c>
      <c r="D19" s="104">
        <v>2210021</v>
      </c>
      <c r="E19" s="52"/>
      <c r="F19" s="52"/>
      <c r="G19" s="49"/>
      <c r="H19" s="49" t="s">
        <v>1554</v>
      </c>
      <c r="I19" s="60"/>
      <c r="J19" s="60"/>
      <c r="K19" s="61">
        <v>0</v>
      </c>
      <c r="L19" s="61">
        <v>1</v>
      </c>
      <c r="M19" s="61">
        <v>0</v>
      </c>
      <c r="N19" s="61">
        <v>1</v>
      </c>
      <c r="O19" s="61">
        <v>2</v>
      </c>
      <c r="P19" s="44"/>
      <c r="Q19" s="45"/>
      <c r="R19" s="45"/>
      <c r="S19" s="72"/>
      <c r="T19" s="126"/>
      <c r="U19" s="60"/>
      <c r="V19" s="60"/>
      <c r="W19" s="60"/>
      <c r="X19" s="60"/>
      <c r="Y19" s="60"/>
      <c r="Z19" s="60"/>
      <c r="AA19" s="60"/>
      <c r="AB19" s="60"/>
    </row>
    <row r="20" spans="1:28" s="58" customFormat="1" x14ac:dyDescent="0.25">
      <c r="A20" s="139" t="s">
        <v>1657</v>
      </c>
      <c r="B20" s="47" t="s">
        <v>1658</v>
      </c>
      <c r="C20" s="47" t="s">
        <v>1565</v>
      </c>
      <c r="D20" s="104">
        <v>2210021</v>
      </c>
      <c r="E20" s="104">
        <v>2210021</v>
      </c>
      <c r="F20" s="104">
        <v>3</v>
      </c>
      <c r="G20" s="105"/>
      <c r="H20" s="49" t="s">
        <v>1554</v>
      </c>
      <c r="I20" s="106"/>
      <c r="J20" s="106"/>
      <c r="K20" s="106">
        <v>4</v>
      </c>
      <c r="L20" s="106">
        <v>4</v>
      </c>
      <c r="M20" s="106">
        <v>4</v>
      </c>
      <c r="N20" s="106">
        <v>3</v>
      </c>
      <c r="O20" s="106">
        <v>15</v>
      </c>
      <c r="P20" s="107">
        <f>SUM(O5+O6+O7+O9+O11+O12+O13+O15+O17+O18+O19+O20)*1000</f>
        <v>454650</v>
      </c>
      <c r="Q20" s="108">
        <f t="shared" ref="Q20" si="0">SUM(P20/76650)</f>
        <v>5.9315068493150687</v>
      </c>
      <c r="R20" s="108">
        <f t="shared" ref="R20" si="1">SUM(Q20*600)</f>
        <v>3558.9041095890411</v>
      </c>
      <c r="S20" s="110">
        <v>4.93</v>
      </c>
      <c r="T20" s="126">
        <v>3.68</v>
      </c>
      <c r="U20" s="131" t="s">
        <v>2243</v>
      </c>
      <c r="V20" s="60"/>
      <c r="W20" s="60"/>
      <c r="X20" s="60"/>
      <c r="Y20" s="60"/>
      <c r="Z20" s="60"/>
      <c r="AA20" s="60"/>
      <c r="AB20" s="60"/>
    </row>
    <row r="21" spans="1:28" s="46" customFormat="1" x14ac:dyDescent="0.25">
      <c r="A21" s="139" t="s">
        <v>1571</v>
      </c>
      <c r="B21" s="47" t="s">
        <v>1572</v>
      </c>
      <c r="C21" s="47" t="s">
        <v>1573</v>
      </c>
      <c r="D21" s="48">
        <v>1140025</v>
      </c>
      <c r="E21" s="52">
        <v>1140025</v>
      </c>
      <c r="F21" s="52">
        <v>4</v>
      </c>
      <c r="G21" s="49"/>
      <c r="H21" s="49" t="s">
        <v>1554</v>
      </c>
      <c r="J21" s="50"/>
      <c r="K21" s="68">
        <v>1</v>
      </c>
      <c r="L21" s="68">
        <v>1</v>
      </c>
      <c r="M21" s="68">
        <v>1</v>
      </c>
      <c r="N21" s="68">
        <v>1</v>
      </c>
      <c r="O21" s="68">
        <v>76.650000000000006</v>
      </c>
      <c r="P21" s="44">
        <f>SUM(O21)*1000</f>
        <v>76650</v>
      </c>
      <c r="Q21" s="45">
        <f t="shared" ref="Q21:Q82" si="2">SUM(P21/76650)</f>
        <v>1</v>
      </c>
      <c r="R21" s="45">
        <f t="shared" ref="R21:R22" si="3">SUM(Q21*600)</f>
        <v>600</v>
      </c>
      <c r="S21" s="44">
        <v>1</v>
      </c>
      <c r="T21" s="45">
        <v>1</v>
      </c>
      <c r="U21" s="131" t="s">
        <v>2242</v>
      </c>
    </row>
    <row r="22" spans="1:28" s="46" customFormat="1" x14ac:dyDescent="0.25">
      <c r="A22" s="139" t="s">
        <v>1574</v>
      </c>
      <c r="B22" s="47" t="s">
        <v>1575</v>
      </c>
      <c r="C22" s="47" t="s">
        <v>1573</v>
      </c>
      <c r="D22" s="48">
        <v>1140027</v>
      </c>
      <c r="E22" s="52">
        <v>1140027</v>
      </c>
      <c r="F22" s="48">
        <v>5</v>
      </c>
      <c r="G22" s="49"/>
      <c r="H22" s="49" t="s">
        <v>1554</v>
      </c>
      <c r="J22" s="50"/>
      <c r="K22" s="68">
        <v>29</v>
      </c>
      <c r="L22" s="68">
        <v>22</v>
      </c>
      <c r="M22" s="68">
        <v>17</v>
      </c>
      <c r="N22" s="68">
        <v>22</v>
      </c>
      <c r="O22" s="68">
        <v>90</v>
      </c>
      <c r="P22" s="44">
        <f>SUM(O22)*1000</f>
        <v>90000</v>
      </c>
      <c r="Q22" s="45">
        <f t="shared" si="2"/>
        <v>1.1741682974559686</v>
      </c>
      <c r="R22" s="45">
        <f t="shared" si="3"/>
        <v>704.5009784735812</v>
      </c>
      <c r="S22" s="44">
        <v>1.17</v>
      </c>
      <c r="T22" s="45">
        <v>1.17</v>
      </c>
      <c r="U22" s="131" t="s">
        <v>2242</v>
      </c>
    </row>
    <row r="23" spans="1:28" s="46" customFormat="1" x14ac:dyDescent="0.25">
      <c r="A23" s="139" t="s">
        <v>1576</v>
      </c>
      <c r="B23" s="47" t="s">
        <v>1577</v>
      </c>
      <c r="C23" s="47" t="s">
        <v>1578</v>
      </c>
      <c r="D23" s="48">
        <v>1161010</v>
      </c>
      <c r="E23" s="52">
        <v>1161010</v>
      </c>
      <c r="F23" s="52"/>
      <c r="G23" s="49"/>
      <c r="H23" s="49" t="s">
        <v>1554</v>
      </c>
      <c r="J23" s="50"/>
      <c r="K23" s="68">
        <v>12</v>
      </c>
      <c r="L23" s="68">
        <v>19</v>
      </c>
      <c r="M23" s="68">
        <v>63</v>
      </c>
      <c r="N23" s="68">
        <v>57</v>
      </c>
      <c r="O23" s="68">
        <v>151</v>
      </c>
      <c r="P23" s="44">
        <f>SUM(O23)*1000</f>
        <v>151000</v>
      </c>
      <c r="Q23" s="45">
        <f t="shared" si="2"/>
        <v>1.9699934768427918</v>
      </c>
      <c r="R23" s="45">
        <f t="shared" ref="R23:R82" si="4">SUM(Q23*600)</f>
        <v>1181.996086105675</v>
      </c>
      <c r="S23" s="44">
        <v>1.97</v>
      </c>
      <c r="T23" s="45">
        <v>1.82</v>
      </c>
      <c r="U23" s="131" t="s">
        <v>2243</v>
      </c>
    </row>
    <row r="24" spans="1:28" s="64" customFormat="1" x14ac:dyDescent="0.25">
      <c r="A24" s="139" t="s">
        <v>1579</v>
      </c>
      <c r="B24" s="54" t="s">
        <v>1577</v>
      </c>
      <c r="C24" s="54" t="s">
        <v>1580</v>
      </c>
      <c r="D24" s="63">
        <v>1162010</v>
      </c>
      <c r="E24" s="55">
        <v>1162010</v>
      </c>
      <c r="F24" s="63"/>
      <c r="G24" s="57" t="s">
        <v>1570</v>
      </c>
      <c r="H24" s="57" t="s">
        <v>1554</v>
      </c>
      <c r="J24" s="62"/>
      <c r="K24" s="59">
        <v>89</v>
      </c>
      <c r="L24" s="59">
        <v>1980</v>
      </c>
      <c r="M24" s="59">
        <v>207</v>
      </c>
      <c r="N24" s="59">
        <v>0</v>
      </c>
      <c r="O24" s="59">
        <v>2276</v>
      </c>
      <c r="P24" s="44"/>
      <c r="Q24" s="45"/>
      <c r="R24" s="45"/>
      <c r="S24" s="44"/>
      <c r="T24" s="45"/>
      <c r="U24" s="46"/>
      <c r="V24" s="46"/>
      <c r="W24" s="46"/>
      <c r="X24" s="46"/>
      <c r="Y24" s="46"/>
      <c r="Z24" s="46"/>
      <c r="AA24" s="46"/>
      <c r="AB24" s="46"/>
    </row>
    <row r="25" spans="1:28" x14ac:dyDescent="0.25">
      <c r="A25" s="139" t="s">
        <v>1581</v>
      </c>
      <c r="B25" s="47" t="s">
        <v>1582</v>
      </c>
      <c r="C25" s="47" t="s">
        <v>1583</v>
      </c>
      <c r="D25" s="48">
        <v>1162020</v>
      </c>
      <c r="E25" s="52">
        <v>1162020</v>
      </c>
      <c r="F25" s="52">
        <v>6</v>
      </c>
      <c r="G25" s="49"/>
      <c r="H25" s="49" t="s">
        <v>1554</v>
      </c>
      <c r="K25" s="61">
        <v>11</v>
      </c>
      <c r="L25" s="61">
        <v>13</v>
      </c>
      <c r="M25" s="61">
        <v>10</v>
      </c>
      <c r="N25" s="61">
        <v>18</v>
      </c>
      <c r="O25" s="61">
        <v>76.650000000000006</v>
      </c>
      <c r="P25" s="44">
        <f t="shared" ref="P25:P32" si="5">SUM(O25)*1000</f>
        <v>76650</v>
      </c>
      <c r="Q25" s="45">
        <f t="shared" si="2"/>
        <v>1</v>
      </c>
      <c r="R25" s="45">
        <f t="shared" si="4"/>
        <v>600</v>
      </c>
      <c r="S25" s="44">
        <v>1</v>
      </c>
      <c r="T25" s="127">
        <v>1</v>
      </c>
      <c r="U25" s="132" t="s">
        <v>2242</v>
      </c>
      <c r="X25" s="60"/>
      <c r="Y25" s="60"/>
      <c r="Z25" s="60"/>
      <c r="AA25" s="60"/>
      <c r="AB25" s="60"/>
    </row>
    <row r="26" spans="1:28" x14ac:dyDescent="0.25">
      <c r="A26" s="139" t="s">
        <v>1584</v>
      </c>
      <c r="B26" s="47" t="s">
        <v>1585</v>
      </c>
      <c r="C26" s="47" t="s">
        <v>1586</v>
      </c>
      <c r="D26" s="48">
        <v>1160030</v>
      </c>
      <c r="E26" s="52">
        <v>1160030</v>
      </c>
      <c r="F26" s="48">
        <v>7</v>
      </c>
      <c r="G26" s="49"/>
      <c r="H26" s="49" t="s">
        <v>1554</v>
      </c>
      <c r="K26" s="61">
        <v>25</v>
      </c>
      <c r="L26" s="61">
        <v>31</v>
      </c>
      <c r="M26" s="61">
        <v>28</v>
      </c>
      <c r="N26" s="61">
        <v>22</v>
      </c>
      <c r="O26" s="61">
        <v>106</v>
      </c>
      <c r="P26" s="44">
        <f t="shared" si="5"/>
        <v>106000</v>
      </c>
      <c r="Q26" s="45">
        <f t="shared" si="2"/>
        <v>1.3829093281148075</v>
      </c>
      <c r="R26" s="45">
        <f t="shared" si="4"/>
        <v>829.74559686888449</v>
      </c>
      <c r="S26" s="44">
        <v>1.38</v>
      </c>
      <c r="T26" s="127">
        <v>1.0900000000000001</v>
      </c>
      <c r="U26" s="132" t="s">
        <v>2243</v>
      </c>
      <c r="X26" s="60"/>
      <c r="Y26" s="60"/>
      <c r="Z26" s="60"/>
      <c r="AA26" s="60"/>
      <c r="AB26" s="60"/>
    </row>
    <row r="27" spans="1:28" x14ac:dyDescent="0.25">
      <c r="A27" s="139" t="s">
        <v>1587</v>
      </c>
      <c r="B27" s="47" t="s">
        <v>1588</v>
      </c>
      <c r="C27" s="47" t="s">
        <v>1589</v>
      </c>
      <c r="D27" s="48">
        <v>1161040</v>
      </c>
      <c r="E27" s="52">
        <v>1161040</v>
      </c>
      <c r="F27" s="52">
        <v>8</v>
      </c>
      <c r="G27" s="49"/>
      <c r="H27" s="49" t="s">
        <v>1554</v>
      </c>
      <c r="K27" s="61">
        <v>10</v>
      </c>
      <c r="L27" s="61">
        <v>32</v>
      </c>
      <c r="M27" s="61">
        <v>9</v>
      </c>
      <c r="N27" s="61">
        <v>8</v>
      </c>
      <c r="O27" s="61">
        <v>76.650000000000006</v>
      </c>
      <c r="P27" s="44">
        <f t="shared" si="5"/>
        <v>76650</v>
      </c>
      <c r="Q27" s="45">
        <f t="shared" si="2"/>
        <v>1</v>
      </c>
      <c r="R27" s="45">
        <f t="shared" si="4"/>
        <v>600</v>
      </c>
      <c r="S27" s="44">
        <v>1</v>
      </c>
      <c r="T27" s="127">
        <v>1</v>
      </c>
      <c r="U27" s="133" t="s">
        <v>2242</v>
      </c>
      <c r="X27" s="60"/>
      <c r="Y27" s="60"/>
      <c r="Z27" s="60"/>
      <c r="AA27" s="60"/>
      <c r="AB27" s="60"/>
    </row>
    <row r="28" spans="1:28" x14ac:dyDescent="0.25">
      <c r="A28" s="139" t="s">
        <v>1590</v>
      </c>
      <c r="B28" s="47" t="s">
        <v>1591</v>
      </c>
      <c r="C28" s="47" t="s">
        <v>1592</v>
      </c>
      <c r="D28" s="48">
        <v>1161050</v>
      </c>
      <c r="E28" s="52">
        <v>1161050</v>
      </c>
      <c r="F28" s="48">
        <v>9</v>
      </c>
      <c r="G28" s="49"/>
      <c r="H28" s="49" t="s">
        <v>1554</v>
      </c>
      <c r="K28" s="61">
        <v>10</v>
      </c>
      <c r="L28" s="61">
        <v>9</v>
      </c>
      <c r="M28" s="61">
        <v>5</v>
      </c>
      <c r="N28" s="61">
        <v>2</v>
      </c>
      <c r="O28" s="61">
        <v>76.650000000000006</v>
      </c>
      <c r="P28" s="44">
        <f t="shared" si="5"/>
        <v>76650</v>
      </c>
      <c r="Q28" s="45">
        <f t="shared" si="2"/>
        <v>1</v>
      </c>
      <c r="R28" s="45">
        <f t="shared" si="4"/>
        <v>600</v>
      </c>
      <c r="S28" s="44">
        <v>1</v>
      </c>
      <c r="T28" s="127">
        <v>1</v>
      </c>
      <c r="U28" s="133" t="s">
        <v>2242</v>
      </c>
      <c r="X28" s="60"/>
      <c r="Y28" s="60"/>
      <c r="Z28" s="60"/>
      <c r="AA28" s="60"/>
      <c r="AB28" s="60"/>
    </row>
    <row r="29" spans="1:28" x14ac:dyDescent="0.25">
      <c r="A29" s="139" t="s">
        <v>1593</v>
      </c>
      <c r="B29" s="47" t="s">
        <v>1594</v>
      </c>
      <c r="C29" s="47" t="s">
        <v>1595</v>
      </c>
      <c r="D29" s="48">
        <v>1160060</v>
      </c>
      <c r="E29" s="52">
        <v>1160060</v>
      </c>
      <c r="F29" s="52">
        <v>10</v>
      </c>
      <c r="G29" s="49"/>
      <c r="H29" s="49" t="s">
        <v>1554</v>
      </c>
      <c r="K29" s="61">
        <v>5</v>
      </c>
      <c r="L29" s="61">
        <v>5</v>
      </c>
      <c r="M29" s="61">
        <v>6</v>
      </c>
      <c r="N29" s="61">
        <v>4</v>
      </c>
      <c r="O29" s="61">
        <v>76.650000000000006</v>
      </c>
      <c r="P29" s="44">
        <f t="shared" si="5"/>
        <v>76650</v>
      </c>
      <c r="Q29" s="45">
        <f t="shared" si="2"/>
        <v>1</v>
      </c>
      <c r="R29" s="45">
        <f t="shared" si="4"/>
        <v>600</v>
      </c>
      <c r="S29" s="44">
        <v>1</v>
      </c>
      <c r="T29" s="127">
        <v>1</v>
      </c>
      <c r="U29" s="133" t="s">
        <v>2242</v>
      </c>
      <c r="X29" s="60"/>
      <c r="Y29" s="60"/>
      <c r="Z29" s="60"/>
      <c r="AA29" s="60"/>
      <c r="AB29" s="60"/>
    </row>
    <row r="30" spans="1:28" x14ac:dyDescent="0.25">
      <c r="A30" s="139" t="s">
        <v>1596</v>
      </c>
      <c r="B30" s="47" t="s">
        <v>1597</v>
      </c>
      <c r="C30" s="47" t="s">
        <v>1598</v>
      </c>
      <c r="D30" s="48">
        <v>1162070</v>
      </c>
      <c r="E30" s="52">
        <v>1162070</v>
      </c>
      <c r="F30" s="48">
        <v>11</v>
      </c>
      <c r="G30" s="49"/>
      <c r="H30" s="49" t="s">
        <v>1554</v>
      </c>
      <c r="K30" s="61">
        <v>13</v>
      </c>
      <c r="L30" s="61">
        <v>17</v>
      </c>
      <c r="M30" s="61">
        <v>11</v>
      </c>
      <c r="N30" s="61">
        <v>7</v>
      </c>
      <c r="O30" s="61">
        <v>76.650000000000006</v>
      </c>
      <c r="P30" s="44">
        <f t="shared" si="5"/>
        <v>76650</v>
      </c>
      <c r="Q30" s="45">
        <f t="shared" si="2"/>
        <v>1</v>
      </c>
      <c r="R30" s="45">
        <f t="shared" si="4"/>
        <v>600</v>
      </c>
      <c r="S30" s="44">
        <v>1</v>
      </c>
      <c r="T30" s="127">
        <v>1</v>
      </c>
      <c r="U30" s="133" t="s">
        <v>2242</v>
      </c>
      <c r="X30" s="60"/>
      <c r="Y30" s="60"/>
      <c r="Z30" s="60"/>
      <c r="AA30" s="60"/>
      <c r="AB30" s="60"/>
    </row>
    <row r="31" spans="1:28" x14ac:dyDescent="0.25">
      <c r="A31" s="139" t="s">
        <v>1599</v>
      </c>
      <c r="B31" s="47" t="s">
        <v>1600</v>
      </c>
      <c r="C31" s="47" t="s">
        <v>1601</v>
      </c>
      <c r="D31" s="48">
        <v>1162090</v>
      </c>
      <c r="E31" s="52">
        <v>1162090</v>
      </c>
      <c r="F31" s="52">
        <v>12</v>
      </c>
      <c r="G31" s="49"/>
      <c r="H31" s="49" t="s">
        <v>1554</v>
      </c>
      <c r="K31" s="61">
        <v>2</v>
      </c>
      <c r="L31" s="61">
        <v>2</v>
      </c>
      <c r="M31" s="61">
        <v>2</v>
      </c>
      <c r="N31" s="61">
        <v>1</v>
      </c>
      <c r="O31" s="61">
        <v>76.650000000000006</v>
      </c>
      <c r="P31" s="44">
        <f t="shared" si="5"/>
        <v>76650</v>
      </c>
      <c r="Q31" s="45">
        <f t="shared" si="2"/>
        <v>1</v>
      </c>
      <c r="R31" s="45">
        <f t="shared" si="4"/>
        <v>600</v>
      </c>
      <c r="S31" s="44">
        <v>1</v>
      </c>
      <c r="T31" s="127">
        <v>1</v>
      </c>
      <c r="U31" s="133" t="s">
        <v>2242</v>
      </c>
      <c r="X31" s="60"/>
      <c r="Y31" s="60"/>
      <c r="Z31" s="60"/>
      <c r="AA31" s="60"/>
      <c r="AB31" s="60"/>
    </row>
    <row r="32" spans="1:28" x14ac:dyDescent="0.25">
      <c r="A32" s="139" t="s">
        <v>1602</v>
      </c>
      <c r="B32" s="47" t="s">
        <v>1603</v>
      </c>
      <c r="C32" s="47" t="s">
        <v>1604</v>
      </c>
      <c r="D32" s="48">
        <v>1160100</v>
      </c>
      <c r="E32" s="52">
        <v>1160100</v>
      </c>
      <c r="F32" s="48">
        <v>13</v>
      </c>
      <c r="G32" s="49"/>
      <c r="H32" s="49" t="s">
        <v>1554</v>
      </c>
      <c r="K32" s="61">
        <v>18</v>
      </c>
      <c r="L32" s="61">
        <v>17</v>
      </c>
      <c r="M32" s="61">
        <v>18</v>
      </c>
      <c r="N32" s="61">
        <v>12</v>
      </c>
      <c r="O32" s="61">
        <v>76.650000000000006</v>
      </c>
      <c r="P32" s="44">
        <f t="shared" si="5"/>
        <v>76650</v>
      </c>
      <c r="Q32" s="45">
        <f t="shared" si="2"/>
        <v>1</v>
      </c>
      <c r="R32" s="45">
        <f t="shared" si="4"/>
        <v>600</v>
      </c>
      <c r="S32" s="44">
        <v>1</v>
      </c>
      <c r="T32" s="127">
        <v>1</v>
      </c>
      <c r="U32" s="132" t="s">
        <v>2242</v>
      </c>
      <c r="X32" s="60"/>
      <c r="Y32" s="60"/>
      <c r="Z32" s="60"/>
      <c r="AA32" s="60"/>
      <c r="AB32" s="60"/>
    </row>
    <row r="33" spans="1:28" x14ac:dyDescent="0.25">
      <c r="A33" s="139" t="s">
        <v>1605</v>
      </c>
      <c r="B33" s="47" t="s">
        <v>1606</v>
      </c>
      <c r="C33" s="47" t="s">
        <v>1607</v>
      </c>
      <c r="D33" s="104">
        <v>1170279</v>
      </c>
      <c r="E33" s="52"/>
      <c r="F33" s="52"/>
      <c r="G33" s="49"/>
      <c r="H33" s="49" t="s">
        <v>1554</v>
      </c>
      <c r="K33" s="61">
        <v>197</v>
      </c>
      <c r="L33" s="61">
        <v>467</v>
      </c>
      <c r="M33" s="61">
        <v>249</v>
      </c>
      <c r="N33" s="61">
        <v>191</v>
      </c>
      <c r="O33" s="61">
        <v>1104</v>
      </c>
      <c r="P33" s="44"/>
      <c r="Q33" s="45"/>
      <c r="R33" s="45"/>
      <c r="X33" s="60"/>
      <c r="Y33" s="60"/>
      <c r="Z33" s="60"/>
      <c r="AA33" s="60"/>
      <c r="AB33" s="60"/>
    </row>
    <row r="34" spans="1:28" s="58" customFormat="1" x14ac:dyDescent="0.25">
      <c r="A34" s="139" t="s">
        <v>1608</v>
      </c>
      <c r="B34" s="54" t="s">
        <v>1606</v>
      </c>
      <c r="C34" s="54" t="s">
        <v>1607</v>
      </c>
      <c r="D34" s="104">
        <v>1170279</v>
      </c>
      <c r="E34" s="55"/>
      <c r="F34" s="55"/>
      <c r="G34" s="57" t="s">
        <v>1570</v>
      </c>
      <c r="H34" s="57" t="s">
        <v>1554</v>
      </c>
      <c r="K34" s="58">
        <v>132</v>
      </c>
      <c r="L34" s="58">
        <v>229</v>
      </c>
      <c r="M34" s="58">
        <v>377</v>
      </c>
      <c r="N34" s="58">
        <v>0</v>
      </c>
      <c r="O34" s="58">
        <v>738</v>
      </c>
      <c r="P34" s="44"/>
      <c r="Q34" s="45"/>
      <c r="R34" s="45"/>
      <c r="S34" s="72"/>
      <c r="T34" s="126"/>
      <c r="U34" s="60"/>
      <c r="V34" s="60"/>
      <c r="W34" s="60"/>
      <c r="X34" s="60"/>
      <c r="Y34" s="60"/>
      <c r="Z34" s="60"/>
      <c r="AA34" s="60"/>
      <c r="AB34" s="60"/>
    </row>
    <row r="35" spans="1:28" x14ac:dyDescent="0.25">
      <c r="A35" s="139" t="s">
        <v>1609</v>
      </c>
      <c r="B35" s="47" t="s">
        <v>1606</v>
      </c>
      <c r="C35" s="47" t="s">
        <v>1607</v>
      </c>
      <c r="D35" s="104">
        <v>1170279</v>
      </c>
      <c r="E35" s="52"/>
      <c r="F35" s="52"/>
      <c r="G35" s="49"/>
      <c r="H35" s="49" t="s">
        <v>1554</v>
      </c>
      <c r="K35" s="61">
        <v>526</v>
      </c>
      <c r="L35" s="61">
        <v>899</v>
      </c>
      <c r="M35" s="61">
        <v>700</v>
      </c>
      <c r="N35" s="61">
        <v>103</v>
      </c>
      <c r="O35" s="61">
        <v>2228</v>
      </c>
      <c r="P35" s="44"/>
      <c r="Q35" s="45"/>
      <c r="R35" s="45"/>
      <c r="X35" s="60"/>
      <c r="Y35" s="60"/>
    </row>
    <row r="36" spans="1:28" x14ac:dyDescent="0.25">
      <c r="A36" s="139"/>
      <c r="B36" s="47" t="s">
        <v>1606</v>
      </c>
      <c r="C36" s="47" t="s">
        <v>1607</v>
      </c>
      <c r="D36" s="104">
        <v>1170279</v>
      </c>
      <c r="E36" s="104">
        <v>1170279</v>
      </c>
      <c r="F36" s="104">
        <v>14</v>
      </c>
      <c r="G36" s="105"/>
      <c r="H36" s="105" t="s">
        <v>1554</v>
      </c>
      <c r="I36" s="106"/>
      <c r="J36" s="106"/>
      <c r="K36" s="106">
        <v>5</v>
      </c>
      <c r="L36" s="106">
        <v>36</v>
      </c>
      <c r="M36" s="106">
        <v>18</v>
      </c>
      <c r="N36" s="106">
        <v>0</v>
      </c>
      <c r="O36" s="106">
        <v>59</v>
      </c>
      <c r="P36" s="107">
        <f>+SUM(O33+O35+O36)*1000</f>
        <v>3391000</v>
      </c>
      <c r="Q36" s="108">
        <f t="shared" si="2"/>
        <v>44.240052185257667</v>
      </c>
      <c r="R36" s="108">
        <f t="shared" si="4"/>
        <v>26544.031311154602</v>
      </c>
      <c r="S36" s="110">
        <v>45.13</v>
      </c>
      <c r="T36" s="128">
        <v>49.31</v>
      </c>
      <c r="U36" s="132" t="s">
        <v>2241</v>
      </c>
      <c r="X36" s="60"/>
      <c r="Y36" s="60"/>
    </row>
    <row r="37" spans="1:28" x14ac:dyDescent="0.25">
      <c r="A37" s="139" t="s">
        <v>1610</v>
      </c>
      <c r="B37" s="47" t="s">
        <v>1611</v>
      </c>
      <c r="C37" s="47" t="s">
        <v>1612</v>
      </c>
      <c r="D37" s="52">
        <v>1170280</v>
      </c>
      <c r="E37" s="52">
        <v>1170280</v>
      </c>
      <c r="F37" s="52">
        <v>15</v>
      </c>
      <c r="G37" s="49"/>
      <c r="H37" s="49" t="s">
        <v>1554</v>
      </c>
      <c r="K37" s="61">
        <v>188</v>
      </c>
      <c r="L37" s="61">
        <v>157</v>
      </c>
      <c r="M37" s="61">
        <v>152</v>
      </c>
      <c r="N37" s="61">
        <v>90</v>
      </c>
      <c r="O37" s="61">
        <v>587</v>
      </c>
      <c r="P37" s="44">
        <f>SUM(O37*1000)</f>
        <v>587000</v>
      </c>
      <c r="Q37" s="45">
        <f t="shared" si="2"/>
        <v>7.6581865622961516</v>
      </c>
      <c r="R37" s="45">
        <f t="shared" si="4"/>
        <v>4594.9119373776912</v>
      </c>
      <c r="S37" s="65">
        <v>7.66</v>
      </c>
      <c r="T37" s="127">
        <v>5.57</v>
      </c>
      <c r="U37" s="132" t="s">
        <v>2243</v>
      </c>
    </row>
    <row r="38" spans="1:28" x14ac:dyDescent="0.25">
      <c r="A38" s="139" t="s">
        <v>1613</v>
      </c>
      <c r="B38" s="47" t="s">
        <v>1614</v>
      </c>
      <c r="C38" s="47" t="s">
        <v>1615</v>
      </c>
      <c r="D38" s="52">
        <v>1240004</v>
      </c>
      <c r="E38" s="52">
        <v>1240004</v>
      </c>
      <c r="F38" s="52">
        <v>16</v>
      </c>
      <c r="G38" s="49"/>
      <c r="H38" s="49" t="s">
        <v>1554</v>
      </c>
      <c r="K38" s="61">
        <v>58</v>
      </c>
      <c r="L38" s="61">
        <v>97</v>
      </c>
      <c r="M38" s="61">
        <v>70</v>
      </c>
      <c r="N38" s="61">
        <v>21</v>
      </c>
      <c r="O38" s="61">
        <v>246</v>
      </c>
      <c r="P38" s="44">
        <f>SUM(O38*1000)</f>
        <v>246000</v>
      </c>
      <c r="Q38" s="45">
        <f t="shared" si="2"/>
        <v>3.2093933463796476</v>
      </c>
      <c r="R38" s="45">
        <f t="shared" si="4"/>
        <v>1925.6360078277885</v>
      </c>
      <c r="S38" s="65">
        <v>3.21</v>
      </c>
      <c r="T38" s="127">
        <v>2.62</v>
      </c>
      <c r="U38" s="132" t="s">
        <v>2243</v>
      </c>
    </row>
    <row r="39" spans="1:28" x14ac:dyDescent="0.25">
      <c r="A39" s="139" t="s">
        <v>1616</v>
      </c>
      <c r="B39" s="47" t="s">
        <v>1617</v>
      </c>
      <c r="C39" s="47" t="s">
        <v>1618</v>
      </c>
      <c r="D39" s="52">
        <v>1300101</v>
      </c>
      <c r="E39" s="52">
        <v>1300101</v>
      </c>
      <c r="F39" s="52">
        <v>17</v>
      </c>
      <c r="G39" s="49"/>
      <c r="H39" s="49" t="s">
        <v>1554</v>
      </c>
      <c r="K39" s="61">
        <v>1131</v>
      </c>
      <c r="L39" s="61">
        <v>1398</v>
      </c>
      <c r="M39" s="61">
        <v>1142</v>
      </c>
      <c r="N39" s="61">
        <v>833</v>
      </c>
      <c r="O39" s="61">
        <v>4504</v>
      </c>
      <c r="P39" s="44">
        <f>SUM(O39*1000)</f>
        <v>4504000</v>
      </c>
      <c r="Q39" s="45">
        <f t="shared" si="2"/>
        <v>58.760600130463146</v>
      </c>
      <c r="R39" s="45">
        <f t="shared" si="4"/>
        <v>35256.360078277889</v>
      </c>
      <c r="S39" s="65">
        <v>58.76</v>
      </c>
      <c r="T39" s="127">
        <v>47.91</v>
      </c>
      <c r="U39" s="132" t="s">
        <v>2243</v>
      </c>
    </row>
    <row r="40" spans="1:28" x14ac:dyDescent="0.25">
      <c r="A40" s="143"/>
      <c r="B40" s="47" t="s">
        <v>1626</v>
      </c>
      <c r="C40" s="47" t="s">
        <v>1624</v>
      </c>
      <c r="D40" s="46">
        <v>5980030</v>
      </c>
      <c r="E40" s="46">
        <v>5980030</v>
      </c>
      <c r="F40" s="48">
        <v>18</v>
      </c>
      <c r="G40" s="70"/>
      <c r="H40" s="49" t="s">
        <v>1625</v>
      </c>
      <c r="K40" s="61">
        <v>0</v>
      </c>
      <c r="L40" s="61">
        <v>0</v>
      </c>
      <c r="M40" s="61">
        <v>0</v>
      </c>
      <c r="N40" s="61">
        <v>0</v>
      </c>
      <c r="O40" s="61">
        <v>76.650000000000006</v>
      </c>
      <c r="P40" s="44">
        <v>76650</v>
      </c>
      <c r="Q40" s="45">
        <f t="shared" si="2"/>
        <v>1</v>
      </c>
      <c r="R40" s="45">
        <f t="shared" si="4"/>
        <v>600</v>
      </c>
      <c r="S40" s="65">
        <v>1</v>
      </c>
      <c r="T40" s="127">
        <v>1</v>
      </c>
      <c r="U40" s="132" t="s">
        <v>2242</v>
      </c>
    </row>
    <row r="41" spans="1:28" s="60" customFormat="1" x14ac:dyDescent="0.25">
      <c r="A41" s="143"/>
      <c r="B41" s="47" t="s">
        <v>1627</v>
      </c>
      <c r="C41" s="47" t="s">
        <v>1628</v>
      </c>
      <c r="D41" s="111">
        <v>1610200</v>
      </c>
      <c r="E41" s="46"/>
      <c r="F41" s="52"/>
      <c r="G41" s="49"/>
      <c r="H41" s="49" t="s">
        <v>1625</v>
      </c>
      <c r="K41" s="61">
        <v>353</v>
      </c>
      <c r="L41" s="61">
        <v>310</v>
      </c>
      <c r="M41" s="61">
        <v>215</v>
      </c>
      <c r="N41" s="61">
        <v>200</v>
      </c>
      <c r="O41" s="61">
        <v>1078</v>
      </c>
      <c r="P41" s="44">
        <f>SUM(O41)*1000</f>
        <v>1078000</v>
      </c>
      <c r="Q41" s="45">
        <f t="shared" si="2"/>
        <v>14.06392694063927</v>
      </c>
      <c r="R41" s="45">
        <f t="shared" si="4"/>
        <v>8438.3561643835619</v>
      </c>
      <c r="S41" s="65">
        <v>14.06</v>
      </c>
      <c r="T41" s="126">
        <v>14.49</v>
      </c>
      <c r="U41" s="132" t="s">
        <v>2241</v>
      </c>
    </row>
    <row r="42" spans="1:28" x14ac:dyDescent="0.25">
      <c r="A42" s="143"/>
      <c r="B42" s="47" t="s">
        <v>1629</v>
      </c>
      <c r="C42" s="47" t="s">
        <v>1628</v>
      </c>
      <c r="D42" s="111">
        <v>1610150</v>
      </c>
      <c r="E42" s="46"/>
      <c r="F42" s="52"/>
      <c r="G42" s="49"/>
      <c r="H42" s="49" t="s">
        <v>1625</v>
      </c>
      <c r="K42" s="51">
        <v>2</v>
      </c>
      <c r="L42" s="51">
        <v>1</v>
      </c>
      <c r="M42" s="51">
        <v>0</v>
      </c>
      <c r="N42" s="51">
        <v>0</v>
      </c>
      <c r="O42" s="51">
        <v>3</v>
      </c>
      <c r="P42" s="44"/>
      <c r="Q42" s="45"/>
      <c r="R42" s="45"/>
    </row>
    <row r="43" spans="1:28" x14ac:dyDescent="0.25">
      <c r="A43" s="143"/>
      <c r="B43" s="47" t="s">
        <v>1631</v>
      </c>
      <c r="C43" s="47" t="s">
        <v>1628</v>
      </c>
      <c r="D43" s="111">
        <v>1610150</v>
      </c>
      <c r="E43" s="46"/>
      <c r="F43" s="52"/>
      <c r="G43" s="49"/>
      <c r="H43" s="49" t="s">
        <v>1625</v>
      </c>
      <c r="K43" s="51">
        <v>1</v>
      </c>
      <c r="L43" s="51">
        <v>1</v>
      </c>
      <c r="M43" s="51">
        <v>0</v>
      </c>
      <c r="N43" s="51">
        <v>0</v>
      </c>
      <c r="O43" s="51">
        <v>2</v>
      </c>
      <c r="P43" s="44"/>
      <c r="Q43" s="45"/>
      <c r="R43" s="45"/>
    </row>
    <row r="44" spans="1:28" x14ac:dyDescent="0.25">
      <c r="A44" s="143"/>
      <c r="B44" s="47" t="s">
        <v>1633</v>
      </c>
      <c r="C44" s="47" t="s">
        <v>1628</v>
      </c>
      <c r="D44" s="111">
        <v>1610150</v>
      </c>
      <c r="E44" s="46"/>
      <c r="F44" s="52"/>
      <c r="G44" s="49"/>
      <c r="H44" s="49" t="s">
        <v>1625</v>
      </c>
      <c r="K44" s="51">
        <v>3</v>
      </c>
      <c r="L44" s="51">
        <v>7</v>
      </c>
      <c r="M44" s="51">
        <v>0</v>
      </c>
      <c r="N44" s="51">
        <v>0</v>
      </c>
      <c r="O44" s="51">
        <v>10</v>
      </c>
      <c r="P44" s="44"/>
      <c r="Q44" s="45"/>
      <c r="R44" s="45"/>
    </row>
    <row r="45" spans="1:28" x14ac:dyDescent="0.25">
      <c r="A45" s="143"/>
      <c r="B45" s="47" t="s">
        <v>1634</v>
      </c>
      <c r="C45" s="47" t="s">
        <v>1628</v>
      </c>
      <c r="D45" s="111">
        <v>1610150</v>
      </c>
      <c r="E45" s="46"/>
      <c r="F45" s="52"/>
      <c r="G45" s="49"/>
      <c r="H45" s="49" t="s">
        <v>1625</v>
      </c>
      <c r="K45" s="51">
        <v>60</v>
      </c>
      <c r="L45" s="51">
        <v>185</v>
      </c>
      <c r="M45" s="51">
        <v>15</v>
      </c>
      <c r="N45" s="51">
        <v>0</v>
      </c>
      <c r="O45" s="51">
        <v>260</v>
      </c>
      <c r="P45" s="44"/>
      <c r="Q45" s="45"/>
      <c r="R45" s="45"/>
    </row>
    <row r="46" spans="1:28" x14ac:dyDescent="0.25">
      <c r="A46" s="143"/>
      <c r="B46" s="47" t="s">
        <v>1635</v>
      </c>
      <c r="C46" s="47" t="s">
        <v>1628</v>
      </c>
      <c r="D46" s="111">
        <v>1610150</v>
      </c>
      <c r="E46" s="46"/>
      <c r="F46" s="52"/>
      <c r="G46" s="49"/>
      <c r="H46" s="49" t="s">
        <v>1625</v>
      </c>
      <c r="K46" s="51">
        <v>0</v>
      </c>
      <c r="L46" s="51">
        <v>0</v>
      </c>
      <c r="M46" s="51">
        <v>0</v>
      </c>
      <c r="N46" s="51">
        <v>0</v>
      </c>
      <c r="O46" s="51">
        <v>0</v>
      </c>
      <c r="P46" s="44"/>
      <c r="Q46" s="45"/>
      <c r="R46" s="45"/>
    </row>
    <row r="47" spans="1:28" x14ac:dyDescent="0.25">
      <c r="A47" s="143"/>
      <c r="B47" s="46" t="s">
        <v>1636</v>
      </c>
      <c r="C47" s="47" t="s">
        <v>1628</v>
      </c>
      <c r="D47" s="111">
        <v>1610150</v>
      </c>
      <c r="E47" s="46"/>
      <c r="F47" s="52"/>
      <c r="G47" s="49"/>
      <c r="H47" s="49" t="s">
        <v>1625</v>
      </c>
      <c r="K47" s="51">
        <v>28</v>
      </c>
      <c r="L47" s="51">
        <v>45</v>
      </c>
      <c r="M47" s="51">
        <v>0</v>
      </c>
      <c r="N47" s="51">
        <v>0</v>
      </c>
      <c r="O47" s="51">
        <v>73</v>
      </c>
      <c r="P47" s="44"/>
      <c r="Q47" s="45"/>
      <c r="R47" s="45"/>
    </row>
    <row r="48" spans="1:28" x14ac:dyDescent="0.25">
      <c r="A48" s="143"/>
      <c r="B48" s="47" t="s">
        <v>1637</v>
      </c>
      <c r="C48" s="47" t="s">
        <v>1628</v>
      </c>
      <c r="D48" s="111">
        <v>1610150</v>
      </c>
      <c r="E48" s="46"/>
      <c r="F48" s="52"/>
      <c r="G48" s="49"/>
      <c r="H48" s="49" t="s">
        <v>1625</v>
      </c>
      <c r="K48" s="61">
        <v>37</v>
      </c>
      <c r="L48" s="61">
        <v>27</v>
      </c>
      <c r="M48" s="61">
        <v>0</v>
      </c>
      <c r="N48" s="61">
        <v>1</v>
      </c>
      <c r="O48" s="61">
        <v>65</v>
      </c>
      <c r="P48" s="44"/>
      <c r="Q48" s="45"/>
      <c r="R48" s="45"/>
    </row>
    <row r="49" spans="1:24" x14ac:dyDescent="0.25">
      <c r="A49" s="143"/>
      <c r="B49" s="47" t="s">
        <v>1638</v>
      </c>
      <c r="C49" s="47" t="s">
        <v>1628</v>
      </c>
      <c r="D49" s="111">
        <v>1610150</v>
      </c>
      <c r="E49" s="46"/>
      <c r="F49" s="52"/>
      <c r="G49" s="49"/>
      <c r="H49" s="49" t="s">
        <v>1625</v>
      </c>
      <c r="K49" s="61">
        <v>237</v>
      </c>
      <c r="L49" s="61">
        <v>209</v>
      </c>
      <c r="M49" s="61">
        <v>127</v>
      </c>
      <c r="N49" s="61">
        <v>127</v>
      </c>
      <c r="O49" s="61">
        <v>700</v>
      </c>
      <c r="P49" s="44"/>
      <c r="Q49" s="45"/>
      <c r="R49" s="45"/>
    </row>
    <row r="50" spans="1:24" x14ac:dyDescent="0.25">
      <c r="A50" s="143"/>
      <c r="B50" s="46" t="s">
        <v>1274</v>
      </c>
      <c r="C50" s="47" t="s">
        <v>1628</v>
      </c>
      <c r="D50" s="111">
        <v>1610150</v>
      </c>
      <c r="E50" s="111">
        <v>1610150</v>
      </c>
      <c r="F50" s="104">
        <v>19</v>
      </c>
      <c r="G50" s="105"/>
      <c r="H50" s="105" t="s">
        <v>1625</v>
      </c>
      <c r="I50" s="106"/>
      <c r="J50" s="106"/>
      <c r="K50" s="106">
        <v>0</v>
      </c>
      <c r="L50" s="106">
        <v>2</v>
      </c>
      <c r="M50" s="106">
        <v>0</v>
      </c>
      <c r="N50" s="106">
        <v>0</v>
      </c>
      <c r="O50" s="106">
        <v>2</v>
      </c>
      <c r="P50" s="107">
        <f>SUM(O42:O50)*1000</f>
        <v>1115000</v>
      </c>
      <c r="Q50" s="108">
        <f t="shared" si="2"/>
        <v>14.546640574037834</v>
      </c>
      <c r="R50" s="108">
        <f t="shared" si="4"/>
        <v>8727.9843444227008</v>
      </c>
      <c r="S50" s="110">
        <v>14.55</v>
      </c>
    </row>
    <row r="51" spans="1:24" s="106" customFormat="1" x14ac:dyDescent="0.25">
      <c r="A51" s="146"/>
      <c r="B51" s="113" t="s">
        <v>2056</v>
      </c>
      <c r="C51" s="112" t="s">
        <v>2057</v>
      </c>
      <c r="D51" s="114">
        <v>1780003</v>
      </c>
      <c r="E51" s="114">
        <v>1780003</v>
      </c>
      <c r="F51" s="114">
        <v>20</v>
      </c>
      <c r="G51" s="115"/>
      <c r="H51" s="116" t="s">
        <v>1554</v>
      </c>
      <c r="P51" s="107">
        <v>400000</v>
      </c>
      <c r="Q51" s="108">
        <f t="shared" si="2"/>
        <v>5.2185257664709717</v>
      </c>
      <c r="R51" s="108">
        <f t="shared" si="4"/>
        <v>3131.1154598825829</v>
      </c>
      <c r="S51" s="110">
        <v>5.22</v>
      </c>
      <c r="T51" s="128"/>
    </row>
    <row r="52" spans="1:24" x14ac:dyDescent="0.25">
      <c r="A52" s="139" t="s">
        <v>1659</v>
      </c>
      <c r="B52" s="46" t="s">
        <v>1668</v>
      </c>
      <c r="C52" s="47" t="s">
        <v>1660</v>
      </c>
      <c r="D52" s="52">
        <v>1830005</v>
      </c>
      <c r="E52" s="52">
        <v>1830005</v>
      </c>
      <c r="F52" s="52">
        <v>21</v>
      </c>
      <c r="H52" s="60" t="s">
        <v>1554</v>
      </c>
      <c r="K52" s="61">
        <v>8</v>
      </c>
      <c r="L52" s="61">
        <v>35</v>
      </c>
      <c r="M52" s="61">
        <v>13</v>
      </c>
      <c r="N52" s="61">
        <v>2</v>
      </c>
      <c r="O52" s="61">
        <v>76.650000000000006</v>
      </c>
      <c r="P52" s="44">
        <v>76650</v>
      </c>
      <c r="Q52" s="45">
        <f>SUM(P52/76650)</f>
        <v>1</v>
      </c>
      <c r="R52" s="108">
        <f t="shared" si="4"/>
        <v>600</v>
      </c>
      <c r="S52" s="65">
        <v>1</v>
      </c>
      <c r="T52" s="127">
        <v>3.25</v>
      </c>
      <c r="U52" s="132" t="s">
        <v>2241</v>
      </c>
    </row>
    <row r="53" spans="1:24" x14ac:dyDescent="0.25">
      <c r="A53" s="139"/>
      <c r="B53" s="61" t="s">
        <v>1666</v>
      </c>
      <c r="C53" s="61" t="s">
        <v>1665</v>
      </c>
      <c r="D53" s="104">
        <v>1830050</v>
      </c>
      <c r="E53" s="52"/>
      <c r="F53" s="52"/>
      <c r="H53" s="60" t="s">
        <v>1554</v>
      </c>
      <c r="K53" s="61">
        <v>1</v>
      </c>
      <c r="L53" s="61">
        <v>11</v>
      </c>
      <c r="M53" s="61">
        <v>0</v>
      </c>
      <c r="N53" s="61">
        <v>0</v>
      </c>
      <c r="O53" s="61">
        <v>12</v>
      </c>
      <c r="P53" s="44"/>
      <c r="Q53" s="45"/>
      <c r="R53" s="45"/>
    </row>
    <row r="54" spans="1:24" x14ac:dyDescent="0.25">
      <c r="A54" s="139"/>
      <c r="B54" s="61" t="s">
        <v>2263</v>
      </c>
      <c r="C54" s="61" t="s">
        <v>1664</v>
      </c>
      <c r="D54" s="104">
        <v>1830050</v>
      </c>
      <c r="E54" s="52"/>
      <c r="F54" s="52"/>
      <c r="H54" s="60" t="s">
        <v>1554</v>
      </c>
      <c r="K54" s="61">
        <v>2</v>
      </c>
      <c r="L54" s="61">
        <v>12</v>
      </c>
      <c r="M54" s="61">
        <v>0</v>
      </c>
      <c r="N54" s="61">
        <v>0</v>
      </c>
      <c r="O54" s="61">
        <v>14</v>
      </c>
      <c r="P54" s="44"/>
      <c r="Q54" s="45"/>
      <c r="R54" s="45"/>
    </row>
    <row r="55" spans="1:24" x14ac:dyDescent="0.25">
      <c r="A55" s="143"/>
      <c r="B55" s="46" t="s">
        <v>1661</v>
      </c>
      <c r="C55" s="61" t="s">
        <v>1663</v>
      </c>
      <c r="D55" s="104">
        <v>1830050</v>
      </c>
      <c r="H55" s="60" t="s">
        <v>1554</v>
      </c>
      <c r="K55" s="61">
        <v>0</v>
      </c>
      <c r="L55" s="61">
        <v>0</v>
      </c>
      <c r="M55" s="61">
        <v>81</v>
      </c>
      <c r="N55" s="61">
        <v>6</v>
      </c>
      <c r="O55" s="61">
        <v>87</v>
      </c>
      <c r="P55" s="44"/>
      <c r="Q55" s="45"/>
      <c r="R55" s="45"/>
    </row>
    <row r="56" spans="1:24" x14ac:dyDescent="0.25">
      <c r="A56" s="139"/>
      <c r="B56" s="46" t="s">
        <v>1661</v>
      </c>
      <c r="C56" s="47" t="s">
        <v>1662</v>
      </c>
      <c r="D56" s="104">
        <v>1830050</v>
      </c>
      <c r="E56" s="52">
        <v>1830050</v>
      </c>
      <c r="F56" s="52">
        <v>22</v>
      </c>
      <c r="G56" s="49"/>
      <c r="H56" s="49" t="s">
        <v>1554</v>
      </c>
      <c r="K56" s="61">
        <v>410</v>
      </c>
      <c r="L56" s="61">
        <v>243</v>
      </c>
      <c r="M56" s="61">
        <v>0</v>
      </c>
      <c r="N56" s="61">
        <v>0</v>
      </c>
      <c r="O56" s="61">
        <v>653</v>
      </c>
      <c r="P56" s="44"/>
      <c r="Q56" s="45"/>
      <c r="R56" s="45"/>
    </row>
    <row r="57" spans="1:24" x14ac:dyDescent="0.25">
      <c r="A57" s="143"/>
      <c r="B57" s="60" t="s">
        <v>1026</v>
      </c>
      <c r="C57" s="60" t="s">
        <v>1003</v>
      </c>
      <c r="D57" s="106">
        <v>1830050</v>
      </c>
      <c r="H57" s="49" t="s">
        <v>1554</v>
      </c>
      <c r="K57" s="60">
        <v>52</v>
      </c>
      <c r="L57" s="60">
        <v>1359</v>
      </c>
      <c r="M57" s="60">
        <v>771</v>
      </c>
      <c r="N57" s="60">
        <v>0</v>
      </c>
      <c r="O57" s="60">
        <v>2182</v>
      </c>
      <c r="P57" s="44"/>
      <c r="Q57" s="45"/>
      <c r="R57" s="45"/>
    </row>
    <row r="58" spans="1:24" x14ac:dyDescent="0.25">
      <c r="A58" s="143"/>
      <c r="B58" s="60" t="s">
        <v>1026</v>
      </c>
      <c r="C58" s="60" t="s">
        <v>1003</v>
      </c>
      <c r="D58" s="106">
        <v>1830050</v>
      </c>
      <c r="H58" s="49" t="s">
        <v>1554</v>
      </c>
      <c r="K58" s="60">
        <v>0</v>
      </c>
      <c r="L58" s="60">
        <v>0</v>
      </c>
      <c r="M58" s="60">
        <v>1</v>
      </c>
      <c r="N58" s="60">
        <v>0</v>
      </c>
      <c r="O58" s="60">
        <v>1</v>
      </c>
      <c r="P58" s="44"/>
      <c r="Q58" s="45"/>
      <c r="R58" s="45"/>
    </row>
    <row r="59" spans="1:24" x14ac:dyDescent="0.25">
      <c r="A59" s="143"/>
      <c r="B59" s="60" t="s">
        <v>1029</v>
      </c>
      <c r="C59" s="60" t="s">
        <v>1003</v>
      </c>
      <c r="D59" s="106">
        <v>1830050</v>
      </c>
      <c r="E59" s="106"/>
      <c r="F59" s="117"/>
      <c r="G59" s="109"/>
      <c r="H59" s="105" t="s">
        <v>1554</v>
      </c>
      <c r="I59" s="106"/>
      <c r="J59" s="106"/>
      <c r="K59" s="106">
        <v>1</v>
      </c>
      <c r="L59" s="106">
        <v>1</v>
      </c>
      <c r="M59" s="106">
        <v>0</v>
      </c>
      <c r="N59" s="106">
        <v>0</v>
      </c>
      <c r="O59" s="106">
        <v>2</v>
      </c>
      <c r="P59" s="110">
        <f>SUM(O53:O59)*1000</f>
        <v>2951000</v>
      </c>
      <c r="Q59" s="108">
        <f t="shared" si="2"/>
        <v>38.499673842139593</v>
      </c>
      <c r="R59" s="108">
        <f t="shared" si="4"/>
        <v>23099.804305283757</v>
      </c>
      <c r="S59" s="110">
        <v>38.5</v>
      </c>
      <c r="U59" s="132" t="s">
        <v>2242</v>
      </c>
    </row>
    <row r="60" spans="1:24" x14ac:dyDescent="0.25">
      <c r="A60" s="139" t="s">
        <v>1669</v>
      </c>
      <c r="B60" s="47" t="s">
        <v>1670</v>
      </c>
      <c r="C60" s="47" t="s">
        <v>1671</v>
      </c>
      <c r="D60" s="52">
        <v>1940160</v>
      </c>
      <c r="E60" s="52">
        <v>1940160</v>
      </c>
      <c r="F60" s="52">
        <v>23</v>
      </c>
      <c r="G60" s="49"/>
      <c r="H60" s="49" t="s">
        <v>1554</v>
      </c>
      <c r="K60" s="61">
        <v>183</v>
      </c>
      <c r="L60" s="61">
        <v>464</v>
      </c>
      <c r="M60" s="61">
        <v>631</v>
      </c>
      <c r="N60" s="61">
        <v>186</v>
      </c>
      <c r="O60" s="61">
        <v>1464</v>
      </c>
      <c r="P60" s="65">
        <v>1464000</v>
      </c>
      <c r="Q60" s="108">
        <f t="shared" si="2"/>
        <v>19.099804305283758</v>
      </c>
      <c r="R60" s="108">
        <f t="shared" si="4"/>
        <v>11459.882583170254</v>
      </c>
      <c r="S60" s="65">
        <v>19.100000000000001</v>
      </c>
      <c r="T60" s="127">
        <v>18.559999999999999</v>
      </c>
      <c r="U60" s="132" t="s">
        <v>2243</v>
      </c>
    </row>
    <row r="61" spans="1:24" x14ac:dyDescent="0.25">
      <c r="A61" s="139" t="s">
        <v>1672</v>
      </c>
      <c r="B61" s="47" t="s">
        <v>1673</v>
      </c>
      <c r="C61" s="47" t="s">
        <v>1674</v>
      </c>
      <c r="D61" s="52">
        <v>1940301</v>
      </c>
      <c r="E61" s="52"/>
      <c r="F61" s="52"/>
      <c r="G61" s="49"/>
      <c r="H61" s="49" t="s">
        <v>1554</v>
      </c>
      <c r="K61" s="61">
        <v>153</v>
      </c>
      <c r="L61" s="61">
        <v>292</v>
      </c>
      <c r="M61" s="61">
        <v>71</v>
      </c>
      <c r="N61" s="61">
        <v>0</v>
      </c>
      <c r="O61" s="61">
        <v>516</v>
      </c>
      <c r="Q61" s="108"/>
      <c r="R61" s="108"/>
    </row>
    <row r="62" spans="1:24" s="58" customFormat="1" x14ac:dyDescent="0.25">
      <c r="A62" s="139" t="s">
        <v>1675</v>
      </c>
      <c r="B62" s="54" t="s">
        <v>1673</v>
      </c>
      <c r="C62" s="54" t="s">
        <v>1676</v>
      </c>
      <c r="D62" s="55">
        <v>1940301</v>
      </c>
      <c r="E62" s="55"/>
      <c r="F62" s="55"/>
      <c r="G62" s="57" t="s">
        <v>1570</v>
      </c>
      <c r="H62" s="57" t="s">
        <v>1554</v>
      </c>
      <c r="K62" s="58">
        <v>167</v>
      </c>
      <c r="L62" s="58">
        <v>305</v>
      </c>
      <c r="M62" s="58">
        <v>81</v>
      </c>
      <c r="N62" s="58">
        <v>12</v>
      </c>
      <c r="O62" s="58">
        <v>565</v>
      </c>
      <c r="P62" s="72"/>
      <c r="Q62" s="108"/>
      <c r="R62" s="108"/>
      <c r="S62" s="65"/>
      <c r="T62" s="126"/>
      <c r="U62" s="60"/>
      <c r="V62" s="60"/>
      <c r="W62" s="60"/>
      <c r="X62" s="60"/>
    </row>
    <row r="63" spans="1:24" s="58" customFormat="1" x14ac:dyDescent="0.25">
      <c r="A63" s="139"/>
      <c r="B63" s="60" t="s">
        <v>1400</v>
      </c>
      <c r="C63" s="47" t="s">
        <v>1674</v>
      </c>
      <c r="D63" s="52">
        <v>1940301</v>
      </c>
      <c r="E63" s="52"/>
      <c r="F63" s="52">
        <v>24</v>
      </c>
      <c r="G63" s="49"/>
      <c r="H63" s="57" t="s">
        <v>1554</v>
      </c>
      <c r="I63" s="60"/>
      <c r="J63" s="60"/>
      <c r="K63" s="61">
        <v>13</v>
      </c>
      <c r="L63" s="61">
        <v>15</v>
      </c>
      <c r="M63" s="61">
        <v>15</v>
      </c>
      <c r="N63" s="61">
        <v>12</v>
      </c>
      <c r="O63" s="61">
        <v>55</v>
      </c>
      <c r="P63" s="72">
        <f>SUM(O61+O63)*1000</f>
        <v>571000</v>
      </c>
      <c r="Q63" s="108">
        <f t="shared" si="2"/>
        <v>7.4494455316373127</v>
      </c>
      <c r="R63" s="108">
        <f t="shared" si="4"/>
        <v>4469.6673189823878</v>
      </c>
      <c r="S63" s="65">
        <v>7.45</v>
      </c>
      <c r="T63" s="126">
        <v>10.06</v>
      </c>
      <c r="U63" s="132" t="s">
        <v>2241</v>
      </c>
      <c r="V63" s="60"/>
      <c r="W63" s="60"/>
      <c r="X63" s="60"/>
    </row>
    <row r="64" spans="1:24" x14ac:dyDescent="0.25">
      <c r="A64" s="147"/>
      <c r="B64" s="47" t="s">
        <v>1677</v>
      </c>
      <c r="C64" s="47" t="s">
        <v>1678</v>
      </c>
      <c r="D64" s="52">
        <v>2020022</v>
      </c>
      <c r="E64" s="50">
        <v>2020022</v>
      </c>
      <c r="F64" s="52">
        <v>25</v>
      </c>
      <c r="G64" s="49"/>
      <c r="H64" s="49" t="s">
        <v>1554</v>
      </c>
      <c r="K64" s="61">
        <v>9</v>
      </c>
      <c r="L64" s="61">
        <v>7</v>
      </c>
      <c r="M64" s="61">
        <v>6</v>
      </c>
      <c r="N64" s="61">
        <v>6</v>
      </c>
      <c r="O64" s="61">
        <v>28</v>
      </c>
      <c r="P64" s="72">
        <v>76650</v>
      </c>
      <c r="Q64" s="108">
        <f t="shared" si="2"/>
        <v>1</v>
      </c>
      <c r="R64" s="108">
        <f t="shared" si="4"/>
        <v>600</v>
      </c>
      <c r="S64" s="72">
        <v>1</v>
      </c>
      <c r="T64" s="126">
        <v>5.34</v>
      </c>
      <c r="U64" s="132" t="s">
        <v>2241</v>
      </c>
      <c r="V64" s="60"/>
      <c r="W64" s="60"/>
      <c r="X64" s="60"/>
    </row>
    <row r="65" spans="1:24" x14ac:dyDescent="0.25">
      <c r="A65" s="139" t="s">
        <v>1679</v>
      </c>
      <c r="B65" s="47" t="s">
        <v>1680</v>
      </c>
      <c r="C65" s="47" t="s">
        <v>1681</v>
      </c>
      <c r="D65" s="104">
        <v>2020027</v>
      </c>
      <c r="E65" s="52"/>
      <c r="F65" s="52"/>
      <c r="G65" s="49"/>
      <c r="H65" s="49" t="s">
        <v>1554</v>
      </c>
      <c r="K65" s="61">
        <v>4</v>
      </c>
      <c r="L65" s="61">
        <v>36</v>
      </c>
      <c r="M65" s="61">
        <v>1</v>
      </c>
      <c r="N65" s="61">
        <v>0</v>
      </c>
      <c r="O65" s="61">
        <v>41</v>
      </c>
      <c r="P65" s="72"/>
      <c r="Q65" s="108"/>
      <c r="R65" s="108"/>
      <c r="S65" s="72"/>
      <c r="T65" s="126"/>
      <c r="U65" s="60"/>
      <c r="V65" s="60"/>
      <c r="W65" s="60"/>
      <c r="X65" s="60"/>
    </row>
    <row r="66" spans="1:24" s="58" customFormat="1" x14ac:dyDescent="0.25">
      <c r="A66" s="139" t="s">
        <v>1682</v>
      </c>
      <c r="B66" s="54" t="s">
        <v>1680</v>
      </c>
      <c r="C66" s="54" t="s">
        <v>1683</v>
      </c>
      <c r="D66" s="104">
        <v>2020027</v>
      </c>
      <c r="E66" s="55"/>
      <c r="F66" s="55"/>
      <c r="G66" s="57" t="s">
        <v>1570</v>
      </c>
      <c r="H66" s="57" t="s">
        <v>1554</v>
      </c>
      <c r="K66" s="58">
        <v>7</v>
      </c>
      <c r="L66" s="58">
        <v>39</v>
      </c>
      <c r="M66" s="58">
        <v>5</v>
      </c>
      <c r="N66" s="58">
        <v>4</v>
      </c>
      <c r="O66" s="58">
        <v>55</v>
      </c>
      <c r="P66" s="72"/>
      <c r="Q66" s="108"/>
      <c r="R66" s="108"/>
      <c r="S66" s="72"/>
      <c r="T66" s="126"/>
      <c r="U66" s="60"/>
      <c r="V66" s="60"/>
      <c r="W66" s="60"/>
      <c r="X66" s="60"/>
    </row>
    <row r="67" spans="1:24" x14ac:dyDescent="0.25">
      <c r="A67" s="139" t="s">
        <v>1684</v>
      </c>
      <c r="B67" s="47" t="s">
        <v>1685</v>
      </c>
      <c r="C67" s="47" t="s">
        <v>1686</v>
      </c>
      <c r="D67" s="104">
        <v>2020027</v>
      </c>
      <c r="E67" s="52"/>
      <c r="F67" s="52"/>
      <c r="G67" s="49"/>
      <c r="H67" s="49" t="s">
        <v>1554</v>
      </c>
      <c r="K67" s="61">
        <v>7</v>
      </c>
      <c r="L67" s="61">
        <v>53</v>
      </c>
      <c r="M67" s="61">
        <v>50</v>
      </c>
      <c r="N67" s="61">
        <v>20</v>
      </c>
      <c r="O67" s="61">
        <v>130</v>
      </c>
      <c r="P67" s="72"/>
      <c r="Q67" s="108"/>
      <c r="R67" s="108"/>
      <c r="S67" s="72"/>
      <c r="T67" s="126"/>
      <c r="U67" s="60"/>
      <c r="V67" s="60"/>
      <c r="W67" s="60"/>
      <c r="X67" s="60"/>
    </row>
    <row r="68" spans="1:24" x14ac:dyDescent="0.25">
      <c r="A68" s="139" t="s">
        <v>1687</v>
      </c>
      <c r="B68" s="47" t="s">
        <v>1685</v>
      </c>
      <c r="C68" s="47" t="s">
        <v>1688</v>
      </c>
      <c r="D68" s="104">
        <v>2020027</v>
      </c>
      <c r="E68" s="52"/>
      <c r="F68" s="52"/>
      <c r="G68" s="49"/>
      <c r="H68" s="49" t="s">
        <v>1554</v>
      </c>
      <c r="K68" s="61">
        <v>4</v>
      </c>
      <c r="L68" s="61">
        <v>2</v>
      </c>
      <c r="M68" s="61">
        <v>11</v>
      </c>
      <c r="N68" s="61">
        <v>28</v>
      </c>
      <c r="O68" s="61">
        <v>45</v>
      </c>
      <c r="P68" s="72"/>
      <c r="Q68" s="108"/>
      <c r="R68" s="108"/>
      <c r="S68" s="72"/>
      <c r="T68" s="126"/>
      <c r="U68" s="60"/>
      <c r="V68" s="60"/>
      <c r="W68" s="60"/>
      <c r="X68" s="60"/>
    </row>
    <row r="69" spans="1:24" s="58" customFormat="1" x14ac:dyDescent="0.25">
      <c r="A69" s="139" t="s">
        <v>1689</v>
      </c>
      <c r="B69" s="54" t="s">
        <v>1685</v>
      </c>
      <c r="C69" s="54" t="s">
        <v>1690</v>
      </c>
      <c r="D69" s="104">
        <v>2020027</v>
      </c>
      <c r="E69" s="104">
        <v>2020027</v>
      </c>
      <c r="F69" s="104">
        <v>26</v>
      </c>
      <c r="G69" s="105" t="s">
        <v>1570</v>
      </c>
      <c r="H69" s="105" t="s">
        <v>1554</v>
      </c>
      <c r="I69" s="106"/>
      <c r="J69" s="106"/>
      <c r="K69" s="106">
        <v>37</v>
      </c>
      <c r="L69" s="106">
        <v>32</v>
      </c>
      <c r="M69" s="106">
        <v>12</v>
      </c>
      <c r="N69" s="106">
        <v>0</v>
      </c>
      <c r="O69" s="106">
        <v>81</v>
      </c>
      <c r="P69" s="110">
        <f>SUM(O68+O67+O65)*1000</f>
        <v>216000</v>
      </c>
      <c r="Q69" s="108">
        <f t="shared" si="2"/>
        <v>2.8180039138943247</v>
      </c>
      <c r="R69" s="108">
        <f t="shared" si="4"/>
        <v>1690.8023483365948</v>
      </c>
      <c r="S69" s="72">
        <v>2.82</v>
      </c>
      <c r="T69" s="126">
        <v>2.1</v>
      </c>
      <c r="U69" s="132" t="s">
        <v>2243</v>
      </c>
      <c r="V69" s="60"/>
      <c r="W69" s="60"/>
      <c r="X69" s="60"/>
    </row>
    <row r="70" spans="1:24" x14ac:dyDescent="0.25">
      <c r="A70" s="139" t="s">
        <v>1691</v>
      </c>
      <c r="B70" s="47" t="s">
        <v>1692</v>
      </c>
      <c r="C70" s="47" t="s">
        <v>1693</v>
      </c>
      <c r="D70" s="52">
        <v>2020034</v>
      </c>
      <c r="E70" s="52">
        <v>2020034</v>
      </c>
      <c r="F70" s="52">
        <v>26</v>
      </c>
      <c r="G70" s="49"/>
      <c r="H70" s="49" t="s">
        <v>1554</v>
      </c>
      <c r="K70" s="61">
        <v>99</v>
      </c>
      <c r="L70" s="61">
        <v>118</v>
      </c>
      <c r="M70" s="61">
        <v>100</v>
      </c>
      <c r="N70" s="61">
        <v>85</v>
      </c>
      <c r="O70" s="61">
        <v>402</v>
      </c>
      <c r="P70" s="65">
        <v>402000</v>
      </c>
      <c r="Q70" s="108">
        <f t="shared" si="2"/>
        <v>5.244618395303327</v>
      </c>
      <c r="R70" s="108">
        <f t="shared" si="4"/>
        <v>3146.7710371819962</v>
      </c>
      <c r="S70" s="65">
        <v>5.24</v>
      </c>
      <c r="T70" s="127">
        <v>3.52</v>
      </c>
      <c r="U70" s="132" t="s">
        <v>2243</v>
      </c>
    </row>
    <row r="71" spans="1:24" x14ac:dyDescent="0.25">
      <c r="A71" s="139" t="s">
        <v>1694</v>
      </c>
      <c r="B71" s="47" t="s">
        <v>1695</v>
      </c>
      <c r="C71" s="47" t="s">
        <v>1696</v>
      </c>
      <c r="D71" s="52">
        <v>2020040</v>
      </c>
      <c r="E71" s="52">
        <v>2020040</v>
      </c>
      <c r="F71" s="52">
        <v>27</v>
      </c>
      <c r="G71" s="49"/>
      <c r="H71" s="49" t="s">
        <v>1554</v>
      </c>
      <c r="K71" s="61">
        <v>75</v>
      </c>
      <c r="L71" s="61">
        <v>110</v>
      </c>
      <c r="M71" s="61">
        <v>96</v>
      </c>
      <c r="N71" s="61">
        <v>82</v>
      </c>
      <c r="O71" s="61">
        <v>363</v>
      </c>
      <c r="P71" s="65">
        <v>363000</v>
      </c>
      <c r="Q71" s="108">
        <f t="shared" si="2"/>
        <v>4.7358121330724074</v>
      </c>
      <c r="R71" s="108">
        <f t="shared" si="4"/>
        <v>2841.4872798434444</v>
      </c>
      <c r="S71" s="65">
        <v>4.74</v>
      </c>
      <c r="T71" s="127">
        <v>4.53</v>
      </c>
      <c r="U71" s="132" t="s">
        <v>2241</v>
      </c>
    </row>
    <row r="72" spans="1:24" x14ac:dyDescent="0.25">
      <c r="A72" s="139" t="s">
        <v>1697</v>
      </c>
      <c r="B72" s="47" t="s">
        <v>1698</v>
      </c>
      <c r="C72" s="47" t="s">
        <v>1699</v>
      </c>
      <c r="D72" s="52">
        <v>2020044</v>
      </c>
      <c r="E72" s="52">
        <v>2020044</v>
      </c>
      <c r="F72" s="52">
        <v>28</v>
      </c>
      <c r="G72" s="49"/>
      <c r="H72" s="49" t="s">
        <v>1554</v>
      </c>
      <c r="K72" s="61">
        <v>149</v>
      </c>
      <c r="L72" s="61">
        <v>211</v>
      </c>
      <c r="M72" s="61">
        <v>219</v>
      </c>
      <c r="N72" s="61">
        <v>127</v>
      </c>
      <c r="O72" s="61">
        <v>706</v>
      </c>
      <c r="P72" s="65">
        <v>706000</v>
      </c>
      <c r="Q72" s="108">
        <f t="shared" si="2"/>
        <v>9.2106979778212654</v>
      </c>
      <c r="R72" s="108">
        <f t="shared" si="4"/>
        <v>5526.4187866927596</v>
      </c>
      <c r="S72" s="65">
        <v>9.2100000000000009</v>
      </c>
      <c r="T72" s="127">
        <v>7.8</v>
      </c>
      <c r="U72" s="132" t="s">
        <v>2243</v>
      </c>
    </row>
    <row r="73" spans="1:24" x14ac:dyDescent="0.25">
      <c r="A73" s="139" t="s">
        <v>1716</v>
      </c>
      <c r="B73" s="61" t="s">
        <v>1410</v>
      </c>
      <c r="C73" s="47" t="s">
        <v>1717</v>
      </c>
      <c r="D73" s="104">
        <v>2030055</v>
      </c>
      <c r="E73" s="52"/>
      <c r="F73" s="52"/>
      <c r="G73" s="49"/>
      <c r="H73" s="49" t="s">
        <v>1554</v>
      </c>
      <c r="K73" s="61">
        <v>20</v>
      </c>
      <c r="L73" s="61">
        <v>80</v>
      </c>
      <c r="M73" s="61">
        <v>28</v>
      </c>
      <c r="N73" s="61">
        <v>0</v>
      </c>
      <c r="O73" s="61">
        <v>128</v>
      </c>
      <c r="Q73" s="108"/>
      <c r="R73" s="108"/>
    </row>
    <row r="74" spans="1:24" x14ac:dyDescent="0.25">
      <c r="A74" s="139" t="s">
        <v>1718</v>
      </c>
      <c r="B74" s="61" t="s">
        <v>1415</v>
      </c>
      <c r="C74" s="47" t="s">
        <v>1717</v>
      </c>
      <c r="D74" s="104">
        <v>2030055</v>
      </c>
      <c r="E74" s="104"/>
      <c r="F74" s="104"/>
      <c r="G74" s="105"/>
      <c r="H74" s="105" t="s">
        <v>1554</v>
      </c>
      <c r="I74" s="106"/>
      <c r="J74" s="106"/>
      <c r="K74" s="106">
        <v>176</v>
      </c>
      <c r="L74" s="106">
        <v>639</v>
      </c>
      <c r="M74" s="106">
        <v>296</v>
      </c>
      <c r="N74" s="106">
        <v>108</v>
      </c>
      <c r="O74" s="106">
        <v>1219</v>
      </c>
      <c r="P74" s="110">
        <f>SUM(O74-O73)*1000</f>
        <v>1091000</v>
      </c>
      <c r="Q74" s="108">
        <f t="shared" si="2"/>
        <v>14.233529028049576</v>
      </c>
      <c r="R74" s="108">
        <f t="shared" si="4"/>
        <v>8540.1174168297457</v>
      </c>
      <c r="S74" s="65">
        <v>14.23</v>
      </c>
      <c r="T74" s="127">
        <v>19.16</v>
      </c>
      <c r="U74" s="132" t="s">
        <v>2241</v>
      </c>
    </row>
    <row r="75" spans="1:24" s="58" customFormat="1" x14ac:dyDescent="0.25">
      <c r="A75" s="139" t="s">
        <v>1719</v>
      </c>
      <c r="B75" s="58" t="s">
        <v>179</v>
      </c>
      <c r="C75" s="54" t="s">
        <v>1717</v>
      </c>
      <c r="D75" s="104">
        <v>2030055</v>
      </c>
      <c r="E75" s="55">
        <v>2030055</v>
      </c>
      <c r="F75" s="55">
        <v>29</v>
      </c>
      <c r="G75" s="57" t="s">
        <v>1570</v>
      </c>
      <c r="H75" s="57" t="s">
        <v>1554</v>
      </c>
      <c r="K75" s="58">
        <v>12</v>
      </c>
      <c r="L75" s="58">
        <v>406</v>
      </c>
      <c r="M75" s="58">
        <v>155</v>
      </c>
      <c r="N75" s="58">
        <v>3</v>
      </c>
      <c r="O75" s="58">
        <v>576</v>
      </c>
      <c r="P75" s="67"/>
      <c r="Q75" s="108"/>
      <c r="R75" s="108"/>
      <c r="S75" s="72"/>
      <c r="T75" s="126"/>
      <c r="U75" s="60"/>
      <c r="V75" s="60"/>
      <c r="W75" s="60"/>
    </row>
    <row r="76" spans="1:24" s="60" customFormat="1" x14ac:dyDescent="0.25">
      <c r="A76" s="139"/>
      <c r="B76" s="60" t="s">
        <v>893</v>
      </c>
      <c r="C76" s="60" t="s">
        <v>890</v>
      </c>
      <c r="D76" s="52">
        <v>2030060</v>
      </c>
      <c r="E76" s="52">
        <v>2030060</v>
      </c>
      <c r="F76" s="52">
        <v>29</v>
      </c>
      <c r="G76" s="49"/>
      <c r="H76" s="57" t="s">
        <v>1554</v>
      </c>
      <c r="K76" s="60">
        <v>1</v>
      </c>
      <c r="L76" s="60">
        <v>1</v>
      </c>
      <c r="M76" s="60">
        <v>1</v>
      </c>
      <c r="N76" s="60">
        <v>1</v>
      </c>
      <c r="O76" s="60">
        <v>76.650000000000006</v>
      </c>
      <c r="P76" s="72">
        <f>SUM(O76)*1000</f>
        <v>76650</v>
      </c>
      <c r="Q76" s="108">
        <f t="shared" si="2"/>
        <v>1</v>
      </c>
      <c r="R76" s="108">
        <f t="shared" si="4"/>
        <v>600</v>
      </c>
      <c r="S76" s="72">
        <v>1</v>
      </c>
      <c r="T76" s="126">
        <v>1</v>
      </c>
      <c r="U76" s="132" t="s">
        <v>2242</v>
      </c>
    </row>
    <row r="77" spans="1:24" x14ac:dyDescent="0.25">
      <c r="A77" s="139" t="s">
        <v>1700</v>
      </c>
      <c r="B77" s="47" t="s">
        <v>1701</v>
      </c>
      <c r="C77" s="47" t="s">
        <v>1702</v>
      </c>
      <c r="D77" s="52">
        <v>2030080</v>
      </c>
      <c r="E77" s="52">
        <v>2030080</v>
      </c>
      <c r="F77" s="52">
        <v>30</v>
      </c>
      <c r="G77" s="49"/>
      <c r="H77" s="49" t="s">
        <v>1554</v>
      </c>
      <c r="K77" s="61">
        <v>166</v>
      </c>
      <c r="L77" s="61">
        <v>292</v>
      </c>
      <c r="M77" s="61">
        <v>213</v>
      </c>
      <c r="N77" s="61">
        <v>110</v>
      </c>
      <c r="O77" s="61">
        <v>781</v>
      </c>
      <c r="P77" s="65">
        <v>781000</v>
      </c>
      <c r="Q77" s="108">
        <f t="shared" si="2"/>
        <v>10.189171559034573</v>
      </c>
      <c r="R77" s="108">
        <f t="shared" si="4"/>
        <v>6113.5029354207436</v>
      </c>
      <c r="S77" s="65">
        <v>10.19</v>
      </c>
      <c r="T77" s="127">
        <v>7.98</v>
      </c>
      <c r="U77" s="132" t="s">
        <v>2243</v>
      </c>
    </row>
    <row r="78" spans="1:24" x14ac:dyDescent="0.25">
      <c r="A78" s="139" t="s">
        <v>1703</v>
      </c>
      <c r="B78" s="47" t="s">
        <v>1704</v>
      </c>
      <c r="C78" s="47" t="s">
        <v>1705</v>
      </c>
      <c r="D78" s="52">
        <v>2030105</v>
      </c>
      <c r="E78" s="52">
        <v>2030105</v>
      </c>
      <c r="F78" s="52">
        <v>31</v>
      </c>
      <c r="G78" s="49"/>
      <c r="H78" s="49" t="s">
        <v>1554</v>
      </c>
      <c r="K78" s="61">
        <v>37</v>
      </c>
      <c r="L78" s="61">
        <v>35</v>
      </c>
      <c r="M78" s="61">
        <v>63</v>
      </c>
      <c r="N78" s="61">
        <v>26</v>
      </c>
      <c r="O78" s="61">
        <v>161</v>
      </c>
      <c r="P78" s="65">
        <v>161000</v>
      </c>
      <c r="Q78" s="108">
        <f t="shared" si="2"/>
        <v>2.1004566210045663</v>
      </c>
      <c r="R78" s="108">
        <f t="shared" si="4"/>
        <v>1260.2739726027398</v>
      </c>
      <c r="S78" s="65">
        <v>2.1</v>
      </c>
      <c r="T78" s="127">
        <v>1.78</v>
      </c>
      <c r="U78" s="132" t="s">
        <v>2241</v>
      </c>
    </row>
    <row r="79" spans="1:24" x14ac:dyDescent="0.25">
      <c r="A79" s="139" t="s">
        <v>1706</v>
      </c>
      <c r="B79" s="69" t="s">
        <v>1403</v>
      </c>
      <c r="C79" s="47" t="s">
        <v>1708</v>
      </c>
      <c r="D79" s="104">
        <v>2030120</v>
      </c>
      <c r="E79" s="52"/>
      <c r="F79" s="52"/>
      <c r="G79" s="49"/>
      <c r="H79" s="49" t="s">
        <v>1554</v>
      </c>
      <c r="K79" s="61">
        <v>235</v>
      </c>
      <c r="L79" s="61">
        <v>1092</v>
      </c>
      <c r="M79" s="61">
        <v>482</v>
      </c>
      <c r="N79" s="61">
        <v>136</v>
      </c>
      <c r="O79" s="61">
        <v>1945</v>
      </c>
      <c r="Q79" s="108"/>
      <c r="R79" s="108"/>
    </row>
    <row r="80" spans="1:24" x14ac:dyDescent="0.25">
      <c r="A80" s="139" t="s">
        <v>1709</v>
      </c>
      <c r="B80" s="69" t="s">
        <v>1407</v>
      </c>
      <c r="C80" s="47" t="s">
        <v>1710</v>
      </c>
      <c r="D80" s="104">
        <v>2030120</v>
      </c>
      <c r="E80" s="52"/>
      <c r="F80" s="52"/>
      <c r="G80" s="49"/>
      <c r="H80" s="49" t="s">
        <v>1554</v>
      </c>
      <c r="K80" s="61">
        <v>0</v>
      </c>
      <c r="L80" s="61">
        <v>392</v>
      </c>
      <c r="M80" s="61">
        <v>201</v>
      </c>
      <c r="N80" s="61">
        <v>0</v>
      </c>
      <c r="O80" s="61">
        <v>593</v>
      </c>
      <c r="Q80" s="108"/>
      <c r="R80" s="108"/>
    </row>
    <row r="81" spans="1:21" x14ac:dyDescent="0.25">
      <c r="A81" s="139" t="s">
        <v>1711</v>
      </c>
      <c r="B81" s="69" t="s">
        <v>1413</v>
      </c>
      <c r="C81" s="47" t="s">
        <v>1712</v>
      </c>
      <c r="D81" s="104">
        <v>2030120</v>
      </c>
      <c r="E81" s="104">
        <v>2030120</v>
      </c>
      <c r="F81" s="104">
        <v>32</v>
      </c>
      <c r="G81" s="105"/>
      <c r="H81" s="105" t="s">
        <v>1554</v>
      </c>
      <c r="I81" s="106"/>
      <c r="J81" s="106"/>
      <c r="K81" s="106">
        <v>237</v>
      </c>
      <c r="L81" s="106">
        <v>623</v>
      </c>
      <c r="M81" s="106">
        <v>438</v>
      </c>
      <c r="N81" s="106">
        <v>238</v>
      </c>
      <c r="O81" s="106">
        <v>1536</v>
      </c>
      <c r="P81" s="110">
        <f>SUM(O81-O80+O79)*1000</f>
        <v>2888000</v>
      </c>
      <c r="Q81" s="108">
        <f t="shared" si="2"/>
        <v>37.677756033920417</v>
      </c>
      <c r="R81" s="108">
        <f t="shared" si="4"/>
        <v>22606.653620352252</v>
      </c>
      <c r="S81" s="65">
        <v>37.68</v>
      </c>
      <c r="T81" s="127">
        <v>39.65</v>
      </c>
      <c r="U81" s="132" t="s">
        <v>2241</v>
      </c>
    </row>
    <row r="82" spans="1:21" x14ac:dyDescent="0.25">
      <c r="A82" s="139" t="s">
        <v>1713</v>
      </c>
      <c r="B82" s="47" t="s">
        <v>1714</v>
      </c>
      <c r="C82" s="47" t="s">
        <v>1715</v>
      </c>
      <c r="D82" s="52">
        <v>2030135</v>
      </c>
      <c r="E82" s="52">
        <v>2030135</v>
      </c>
      <c r="F82" s="52">
        <v>33</v>
      </c>
      <c r="G82" s="49"/>
      <c r="H82" s="49" t="s">
        <v>1554</v>
      </c>
      <c r="K82" s="61">
        <v>16</v>
      </c>
      <c r="L82" s="61">
        <v>4</v>
      </c>
      <c r="M82" s="61">
        <v>16</v>
      </c>
      <c r="N82" s="61">
        <v>10</v>
      </c>
      <c r="O82" s="61">
        <v>76.650000000000006</v>
      </c>
      <c r="P82" s="65">
        <v>76650</v>
      </c>
      <c r="Q82" s="108">
        <f t="shared" si="2"/>
        <v>1</v>
      </c>
      <c r="R82" s="108">
        <f t="shared" si="4"/>
        <v>600</v>
      </c>
      <c r="S82" s="65">
        <v>1</v>
      </c>
    </row>
    <row r="83" spans="1:21" x14ac:dyDescent="0.25">
      <c r="A83" s="139" t="s">
        <v>1720</v>
      </c>
      <c r="B83" s="47" t="s">
        <v>1721</v>
      </c>
      <c r="C83" s="47" t="s">
        <v>1722</v>
      </c>
      <c r="D83" s="104">
        <v>2140001</v>
      </c>
      <c r="E83" s="52"/>
      <c r="F83" s="52"/>
      <c r="G83" s="49"/>
      <c r="H83" s="49" t="s">
        <v>1554</v>
      </c>
      <c r="K83" s="61">
        <v>368</v>
      </c>
      <c r="L83" s="61">
        <v>373</v>
      </c>
      <c r="M83" s="61">
        <v>273</v>
      </c>
      <c r="N83" s="61">
        <v>193</v>
      </c>
      <c r="O83" s="61">
        <v>1207</v>
      </c>
      <c r="Q83" s="108"/>
      <c r="R83" s="108"/>
    </row>
    <row r="84" spans="1:21" x14ac:dyDescent="0.25">
      <c r="A84" s="139"/>
      <c r="B84" s="47" t="s">
        <v>1723</v>
      </c>
      <c r="C84" s="47" t="s">
        <v>1724</v>
      </c>
      <c r="D84" s="104">
        <v>2140001</v>
      </c>
      <c r="E84" s="52"/>
      <c r="F84" s="52"/>
      <c r="G84" s="49"/>
      <c r="H84" s="49" t="s">
        <v>1554</v>
      </c>
      <c r="K84" s="61">
        <v>3</v>
      </c>
      <c r="L84" s="61">
        <v>3</v>
      </c>
      <c r="M84" s="61">
        <v>3</v>
      </c>
      <c r="N84" s="61">
        <v>3</v>
      </c>
      <c r="O84" s="61">
        <v>12</v>
      </c>
      <c r="Q84" s="108"/>
      <c r="R84" s="108"/>
    </row>
    <row r="85" spans="1:21" x14ac:dyDescent="0.25">
      <c r="A85" s="139" t="s">
        <v>1725</v>
      </c>
      <c r="B85" s="47" t="s">
        <v>1726</v>
      </c>
      <c r="C85" s="47" t="s">
        <v>1727</v>
      </c>
      <c r="D85" s="104">
        <v>2140001</v>
      </c>
      <c r="E85" s="52"/>
      <c r="F85" s="52"/>
      <c r="G85" s="49"/>
      <c r="H85" s="49" t="s">
        <v>1554</v>
      </c>
      <c r="K85" s="61">
        <v>0</v>
      </c>
      <c r="L85" s="61">
        <v>1</v>
      </c>
      <c r="M85" s="61">
        <v>0</v>
      </c>
      <c r="N85" s="61">
        <v>1</v>
      </c>
      <c r="O85" s="61">
        <v>2</v>
      </c>
      <c r="Q85" s="108"/>
      <c r="R85" s="108"/>
    </row>
    <row r="86" spans="1:21" x14ac:dyDescent="0.25">
      <c r="A86" s="139" t="s">
        <v>1728</v>
      </c>
      <c r="B86" s="47" t="s">
        <v>1729</v>
      </c>
      <c r="C86" s="47" t="s">
        <v>1727</v>
      </c>
      <c r="D86" s="104">
        <v>2140001</v>
      </c>
      <c r="E86" s="52"/>
      <c r="F86" s="52"/>
      <c r="G86" s="49"/>
      <c r="H86" s="49" t="s">
        <v>1554</v>
      </c>
      <c r="K86" s="61">
        <v>2</v>
      </c>
      <c r="L86" s="61">
        <v>3</v>
      </c>
      <c r="M86" s="61">
        <v>2</v>
      </c>
      <c r="N86" s="61">
        <v>1</v>
      </c>
      <c r="O86" s="61">
        <v>8</v>
      </c>
      <c r="Q86" s="108"/>
      <c r="R86" s="108"/>
    </row>
    <row r="87" spans="1:21" x14ac:dyDescent="0.25">
      <c r="A87" s="139" t="s">
        <v>1730</v>
      </c>
      <c r="B87" s="47" t="s">
        <v>1731</v>
      </c>
      <c r="C87" s="47" t="s">
        <v>1727</v>
      </c>
      <c r="D87" s="104">
        <v>2140001</v>
      </c>
      <c r="E87" s="52"/>
      <c r="F87" s="52"/>
      <c r="G87" s="49"/>
      <c r="H87" s="49" t="s">
        <v>1554</v>
      </c>
      <c r="K87" s="61">
        <v>10</v>
      </c>
      <c r="L87" s="61">
        <v>13</v>
      </c>
      <c r="M87" s="61">
        <v>13</v>
      </c>
      <c r="N87" s="61">
        <v>5</v>
      </c>
      <c r="O87" s="61">
        <v>41</v>
      </c>
      <c r="Q87" s="108"/>
      <c r="R87" s="108"/>
    </row>
    <row r="88" spans="1:21" x14ac:dyDescent="0.25">
      <c r="A88" s="139" t="s">
        <v>1732</v>
      </c>
      <c r="B88" s="47" t="s">
        <v>1733</v>
      </c>
      <c r="C88" s="47" t="s">
        <v>1727</v>
      </c>
      <c r="D88" s="104">
        <v>2140001</v>
      </c>
      <c r="E88" s="52"/>
      <c r="F88" s="52"/>
      <c r="G88" s="49"/>
      <c r="H88" s="49" t="s">
        <v>1554</v>
      </c>
      <c r="K88" s="61">
        <v>2</v>
      </c>
      <c r="L88" s="61">
        <v>1</v>
      </c>
      <c r="M88" s="61">
        <v>2</v>
      </c>
      <c r="N88" s="61">
        <v>2</v>
      </c>
      <c r="O88" s="61">
        <v>7</v>
      </c>
      <c r="Q88" s="108"/>
      <c r="R88" s="108"/>
    </row>
    <row r="89" spans="1:21" x14ac:dyDescent="0.25">
      <c r="A89" s="139" t="s">
        <v>1734</v>
      </c>
      <c r="B89" s="47" t="s">
        <v>1735</v>
      </c>
      <c r="C89" s="47" t="s">
        <v>1727</v>
      </c>
      <c r="D89" s="104">
        <v>2140001</v>
      </c>
      <c r="E89" s="104">
        <v>2140001</v>
      </c>
      <c r="F89" s="104">
        <v>34</v>
      </c>
      <c r="G89" s="105"/>
      <c r="H89" s="105" t="s">
        <v>1554</v>
      </c>
      <c r="I89" s="106"/>
      <c r="J89" s="106"/>
      <c r="K89" s="106">
        <v>0</v>
      </c>
      <c r="L89" s="106">
        <v>0</v>
      </c>
      <c r="M89" s="106">
        <v>0</v>
      </c>
      <c r="N89" s="106">
        <v>1</v>
      </c>
      <c r="O89" s="106">
        <v>1</v>
      </c>
      <c r="P89" s="110">
        <f>SUM(O83:O89)*1000</f>
        <v>1278000</v>
      </c>
      <c r="Q89" s="108">
        <f t="shared" ref="Q89:Q111" si="6">SUM(P89/76650)</f>
        <v>16.673189823874754</v>
      </c>
      <c r="R89" s="108">
        <f t="shared" ref="R89:R111" si="7">SUM(Q89*600)</f>
        <v>10003.913894324853</v>
      </c>
      <c r="S89" s="65">
        <v>16.670000000000002</v>
      </c>
      <c r="T89" s="127">
        <v>13.22</v>
      </c>
      <c r="U89" s="132" t="s">
        <v>2243</v>
      </c>
    </row>
    <row r="90" spans="1:21" x14ac:dyDescent="0.25">
      <c r="A90" s="139" t="s">
        <v>1736</v>
      </c>
      <c r="B90" s="47" t="s">
        <v>1737</v>
      </c>
      <c r="C90" s="47" t="s">
        <v>1727</v>
      </c>
      <c r="D90" s="104">
        <v>2140033</v>
      </c>
      <c r="E90" s="52"/>
      <c r="F90" s="52"/>
      <c r="G90" s="49"/>
      <c r="H90" s="49" t="s">
        <v>1554</v>
      </c>
      <c r="K90" s="61">
        <v>2</v>
      </c>
      <c r="L90" s="61">
        <v>1</v>
      </c>
      <c r="M90" s="61">
        <v>0</v>
      </c>
      <c r="N90" s="61">
        <v>1</v>
      </c>
      <c r="O90" s="61">
        <v>4</v>
      </c>
      <c r="Q90" s="108"/>
      <c r="R90" s="108"/>
    </row>
    <row r="91" spans="1:21" x14ac:dyDescent="0.25">
      <c r="A91" s="139" t="s">
        <v>1738</v>
      </c>
      <c r="B91" s="47" t="s">
        <v>1739</v>
      </c>
      <c r="C91" s="47" t="s">
        <v>1727</v>
      </c>
      <c r="D91" s="104">
        <v>2140033</v>
      </c>
      <c r="E91" s="52"/>
      <c r="F91" s="52"/>
      <c r="G91" s="49"/>
      <c r="H91" s="49" t="s">
        <v>1554</v>
      </c>
      <c r="K91" s="61">
        <v>22</v>
      </c>
      <c r="L91" s="61">
        <v>13</v>
      </c>
      <c r="M91" s="61">
        <v>5</v>
      </c>
      <c r="N91" s="61">
        <v>5</v>
      </c>
      <c r="O91" s="61">
        <v>45</v>
      </c>
      <c r="Q91" s="108"/>
      <c r="R91" s="108"/>
    </row>
    <row r="92" spans="1:21" x14ac:dyDescent="0.25">
      <c r="A92" s="139" t="s">
        <v>1740</v>
      </c>
      <c r="B92" s="47" t="s">
        <v>1741</v>
      </c>
      <c r="C92" s="47" t="s">
        <v>1727</v>
      </c>
      <c r="D92" s="104">
        <v>2140033</v>
      </c>
      <c r="E92" s="52"/>
      <c r="F92" s="52"/>
      <c r="G92" s="49"/>
      <c r="H92" s="49" t="s">
        <v>1554</v>
      </c>
      <c r="K92" s="61">
        <v>11</v>
      </c>
      <c r="L92" s="61">
        <v>15</v>
      </c>
      <c r="M92" s="61">
        <v>12</v>
      </c>
      <c r="N92" s="61">
        <v>12</v>
      </c>
      <c r="O92" s="61">
        <v>50</v>
      </c>
      <c r="Q92" s="108"/>
      <c r="R92" s="108"/>
    </row>
    <row r="93" spans="1:21" x14ac:dyDescent="0.25">
      <c r="A93" s="139" t="s">
        <v>1742</v>
      </c>
      <c r="B93" s="47" t="s">
        <v>1743</v>
      </c>
      <c r="C93" s="47" t="s">
        <v>1727</v>
      </c>
      <c r="D93" s="104">
        <v>2140033</v>
      </c>
      <c r="E93" s="52"/>
      <c r="F93" s="52"/>
      <c r="G93" s="49"/>
      <c r="H93" s="49" t="s">
        <v>1554</v>
      </c>
      <c r="K93" s="61">
        <v>85</v>
      </c>
      <c r="L93" s="61">
        <v>36</v>
      </c>
      <c r="M93" s="61">
        <v>28</v>
      </c>
      <c r="N93" s="61">
        <v>26</v>
      </c>
      <c r="O93" s="61">
        <v>175</v>
      </c>
      <c r="Q93" s="108"/>
      <c r="R93" s="108"/>
    </row>
    <row r="94" spans="1:21" x14ac:dyDescent="0.25">
      <c r="A94" s="139" t="s">
        <v>1744</v>
      </c>
      <c r="B94" s="47" t="s">
        <v>1745</v>
      </c>
      <c r="C94" s="47" t="s">
        <v>1727</v>
      </c>
      <c r="D94" s="104">
        <v>2140033</v>
      </c>
      <c r="E94" s="52"/>
      <c r="F94" s="52"/>
      <c r="G94" s="49"/>
      <c r="H94" s="49" t="s">
        <v>1554</v>
      </c>
      <c r="K94" s="61">
        <v>21</v>
      </c>
      <c r="L94" s="61">
        <v>33</v>
      </c>
      <c r="M94" s="61">
        <v>20</v>
      </c>
      <c r="N94" s="61">
        <v>11</v>
      </c>
      <c r="O94" s="61">
        <v>85</v>
      </c>
      <c r="Q94" s="108"/>
      <c r="R94" s="108"/>
    </row>
    <row r="95" spans="1:21" x14ac:dyDescent="0.25">
      <c r="A95" s="139" t="s">
        <v>1746</v>
      </c>
      <c r="B95" s="47" t="s">
        <v>1747</v>
      </c>
      <c r="C95" s="47" t="s">
        <v>1727</v>
      </c>
      <c r="D95" s="104">
        <v>2140033</v>
      </c>
      <c r="E95" s="52"/>
      <c r="F95" s="52"/>
      <c r="G95" s="49"/>
      <c r="H95" s="49" t="s">
        <v>1554</v>
      </c>
      <c r="K95" s="61">
        <v>483</v>
      </c>
      <c r="L95" s="61">
        <v>0</v>
      </c>
      <c r="M95" s="61">
        <v>87</v>
      </c>
      <c r="N95" s="61">
        <v>86</v>
      </c>
      <c r="O95" s="61">
        <v>656</v>
      </c>
      <c r="Q95" s="108"/>
      <c r="R95" s="108"/>
    </row>
    <row r="96" spans="1:21" x14ac:dyDescent="0.25">
      <c r="A96" s="139" t="s">
        <v>1748</v>
      </c>
      <c r="B96" s="47" t="s">
        <v>1749</v>
      </c>
      <c r="C96" s="47" t="s">
        <v>1727</v>
      </c>
      <c r="D96" s="104">
        <v>2140033</v>
      </c>
      <c r="E96" s="52"/>
      <c r="F96" s="52"/>
      <c r="G96" s="49"/>
      <c r="H96" s="49" t="s">
        <v>1554</v>
      </c>
      <c r="K96" s="61">
        <v>22</v>
      </c>
      <c r="L96" s="61">
        <v>32</v>
      </c>
      <c r="M96" s="61">
        <v>35</v>
      </c>
      <c r="N96" s="61">
        <v>41</v>
      </c>
      <c r="O96" s="61">
        <v>130</v>
      </c>
      <c r="Q96" s="108"/>
      <c r="R96" s="108"/>
    </row>
    <row r="97" spans="1:21" x14ac:dyDescent="0.25">
      <c r="A97" s="139" t="s">
        <v>1750</v>
      </c>
      <c r="B97" s="47" t="s">
        <v>1751</v>
      </c>
      <c r="C97" s="47" t="s">
        <v>1727</v>
      </c>
      <c r="D97" s="104">
        <v>2140033</v>
      </c>
      <c r="E97" s="104">
        <v>2140033</v>
      </c>
      <c r="F97" s="104">
        <v>35</v>
      </c>
      <c r="G97" s="105"/>
      <c r="H97" s="105" t="s">
        <v>1554</v>
      </c>
      <c r="I97" s="106"/>
      <c r="J97" s="106"/>
      <c r="K97" s="106">
        <v>6</v>
      </c>
      <c r="L97" s="106">
        <v>5</v>
      </c>
      <c r="M97" s="106">
        <v>7</v>
      </c>
      <c r="N97" s="106">
        <v>6</v>
      </c>
      <c r="O97" s="106">
        <v>24</v>
      </c>
      <c r="P97" s="110">
        <f>SUM(O90:O97)*1000</f>
        <v>1169000</v>
      </c>
      <c r="Q97" s="108">
        <f t="shared" si="6"/>
        <v>15.251141552511415</v>
      </c>
      <c r="R97" s="108">
        <f t="shared" si="7"/>
        <v>9150.6849315068484</v>
      </c>
      <c r="S97" s="65">
        <v>15.25</v>
      </c>
      <c r="T97" s="127">
        <v>9.23</v>
      </c>
      <c r="U97" s="132" t="s">
        <v>2243</v>
      </c>
    </row>
    <row r="98" spans="1:21" s="60" customFormat="1" x14ac:dyDescent="0.25">
      <c r="A98" s="139" t="s">
        <v>1752</v>
      </c>
      <c r="B98" s="60" t="s">
        <v>254</v>
      </c>
      <c r="C98" s="47" t="s">
        <v>1754</v>
      </c>
      <c r="D98" s="104">
        <v>2140051</v>
      </c>
      <c r="E98" s="52"/>
      <c r="F98" s="52"/>
      <c r="G98" s="49"/>
      <c r="H98" s="49" t="s">
        <v>1554</v>
      </c>
      <c r="K98" s="60">
        <v>220</v>
      </c>
      <c r="L98" s="60">
        <v>365</v>
      </c>
      <c r="M98" s="60">
        <v>170</v>
      </c>
      <c r="N98" s="60">
        <v>162</v>
      </c>
      <c r="O98" s="60">
        <v>917</v>
      </c>
      <c r="P98" s="72"/>
      <c r="Q98" s="108"/>
      <c r="R98" s="108"/>
      <c r="S98" s="72"/>
      <c r="T98" s="126"/>
    </row>
    <row r="99" spans="1:21" x14ac:dyDescent="0.25">
      <c r="A99" s="139" t="s">
        <v>1755</v>
      </c>
      <c r="B99" s="61" t="s">
        <v>246</v>
      </c>
      <c r="C99" s="47" t="s">
        <v>1754</v>
      </c>
      <c r="D99" s="104">
        <v>2140051</v>
      </c>
      <c r="E99" s="104"/>
      <c r="F99" s="104"/>
      <c r="G99" s="105"/>
      <c r="H99" s="105" t="s">
        <v>1554</v>
      </c>
      <c r="I99" s="106"/>
      <c r="J99" s="106"/>
      <c r="K99" s="106">
        <v>1</v>
      </c>
      <c r="L99" s="106">
        <v>212</v>
      </c>
      <c r="M99" s="106">
        <v>41</v>
      </c>
      <c r="N99" s="106">
        <v>0</v>
      </c>
      <c r="O99" s="106">
        <v>254</v>
      </c>
      <c r="P99" s="110">
        <f>SUM(O98-O99+O100)*1000</f>
        <v>667000</v>
      </c>
      <c r="Q99" s="108">
        <f t="shared" si="6"/>
        <v>8.7018917155903459</v>
      </c>
      <c r="R99" s="108">
        <f t="shared" si="7"/>
        <v>5221.1350293542073</v>
      </c>
      <c r="S99" s="65">
        <v>8.6999999999999993</v>
      </c>
      <c r="T99" s="127">
        <v>15.18</v>
      </c>
      <c r="U99" s="132" t="s">
        <v>2241</v>
      </c>
    </row>
    <row r="100" spans="1:21" x14ac:dyDescent="0.25">
      <c r="A100" s="139" t="s">
        <v>1756</v>
      </c>
      <c r="B100" s="47" t="s">
        <v>1753</v>
      </c>
      <c r="C100" s="47" t="s">
        <v>1754</v>
      </c>
      <c r="D100" s="104">
        <v>2140051</v>
      </c>
      <c r="E100" s="52">
        <v>2140051</v>
      </c>
      <c r="F100" s="52">
        <v>36</v>
      </c>
      <c r="G100" s="49"/>
      <c r="H100" s="49" t="s">
        <v>1554</v>
      </c>
      <c r="K100" s="61">
        <v>1</v>
      </c>
      <c r="L100" s="61">
        <v>2</v>
      </c>
      <c r="M100" s="61">
        <v>1</v>
      </c>
      <c r="N100" s="61">
        <v>0</v>
      </c>
      <c r="O100" s="61">
        <v>4</v>
      </c>
      <c r="Q100" s="108"/>
      <c r="R100" s="108"/>
    </row>
    <row r="101" spans="1:21" x14ac:dyDescent="0.25">
      <c r="A101" s="139" t="s">
        <v>1757</v>
      </c>
      <c r="B101" s="47" t="s">
        <v>1758</v>
      </c>
      <c r="C101" s="47" t="s">
        <v>1759</v>
      </c>
      <c r="D101" s="52">
        <v>2140085</v>
      </c>
      <c r="E101" s="52">
        <v>2140085</v>
      </c>
      <c r="F101" s="52">
        <v>37</v>
      </c>
      <c r="G101" s="49"/>
      <c r="H101" s="49" t="s">
        <v>1554</v>
      </c>
      <c r="K101" s="61">
        <v>75</v>
      </c>
      <c r="L101" s="61">
        <v>98</v>
      </c>
      <c r="M101" s="61">
        <v>84</v>
      </c>
      <c r="N101" s="61">
        <v>65</v>
      </c>
      <c r="O101" s="61">
        <v>322</v>
      </c>
      <c r="P101" s="65">
        <v>322000</v>
      </c>
      <c r="Q101" s="108">
        <f t="shared" si="6"/>
        <v>4.2009132420091326</v>
      </c>
      <c r="R101" s="108">
        <f t="shared" si="7"/>
        <v>2520.5479452054797</v>
      </c>
      <c r="S101" s="65">
        <v>4.2</v>
      </c>
      <c r="T101" s="127">
        <v>3.44</v>
      </c>
      <c r="U101" s="132" t="s">
        <v>2243</v>
      </c>
    </row>
    <row r="102" spans="1:21" x14ac:dyDescent="0.25">
      <c r="A102" s="139" t="s">
        <v>1760</v>
      </c>
      <c r="B102" s="47" t="s">
        <v>1761</v>
      </c>
      <c r="C102" s="47" t="s">
        <v>1762</v>
      </c>
      <c r="D102" s="52">
        <v>2140010</v>
      </c>
      <c r="E102" s="52">
        <v>2140010</v>
      </c>
      <c r="F102" s="52">
        <v>40</v>
      </c>
      <c r="G102" s="49"/>
      <c r="H102" s="49" t="s">
        <v>1554</v>
      </c>
      <c r="K102" s="61">
        <v>7</v>
      </c>
      <c r="L102" s="61">
        <v>9</v>
      </c>
      <c r="M102" s="61">
        <v>2</v>
      </c>
      <c r="N102" s="61">
        <v>10</v>
      </c>
      <c r="O102" s="61">
        <v>76.650000000000006</v>
      </c>
      <c r="P102" s="65">
        <f>SUM(O102)*1000</f>
        <v>76650</v>
      </c>
      <c r="Q102" s="108">
        <f t="shared" si="6"/>
        <v>1</v>
      </c>
      <c r="R102" s="108">
        <f t="shared" si="7"/>
        <v>600</v>
      </c>
      <c r="S102" s="65">
        <v>1</v>
      </c>
      <c r="T102" s="127">
        <v>1</v>
      </c>
      <c r="U102" s="132" t="s">
        <v>2242</v>
      </c>
    </row>
    <row r="103" spans="1:21" x14ac:dyDescent="0.25">
      <c r="A103" s="139" t="s">
        <v>1763</v>
      </c>
      <c r="B103" s="47" t="s">
        <v>1764</v>
      </c>
      <c r="C103" s="47" t="s">
        <v>1765</v>
      </c>
      <c r="D103" s="52">
        <v>2140020</v>
      </c>
      <c r="E103" s="52">
        <v>2140020</v>
      </c>
      <c r="F103" s="52">
        <v>41</v>
      </c>
      <c r="G103" s="49"/>
      <c r="H103" s="49" t="s">
        <v>1554</v>
      </c>
      <c r="K103" s="61">
        <v>10</v>
      </c>
      <c r="L103" s="61">
        <v>26</v>
      </c>
      <c r="M103" s="61">
        <v>18</v>
      </c>
      <c r="N103" s="61">
        <v>4</v>
      </c>
      <c r="O103" s="61">
        <v>76.650000000000006</v>
      </c>
      <c r="P103" s="65">
        <f t="shared" ref="P103:P105" si="8">SUM(O103)*1000</f>
        <v>76650</v>
      </c>
      <c r="Q103" s="108">
        <f t="shared" si="6"/>
        <v>1</v>
      </c>
      <c r="R103" s="108">
        <f t="shared" si="7"/>
        <v>600</v>
      </c>
      <c r="S103" s="65">
        <v>1</v>
      </c>
      <c r="T103" s="127">
        <v>1</v>
      </c>
      <c r="U103" s="132" t="s">
        <v>2242</v>
      </c>
    </row>
    <row r="104" spans="1:21" x14ac:dyDescent="0.25">
      <c r="A104" s="139" t="s">
        <v>1766</v>
      </c>
      <c r="B104" s="47" t="s">
        <v>1767</v>
      </c>
      <c r="C104" s="47" t="s">
        <v>1768</v>
      </c>
      <c r="D104" s="52">
        <v>2140022</v>
      </c>
      <c r="E104" s="52">
        <v>2140022</v>
      </c>
      <c r="F104" s="52">
        <v>42</v>
      </c>
      <c r="G104" s="49"/>
      <c r="H104" s="49" t="s">
        <v>1554</v>
      </c>
      <c r="K104" s="61">
        <v>8</v>
      </c>
      <c r="L104" s="61">
        <v>26</v>
      </c>
      <c r="M104" s="61">
        <v>2</v>
      </c>
      <c r="N104" s="61">
        <v>2</v>
      </c>
      <c r="O104" s="61">
        <v>76.650000000000006</v>
      </c>
      <c r="P104" s="65">
        <f t="shared" si="8"/>
        <v>76650</v>
      </c>
      <c r="Q104" s="108">
        <f t="shared" si="6"/>
        <v>1</v>
      </c>
      <c r="R104" s="108">
        <f t="shared" si="7"/>
        <v>600</v>
      </c>
      <c r="S104" s="65">
        <v>1</v>
      </c>
      <c r="T104" s="127">
        <v>1</v>
      </c>
      <c r="U104" s="132" t="s">
        <v>2242</v>
      </c>
    </row>
    <row r="105" spans="1:21" x14ac:dyDescent="0.25">
      <c r="A105" s="139" t="s">
        <v>1769</v>
      </c>
      <c r="B105" s="47" t="s">
        <v>1770</v>
      </c>
      <c r="C105" s="47" t="s">
        <v>1771</v>
      </c>
      <c r="D105" s="52">
        <v>2140024</v>
      </c>
      <c r="E105" s="52">
        <v>2140024</v>
      </c>
      <c r="F105" s="52">
        <v>43</v>
      </c>
      <c r="G105" s="49"/>
      <c r="H105" s="49" t="s">
        <v>1554</v>
      </c>
      <c r="K105" s="61">
        <v>2</v>
      </c>
      <c r="L105" s="61">
        <v>38</v>
      </c>
      <c r="M105" s="61">
        <v>12</v>
      </c>
      <c r="N105" s="61">
        <v>0</v>
      </c>
      <c r="O105" s="61">
        <v>76.650000000000006</v>
      </c>
      <c r="P105" s="65">
        <f t="shared" si="8"/>
        <v>76650</v>
      </c>
      <c r="Q105" s="108">
        <f t="shared" si="6"/>
        <v>1</v>
      </c>
      <c r="R105" s="108">
        <f t="shared" si="7"/>
        <v>600</v>
      </c>
      <c r="S105" s="65">
        <v>1</v>
      </c>
      <c r="T105" s="127">
        <v>1</v>
      </c>
      <c r="U105" s="132" t="s">
        <v>2242</v>
      </c>
    </row>
    <row r="106" spans="1:21" x14ac:dyDescent="0.25">
      <c r="A106" s="139" t="s">
        <v>1772</v>
      </c>
      <c r="B106" s="47" t="s">
        <v>1773</v>
      </c>
      <c r="C106" s="61" t="s">
        <v>203</v>
      </c>
      <c r="D106" s="52">
        <v>2140028</v>
      </c>
      <c r="E106" s="52">
        <v>2140028</v>
      </c>
      <c r="F106" s="52"/>
      <c r="G106" s="49"/>
      <c r="H106" s="49" t="s">
        <v>1554</v>
      </c>
      <c r="K106" s="61">
        <v>0</v>
      </c>
      <c r="L106" s="61">
        <v>0</v>
      </c>
      <c r="M106" s="61">
        <v>1</v>
      </c>
      <c r="N106" s="61">
        <v>3</v>
      </c>
      <c r="O106" s="61">
        <v>4</v>
      </c>
      <c r="Q106" s="108"/>
      <c r="R106" s="108"/>
    </row>
    <row r="107" spans="1:21" x14ac:dyDescent="0.25">
      <c r="A107" s="139"/>
      <c r="B107" s="47" t="s">
        <v>1773</v>
      </c>
      <c r="C107" s="61" t="s">
        <v>208</v>
      </c>
      <c r="D107" s="52">
        <v>2140028</v>
      </c>
      <c r="E107" s="52">
        <v>2140028</v>
      </c>
      <c r="F107" s="52">
        <v>44</v>
      </c>
      <c r="G107" s="49"/>
      <c r="H107" s="49" t="s">
        <v>1554</v>
      </c>
      <c r="K107" s="61">
        <v>2</v>
      </c>
      <c r="L107" s="61">
        <v>2</v>
      </c>
      <c r="M107" s="61">
        <v>1</v>
      </c>
      <c r="N107" s="61">
        <v>0</v>
      </c>
      <c r="O107" s="61">
        <v>76.650000000000006</v>
      </c>
      <c r="P107" s="65">
        <f>SUM(O106:O107)*1000</f>
        <v>80650</v>
      </c>
      <c r="Q107" s="108">
        <f t="shared" si="6"/>
        <v>1.0521852576647097</v>
      </c>
      <c r="R107" s="108">
        <f t="shared" si="7"/>
        <v>631.31115459882585</v>
      </c>
      <c r="S107" s="65">
        <v>1.05</v>
      </c>
      <c r="T107" s="127">
        <v>1</v>
      </c>
      <c r="U107" s="132" t="s">
        <v>2243</v>
      </c>
    </row>
    <row r="108" spans="1:21" x14ac:dyDescent="0.25">
      <c r="A108" s="139" t="s">
        <v>1775</v>
      </c>
      <c r="B108" s="47" t="s">
        <v>1776</v>
      </c>
      <c r="C108" s="47" t="s">
        <v>1777</v>
      </c>
      <c r="D108" s="52">
        <v>2140030</v>
      </c>
      <c r="E108" s="52">
        <v>2140030</v>
      </c>
      <c r="F108" s="52">
        <v>45</v>
      </c>
      <c r="G108" s="49"/>
      <c r="H108" s="49" t="s">
        <v>1554</v>
      </c>
      <c r="K108" s="61">
        <v>10</v>
      </c>
      <c r="L108" s="61">
        <v>50</v>
      </c>
      <c r="M108" s="61">
        <v>18</v>
      </c>
      <c r="N108" s="61">
        <v>2</v>
      </c>
      <c r="O108" s="61">
        <v>80</v>
      </c>
      <c r="P108" s="65">
        <v>80000</v>
      </c>
      <c r="Q108" s="108">
        <f t="shared" si="6"/>
        <v>1.0437051532941943</v>
      </c>
      <c r="R108" s="108">
        <f t="shared" si="7"/>
        <v>626.22309197651657</v>
      </c>
      <c r="S108" s="65">
        <v>1.04</v>
      </c>
    </row>
    <row r="109" spans="1:21" x14ac:dyDescent="0.25">
      <c r="A109" s="139" t="s">
        <v>1780</v>
      </c>
      <c r="B109" s="47" t="s">
        <v>1778</v>
      </c>
      <c r="C109" s="47" t="s">
        <v>1781</v>
      </c>
      <c r="D109" s="52">
        <v>2140032</v>
      </c>
      <c r="E109" s="52">
        <v>2140032</v>
      </c>
      <c r="F109" s="52">
        <v>46</v>
      </c>
      <c r="G109" s="49"/>
      <c r="H109" s="49" t="s">
        <v>1554</v>
      </c>
      <c r="K109" s="61">
        <v>61</v>
      </c>
      <c r="L109" s="61">
        <v>96</v>
      </c>
      <c r="M109" s="61">
        <v>63</v>
      </c>
      <c r="N109" s="61">
        <v>45</v>
      </c>
      <c r="O109" s="61">
        <v>265</v>
      </c>
      <c r="P109" s="65">
        <v>265000</v>
      </c>
      <c r="Q109" s="108">
        <f t="shared" si="6"/>
        <v>3.4572733202870189</v>
      </c>
      <c r="R109" s="108">
        <f t="shared" si="7"/>
        <v>2074.3639921722115</v>
      </c>
      <c r="S109" s="65">
        <v>3.46</v>
      </c>
      <c r="T109" s="127">
        <v>3.14</v>
      </c>
      <c r="U109" s="132" t="s">
        <v>2243</v>
      </c>
    </row>
    <row r="110" spans="1:21" x14ac:dyDescent="0.25">
      <c r="A110" s="139" t="s">
        <v>1782</v>
      </c>
      <c r="B110" s="47" t="s">
        <v>1783</v>
      </c>
      <c r="C110" s="47" t="s">
        <v>1784</v>
      </c>
      <c r="D110" s="52">
        <v>2140034</v>
      </c>
      <c r="E110" s="52">
        <v>2140034</v>
      </c>
      <c r="F110" s="52">
        <v>47</v>
      </c>
      <c r="G110" s="49"/>
      <c r="H110" s="49" t="s">
        <v>1554</v>
      </c>
      <c r="K110" s="61">
        <v>11</v>
      </c>
      <c r="L110" s="61">
        <v>42</v>
      </c>
      <c r="M110" s="61">
        <v>9</v>
      </c>
      <c r="N110" s="61">
        <v>7</v>
      </c>
      <c r="O110" s="61">
        <v>76.650000000000006</v>
      </c>
      <c r="P110" s="65">
        <f>SUM(O110)*1000</f>
        <v>76650</v>
      </c>
      <c r="Q110" s="108">
        <f t="shared" si="6"/>
        <v>1</v>
      </c>
      <c r="R110" s="108">
        <f t="shared" si="7"/>
        <v>600</v>
      </c>
      <c r="S110" s="65">
        <v>1</v>
      </c>
      <c r="T110" s="127">
        <v>1</v>
      </c>
      <c r="U110" s="132" t="s">
        <v>2242</v>
      </c>
    </row>
    <row r="111" spans="1:21" x14ac:dyDescent="0.25">
      <c r="A111" s="139" t="s">
        <v>1785</v>
      </c>
      <c r="B111" s="47" t="s">
        <v>1786</v>
      </c>
      <c r="C111" s="46" t="s">
        <v>217</v>
      </c>
      <c r="D111" s="52">
        <v>2140036</v>
      </c>
      <c r="E111" s="52">
        <v>2140036</v>
      </c>
      <c r="F111" s="52">
        <v>48</v>
      </c>
      <c r="G111" s="49"/>
      <c r="H111" s="49" t="s">
        <v>1554</v>
      </c>
      <c r="K111" s="61">
        <v>15</v>
      </c>
      <c r="L111" s="61">
        <v>69</v>
      </c>
      <c r="M111" s="61">
        <v>40</v>
      </c>
      <c r="N111" s="61">
        <v>15</v>
      </c>
      <c r="O111" s="61">
        <v>139</v>
      </c>
      <c r="P111" s="65">
        <v>139000</v>
      </c>
      <c r="Q111" s="108">
        <f t="shared" si="6"/>
        <v>1.8134377038486627</v>
      </c>
      <c r="R111" s="108">
        <f t="shared" si="7"/>
        <v>1088.0626223091976</v>
      </c>
      <c r="S111" s="65">
        <v>1.81</v>
      </c>
      <c r="T111" s="127">
        <v>2.14</v>
      </c>
      <c r="U111" s="132" t="s">
        <v>2241</v>
      </c>
    </row>
    <row r="112" spans="1:21" x14ac:dyDescent="0.25">
      <c r="A112" s="139" t="s">
        <v>1787</v>
      </c>
      <c r="B112" s="47" t="s">
        <v>1788</v>
      </c>
      <c r="C112" s="47" t="s">
        <v>1789</v>
      </c>
      <c r="D112" s="104">
        <v>2140056</v>
      </c>
      <c r="E112" s="52"/>
      <c r="F112" s="52"/>
      <c r="G112" s="49"/>
      <c r="H112" s="49" t="s">
        <v>1554</v>
      </c>
      <c r="K112" s="61">
        <v>44</v>
      </c>
      <c r="L112" s="61">
        <v>48</v>
      </c>
      <c r="M112" s="61">
        <v>38</v>
      </c>
      <c r="N112" s="61">
        <v>30</v>
      </c>
      <c r="O112" s="61">
        <v>160</v>
      </c>
      <c r="Q112" s="108"/>
      <c r="R112" s="108"/>
    </row>
    <row r="113" spans="1:21" x14ac:dyDescent="0.25">
      <c r="A113" s="139" t="s">
        <v>1790</v>
      </c>
      <c r="B113" s="47" t="s">
        <v>1791</v>
      </c>
      <c r="C113" s="47" t="s">
        <v>1789</v>
      </c>
      <c r="D113" s="104">
        <v>2140056</v>
      </c>
      <c r="E113" s="52"/>
      <c r="F113" s="52"/>
      <c r="G113" s="49"/>
      <c r="H113" s="49" t="s">
        <v>1554</v>
      </c>
      <c r="K113" s="61">
        <v>3</v>
      </c>
      <c r="L113" s="61">
        <v>1</v>
      </c>
      <c r="M113" s="61">
        <v>0</v>
      </c>
      <c r="N113" s="61">
        <v>1</v>
      </c>
      <c r="O113" s="61">
        <v>5</v>
      </c>
      <c r="Q113" s="108"/>
      <c r="R113" s="108"/>
    </row>
    <row r="114" spans="1:21" x14ac:dyDescent="0.25">
      <c r="A114" s="139" t="s">
        <v>1792</v>
      </c>
      <c r="B114" s="61" t="s">
        <v>256</v>
      </c>
      <c r="C114" s="47" t="s">
        <v>1794</v>
      </c>
      <c r="D114" s="104">
        <v>2140056</v>
      </c>
      <c r="E114" s="52"/>
      <c r="F114" s="52"/>
      <c r="G114" s="49"/>
      <c r="H114" s="49" t="s">
        <v>1554</v>
      </c>
      <c r="K114" s="61">
        <v>353</v>
      </c>
      <c r="L114" s="61">
        <v>402</v>
      </c>
      <c r="M114" s="61">
        <v>388</v>
      </c>
      <c r="N114" s="61">
        <v>283</v>
      </c>
      <c r="O114" s="61">
        <v>1426</v>
      </c>
      <c r="Q114" s="108"/>
      <c r="R114" s="108"/>
    </row>
    <row r="115" spans="1:21" x14ac:dyDescent="0.25">
      <c r="A115" s="139" t="s">
        <v>1795</v>
      </c>
      <c r="B115" s="61" t="s">
        <v>249</v>
      </c>
      <c r="C115" s="47" t="s">
        <v>1789</v>
      </c>
      <c r="D115" s="104">
        <v>2140056</v>
      </c>
      <c r="E115" s="52"/>
      <c r="F115" s="52"/>
      <c r="G115" s="49"/>
      <c r="H115" s="49" t="s">
        <v>1554</v>
      </c>
      <c r="K115" s="61">
        <v>9</v>
      </c>
      <c r="L115" s="61">
        <v>9</v>
      </c>
      <c r="M115" s="61">
        <v>8</v>
      </c>
      <c r="N115" s="61">
        <v>13</v>
      </c>
      <c r="O115" s="61">
        <v>39</v>
      </c>
      <c r="Q115" s="108"/>
      <c r="R115" s="108"/>
    </row>
    <row r="116" spans="1:21" x14ac:dyDescent="0.25">
      <c r="A116" s="139" t="s">
        <v>1796</v>
      </c>
      <c r="B116" s="47" t="s">
        <v>1793</v>
      </c>
      <c r="C116" s="47" t="s">
        <v>1797</v>
      </c>
      <c r="D116" s="104">
        <v>2140056</v>
      </c>
      <c r="E116" s="52"/>
      <c r="F116" s="52"/>
      <c r="G116" s="49"/>
      <c r="H116" s="49" t="s">
        <v>1554</v>
      </c>
      <c r="Q116" s="108"/>
      <c r="R116" s="108"/>
    </row>
    <row r="117" spans="1:21" x14ac:dyDescent="0.25">
      <c r="A117" s="139" t="s">
        <v>1798</v>
      </c>
      <c r="B117" s="47" t="s">
        <v>1793</v>
      </c>
      <c r="C117" s="47" t="s">
        <v>1799</v>
      </c>
      <c r="D117" s="104">
        <v>2140056</v>
      </c>
      <c r="E117" s="104">
        <v>2140056</v>
      </c>
      <c r="F117" s="104">
        <v>49</v>
      </c>
      <c r="G117" s="105"/>
      <c r="H117" s="105" t="s">
        <v>1554</v>
      </c>
      <c r="I117" s="106"/>
      <c r="J117" s="106"/>
      <c r="K117" s="106">
        <v>203</v>
      </c>
      <c r="L117" s="106">
        <v>246</v>
      </c>
      <c r="M117" s="106">
        <v>264</v>
      </c>
      <c r="N117" s="106">
        <v>193</v>
      </c>
      <c r="O117" s="106">
        <v>906</v>
      </c>
      <c r="P117" s="110">
        <f>SUM(O112+O113+O114-O115+O117)*1000</f>
        <v>2458000</v>
      </c>
      <c r="Q117" s="127">
        <f>SUM(P117/76650)</f>
        <v>32.067840834964123</v>
      </c>
      <c r="R117" s="108">
        <f>SUM(Q117*600)</f>
        <v>19240.704500978474</v>
      </c>
      <c r="S117" s="65">
        <v>32.07</v>
      </c>
      <c r="T117" s="127">
        <v>29.28</v>
      </c>
      <c r="U117" s="132" t="s">
        <v>2243</v>
      </c>
    </row>
    <row r="118" spans="1:21" x14ac:dyDescent="0.25">
      <c r="A118" s="139" t="s">
        <v>1800</v>
      </c>
      <c r="B118" s="47" t="s">
        <v>1801</v>
      </c>
      <c r="C118" s="47" t="s">
        <v>1802</v>
      </c>
      <c r="D118" s="52">
        <v>2140080</v>
      </c>
      <c r="E118" s="52">
        <v>2140080</v>
      </c>
      <c r="F118" s="52">
        <v>50</v>
      </c>
      <c r="G118" s="49"/>
      <c r="H118" s="49" t="s">
        <v>1554</v>
      </c>
      <c r="K118" s="61">
        <v>25</v>
      </c>
      <c r="L118" s="61">
        <v>78</v>
      </c>
      <c r="M118" s="61">
        <v>71</v>
      </c>
      <c r="N118" s="61">
        <v>75</v>
      </c>
      <c r="O118" s="61">
        <v>249</v>
      </c>
      <c r="P118" s="65">
        <v>249000</v>
      </c>
      <c r="Q118" s="108">
        <f>SUM(P118/76650)</f>
        <v>3.2485322896281801</v>
      </c>
      <c r="R118" s="108">
        <f>SUM(Q118*600)</f>
        <v>1949.1193737769081</v>
      </c>
      <c r="S118" s="65">
        <v>3.25</v>
      </c>
      <c r="T118" s="127">
        <v>3.48</v>
      </c>
      <c r="U118" s="132" t="s">
        <v>2241</v>
      </c>
    </row>
    <row r="119" spans="1:21" x14ac:dyDescent="0.25">
      <c r="A119" s="139" t="s">
        <v>1803</v>
      </c>
      <c r="B119" s="47" t="s">
        <v>1804</v>
      </c>
      <c r="C119" s="47" t="s">
        <v>1805</v>
      </c>
      <c r="D119" s="52">
        <v>2200015</v>
      </c>
      <c r="E119" s="52">
        <v>2200015</v>
      </c>
      <c r="F119" s="52">
        <v>51</v>
      </c>
      <c r="G119" s="49"/>
      <c r="H119" s="49" t="s">
        <v>1554</v>
      </c>
      <c r="K119" s="61">
        <v>20</v>
      </c>
      <c r="L119" s="61">
        <v>26</v>
      </c>
      <c r="M119" s="61">
        <v>20</v>
      </c>
      <c r="N119" s="61">
        <v>20</v>
      </c>
      <c r="O119" s="61">
        <v>86</v>
      </c>
      <c r="P119" s="65">
        <v>86000</v>
      </c>
      <c r="Q119" s="108">
        <f>SUM(P119/76650)</f>
        <v>1.1219830397912589</v>
      </c>
      <c r="R119" s="108">
        <f>SUM(Q119*600)</f>
        <v>673.18982387475535</v>
      </c>
      <c r="S119" s="65">
        <v>1.1200000000000001</v>
      </c>
      <c r="T119" s="127">
        <v>1.89</v>
      </c>
      <c r="U119" s="132" t="s">
        <v>2241</v>
      </c>
    </row>
    <row r="120" spans="1:21" x14ac:dyDescent="0.25">
      <c r="A120" s="139" t="s">
        <v>2050</v>
      </c>
      <c r="B120" s="47" t="s">
        <v>2051</v>
      </c>
      <c r="C120" s="47" t="s">
        <v>1565</v>
      </c>
      <c r="D120" s="104">
        <v>2210016</v>
      </c>
      <c r="E120" s="52"/>
      <c r="F120" s="52"/>
      <c r="G120" s="50"/>
      <c r="H120" s="49" t="s">
        <v>1554</v>
      </c>
      <c r="K120" s="61">
        <v>1</v>
      </c>
      <c r="L120" s="61">
        <v>14</v>
      </c>
      <c r="M120" s="61">
        <v>27</v>
      </c>
      <c r="N120" s="61">
        <v>27</v>
      </c>
      <c r="O120" s="61">
        <v>69</v>
      </c>
      <c r="P120" s="65">
        <v>69000</v>
      </c>
      <c r="Q120" s="108"/>
      <c r="R120" s="108"/>
    </row>
    <row r="121" spans="1:21" x14ac:dyDescent="0.25">
      <c r="A121" s="139"/>
      <c r="B121" s="61" t="s">
        <v>1037</v>
      </c>
      <c r="C121" s="47"/>
      <c r="D121" s="104">
        <v>2210016</v>
      </c>
      <c r="E121" s="52"/>
      <c r="F121" s="52"/>
      <c r="G121" s="49"/>
      <c r="H121" s="49"/>
      <c r="K121" s="61">
        <v>0</v>
      </c>
      <c r="L121" s="61">
        <v>2</v>
      </c>
      <c r="M121" s="61">
        <v>2</v>
      </c>
      <c r="N121" s="61">
        <v>1</v>
      </c>
      <c r="O121" s="61">
        <v>5</v>
      </c>
      <c r="P121" s="65">
        <v>5000</v>
      </c>
      <c r="Q121" s="108"/>
      <c r="R121" s="108"/>
    </row>
    <row r="122" spans="1:21" x14ac:dyDescent="0.25">
      <c r="A122" s="139" t="s">
        <v>2048</v>
      </c>
      <c r="B122" s="61" t="s">
        <v>1042</v>
      </c>
      <c r="C122" s="47" t="s">
        <v>1565</v>
      </c>
      <c r="D122" s="104">
        <v>2210016</v>
      </c>
      <c r="E122" s="52"/>
      <c r="F122" s="52"/>
      <c r="G122" s="50"/>
      <c r="H122" s="49" t="s">
        <v>1554</v>
      </c>
      <c r="K122" s="61">
        <v>10</v>
      </c>
      <c r="L122" s="61">
        <v>58</v>
      </c>
      <c r="M122" s="61">
        <v>17</v>
      </c>
      <c r="N122" s="61">
        <v>0</v>
      </c>
      <c r="O122" s="61">
        <v>85</v>
      </c>
      <c r="P122" s="65">
        <v>85000</v>
      </c>
      <c r="Q122" s="108"/>
      <c r="R122" s="108"/>
    </row>
    <row r="123" spans="1:21" s="60" customFormat="1" x14ac:dyDescent="0.25">
      <c r="A123" s="139" t="s">
        <v>2049</v>
      </c>
      <c r="B123" s="60" t="s">
        <v>1044</v>
      </c>
      <c r="C123" s="47" t="s">
        <v>1565</v>
      </c>
      <c r="D123" s="52">
        <v>2210016</v>
      </c>
      <c r="E123" s="52">
        <v>2210016</v>
      </c>
      <c r="F123" s="52"/>
      <c r="G123" s="50"/>
      <c r="H123" s="49" t="s">
        <v>1554</v>
      </c>
      <c r="K123" s="60">
        <v>26</v>
      </c>
      <c r="L123" s="60">
        <v>80</v>
      </c>
      <c r="M123" s="60">
        <v>25</v>
      </c>
      <c r="N123" s="60">
        <v>7</v>
      </c>
      <c r="O123" s="60">
        <v>138</v>
      </c>
      <c r="P123" s="72">
        <f>SUM(O120:O123)*1000</f>
        <v>297000</v>
      </c>
      <c r="Q123" s="45">
        <f t="shared" ref="Q123:Q179" si="9">SUM(P123/76650)</f>
        <v>3.8747553816046967</v>
      </c>
      <c r="R123" s="45">
        <f t="shared" ref="R123:R179" si="10">SUM(Q123*600)</f>
        <v>2324.8532289628179</v>
      </c>
      <c r="S123" s="72">
        <v>3.87</v>
      </c>
      <c r="T123" s="126">
        <v>3.17</v>
      </c>
      <c r="U123" s="131" t="s">
        <v>2243</v>
      </c>
    </row>
    <row r="124" spans="1:21" x14ac:dyDescent="0.25">
      <c r="A124" s="139" t="s">
        <v>1806</v>
      </c>
      <c r="B124" s="61" t="s">
        <v>1528</v>
      </c>
      <c r="C124" s="47" t="s">
        <v>1807</v>
      </c>
      <c r="D124" s="52">
        <v>2280080</v>
      </c>
      <c r="E124" s="52"/>
      <c r="F124" s="52"/>
      <c r="G124" s="49"/>
      <c r="H124" s="49" t="s">
        <v>1554</v>
      </c>
      <c r="K124" s="61">
        <v>136</v>
      </c>
      <c r="L124" s="61">
        <v>486</v>
      </c>
      <c r="M124" s="61">
        <v>415</v>
      </c>
      <c r="N124" s="61">
        <v>35</v>
      </c>
      <c r="O124" s="61">
        <v>1072</v>
      </c>
      <c r="Q124" s="108"/>
      <c r="R124" s="108"/>
    </row>
    <row r="125" spans="1:21" s="60" customFormat="1" x14ac:dyDescent="0.25">
      <c r="A125" s="139" t="s">
        <v>1808</v>
      </c>
      <c r="B125" s="47" t="s">
        <v>2244</v>
      </c>
      <c r="C125" s="47" t="s">
        <v>1807</v>
      </c>
      <c r="D125" s="52">
        <v>2280080</v>
      </c>
      <c r="E125" s="52">
        <v>2280080</v>
      </c>
      <c r="F125" s="52">
        <v>52</v>
      </c>
      <c r="G125" s="49"/>
      <c r="H125" s="49" t="s">
        <v>1554</v>
      </c>
      <c r="K125" s="60">
        <v>109</v>
      </c>
      <c r="L125" s="60">
        <v>464</v>
      </c>
      <c r="M125" s="60">
        <v>384</v>
      </c>
      <c r="N125" s="60">
        <v>0</v>
      </c>
      <c r="O125" s="60">
        <v>957</v>
      </c>
      <c r="P125" s="72">
        <f>SUM(O124-O125)*1000</f>
        <v>115000</v>
      </c>
      <c r="Q125" s="108">
        <f t="shared" si="9"/>
        <v>1.5003261578604044</v>
      </c>
      <c r="R125" s="108">
        <f t="shared" si="10"/>
        <v>900.19569471624266</v>
      </c>
      <c r="S125" s="72">
        <v>1.5</v>
      </c>
      <c r="T125" s="126">
        <v>9.9499999999999993</v>
      </c>
      <c r="U125" s="132" t="s">
        <v>2241</v>
      </c>
    </row>
    <row r="126" spans="1:21" x14ac:dyDescent="0.25">
      <c r="A126" s="139"/>
      <c r="B126" s="47" t="s">
        <v>1809</v>
      </c>
      <c r="C126" s="47" t="s">
        <v>1810</v>
      </c>
      <c r="D126" s="52">
        <v>2280100</v>
      </c>
      <c r="E126" s="52"/>
      <c r="F126" s="52"/>
      <c r="G126" s="49"/>
      <c r="H126" s="49" t="s">
        <v>1554</v>
      </c>
      <c r="K126" s="61">
        <v>378</v>
      </c>
      <c r="L126" s="61">
        <v>521</v>
      </c>
      <c r="M126" s="61">
        <v>420</v>
      </c>
      <c r="N126" s="61">
        <v>215</v>
      </c>
      <c r="O126" s="61">
        <v>1534</v>
      </c>
      <c r="Q126" s="108"/>
      <c r="R126" s="108"/>
    </row>
    <row r="127" spans="1:21" x14ac:dyDescent="0.25">
      <c r="A127" s="139"/>
      <c r="B127" s="47" t="s">
        <v>1809</v>
      </c>
      <c r="C127" s="47" t="s">
        <v>1810</v>
      </c>
      <c r="D127" s="52">
        <v>2280100</v>
      </c>
      <c r="E127" s="52">
        <v>2280100</v>
      </c>
      <c r="F127" s="52">
        <v>53</v>
      </c>
      <c r="G127" s="49"/>
      <c r="H127" s="49" t="s">
        <v>1554</v>
      </c>
      <c r="K127" s="61">
        <v>376</v>
      </c>
      <c r="L127" s="61">
        <v>539</v>
      </c>
      <c r="M127" s="61">
        <v>353</v>
      </c>
      <c r="N127" s="61">
        <v>179</v>
      </c>
      <c r="O127" s="61">
        <v>1447</v>
      </c>
      <c r="P127" s="65">
        <f>SUM(O126:O127)*1000</f>
        <v>2981000</v>
      </c>
      <c r="Q127" s="108">
        <f t="shared" si="9"/>
        <v>38.891063274624919</v>
      </c>
      <c r="R127" s="108">
        <f t="shared" si="10"/>
        <v>23334.637964774953</v>
      </c>
      <c r="S127" s="65">
        <v>38.89</v>
      </c>
      <c r="T127" s="127">
        <v>20.39</v>
      </c>
      <c r="U127" s="132" t="s">
        <v>2243</v>
      </c>
    </row>
    <row r="128" spans="1:21" x14ac:dyDescent="0.25">
      <c r="A128" s="139" t="s">
        <v>1811</v>
      </c>
      <c r="B128" s="61" t="s">
        <v>269</v>
      </c>
      <c r="C128" s="47" t="s">
        <v>1812</v>
      </c>
      <c r="D128" s="52">
        <v>2280150</v>
      </c>
      <c r="E128" s="52"/>
      <c r="F128" s="52"/>
      <c r="G128" s="49"/>
      <c r="H128" s="49" t="s">
        <v>1554</v>
      </c>
      <c r="K128" s="61">
        <v>73</v>
      </c>
      <c r="L128" s="61">
        <v>311</v>
      </c>
      <c r="M128" s="61">
        <v>61</v>
      </c>
      <c r="N128" s="61">
        <v>0</v>
      </c>
      <c r="O128" s="61">
        <v>445</v>
      </c>
      <c r="Q128" s="108"/>
      <c r="R128" s="108"/>
    </row>
    <row r="129" spans="1:21" s="60" customFormat="1" x14ac:dyDescent="0.25">
      <c r="A129" s="139" t="s">
        <v>1813</v>
      </c>
      <c r="B129" s="60" t="s">
        <v>271</v>
      </c>
      <c r="C129" s="47" t="s">
        <v>1812</v>
      </c>
      <c r="D129" s="52">
        <v>2280150</v>
      </c>
      <c r="E129" s="52">
        <v>2280150</v>
      </c>
      <c r="F129" s="52">
        <v>54</v>
      </c>
      <c r="G129" s="49"/>
      <c r="H129" s="49" t="s">
        <v>1554</v>
      </c>
      <c r="K129" s="60">
        <v>132</v>
      </c>
      <c r="L129" s="60">
        <v>358</v>
      </c>
      <c r="M129" s="60">
        <v>132</v>
      </c>
      <c r="N129" s="60">
        <v>46</v>
      </c>
      <c r="O129" s="60">
        <v>668</v>
      </c>
      <c r="P129" s="72">
        <f>SUM(O129-O128)*1000</f>
        <v>223000</v>
      </c>
      <c r="Q129" s="45">
        <f t="shared" si="9"/>
        <v>2.9093281148075669</v>
      </c>
      <c r="R129" s="45">
        <f t="shared" si="10"/>
        <v>1745.5968688845401</v>
      </c>
      <c r="S129" s="72">
        <v>2.91</v>
      </c>
      <c r="T129" s="126">
        <v>12.6</v>
      </c>
      <c r="U129" s="131" t="s">
        <v>2241</v>
      </c>
    </row>
    <row r="130" spans="1:21" x14ac:dyDescent="0.25">
      <c r="A130" s="139"/>
      <c r="B130" s="47" t="s">
        <v>1814</v>
      </c>
      <c r="C130" s="47" t="s">
        <v>1815</v>
      </c>
      <c r="D130" s="52">
        <v>2280200</v>
      </c>
      <c r="E130" s="52">
        <v>2280200</v>
      </c>
      <c r="F130" s="52">
        <v>55</v>
      </c>
      <c r="G130" s="49"/>
      <c r="H130" s="49" t="s">
        <v>1554</v>
      </c>
      <c r="K130" s="61">
        <v>14</v>
      </c>
      <c r="L130" s="61">
        <v>131</v>
      </c>
      <c r="M130" s="61">
        <v>116</v>
      </c>
      <c r="N130" s="61">
        <v>17</v>
      </c>
      <c r="O130" s="61">
        <v>278</v>
      </c>
      <c r="P130" s="65">
        <v>278000</v>
      </c>
      <c r="Q130" s="108">
        <f t="shared" si="9"/>
        <v>3.6268754076973253</v>
      </c>
      <c r="R130" s="108">
        <f t="shared" si="10"/>
        <v>2176.1252446183953</v>
      </c>
      <c r="S130" s="72">
        <v>5.09</v>
      </c>
      <c r="T130" s="127">
        <v>3.1</v>
      </c>
      <c r="U130" s="132" t="s">
        <v>2243</v>
      </c>
    </row>
    <row r="131" spans="1:21" x14ac:dyDescent="0.25">
      <c r="A131" s="139" t="s">
        <v>1816</v>
      </c>
      <c r="B131" s="47" t="s">
        <v>1817</v>
      </c>
      <c r="C131" s="46"/>
      <c r="D131" s="91">
        <v>2810335</v>
      </c>
      <c r="E131" s="91">
        <v>2810335</v>
      </c>
      <c r="F131" s="52">
        <v>56</v>
      </c>
      <c r="G131" s="49"/>
      <c r="H131" s="49" t="s">
        <v>1625</v>
      </c>
      <c r="O131" s="51">
        <v>76650</v>
      </c>
      <c r="P131" s="65">
        <v>76650</v>
      </c>
      <c r="Q131" s="108">
        <f t="shared" si="9"/>
        <v>1</v>
      </c>
      <c r="R131" s="108">
        <f t="shared" si="10"/>
        <v>600</v>
      </c>
      <c r="S131" s="65">
        <v>1</v>
      </c>
      <c r="T131" s="127">
        <v>1</v>
      </c>
      <c r="U131" s="132" t="s">
        <v>2242</v>
      </c>
    </row>
    <row r="132" spans="1:21" x14ac:dyDescent="0.25">
      <c r="A132" s="139" t="s">
        <v>1818</v>
      </c>
      <c r="B132" s="47" t="s">
        <v>1819</v>
      </c>
      <c r="C132" s="47" t="s">
        <v>1820</v>
      </c>
      <c r="D132" s="91">
        <v>2810365</v>
      </c>
      <c r="E132" s="91">
        <v>2810365</v>
      </c>
      <c r="F132" s="52">
        <v>57</v>
      </c>
      <c r="G132" s="49"/>
      <c r="H132" s="49" t="s">
        <v>1625</v>
      </c>
      <c r="K132" s="61">
        <v>2</v>
      </c>
      <c r="L132" s="61">
        <v>1</v>
      </c>
      <c r="M132" s="61">
        <v>1</v>
      </c>
      <c r="N132" s="61">
        <v>2</v>
      </c>
      <c r="O132" s="61">
        <v>76.650000000000006</v>
      </c>
      <c r="P132" s="65">
        <v>76650</v>
      </c>
      <c r="Q132" s="108">
        <f t="shared" si="9"/>
        <v>1</v>
      </c>
      <c r="R132" s="108">
        <f t="shared" si="10"/>
        <v>600</v>
      </c>
      <c r="S132" s="65">
        <v>1</v>
      </c>
      <c r="T132" s="127">
        <v>1</v>
      </c>
      <c r="U132" s="132" t="s">
        <v>2242</v>
      </c>
    </row>
    <row r="133" spans="1:21" x14ac:dyDescent="0.25">
      <c r="A133" s="139" t="s">
        <v>1821</v>
      </c>
      <c r="B133" s="47" t="s">
        <v>1822</v>
      </c>
      <c r="C133" s="47" t="s">
        <v>1823</v>
      </c>
      <c r="D133" s="52">
        <v>2840001</v>
      </c>
      <c r="E133" s="52"/>
      <c r="F133" s="52"/>
      <c r="G133" s="49"/>
      <c r="H133" s="49" t="s">
        <v>1554</v>
      </c>
      <c r="K133" s="61">
        <v>17</v>
      </c>
      <c r="L133" s="61">
        <v>11</v>
      </c>
      <c r="M133" s="61">
        <v>11</v>
      </c>
      <c r="N133" s="61">
        <v>11</v>
      </c>
      <c r="O133" s="61">
        <v>50</v>
      </c>
      <c r="Q133" s="108">
        <f t="shared" si="9"/>
        <v>0</v>
      </c>
      <c r="R133" s="108">
        <f t="shared" si="10"/>
        <v>0</v>
      </c>
      <c r="U133" s="132" t="s">
        <v>2242</v>
      </c>
    </row>
    <row r="134" spans="1:21" x14ac:dyDescent="0.25">
      <c r="A134" s="139" t="s">
        <v>1824</v>
      </c>
      <c r="B134" s="47" t="s">
        <v>1825</v>
      </c>
      <c r="C134" s="47" t="s">
        <v>1823</v>
      </c>
      <c r="D134" s="52">
        <v>2840001</v>
      </c>
      <c r="E134" s="52">
        <v>2840001</v>
      </c>
      <c r="F134" s="52">
        <v>58</v>
      </c>
      <c r="G134" s="49"/>
      <c r="H134" s="49" t="s">
        <v>1554</v>
      </c>
      <c r="K134" s="61">
        <v>1</v>
      </c>
      <c r="L134" s="61">
        <v>103</v>
      </c>
      <c r="M134" s="61">
        <v>9</v>
      </c>
      <c r="N134" s="61">
        <v>0</v>
      </c>
      <c r="O134" s="61">
        <v>113</v>
      </c>
      <c r="P134" s="65">
        <f>SUM(O133:O134)*1000</f>
        <v>163000</v>
      </c>
      <c r="Q134" s="108">
        <f t="shared" si="9"/>
        <v>2.1265492498369212</v>
      </c>
      <c r="R134" s="108">
        <f t="shared" si="10"/>
        <v>1275.9295499021528</v>
      </c>
      <c r="S134" s="65">
        <v>2.4700000000000002</v>
      </c>
      <c r="T134" s="127">
        <v>4.26</v>
      </c>
      <c r="U134" s="132" t="s">
        <v>2241</v>
      </c>
    </row>
    <row r="135" spans="1:21" x14ac:dyDescent="0.25">
      <c r="A135" s="139"/>
      <c r="B135" s="47"/>
      <c r="C135" s="47"/>
      <c r="D135" s="52">
        <v>3060224</v>
      </c>
      <c r="E135" s="52">
        <v>3060224</v>
      </c>
      <c r="F135" s="52"/>
      <c r="G135" s="49"/>
      <c r="H135" s="49" t="s">
        <v>1625</v>
      </c>
      <c r="K135" s="61"/>
      <c r="L135" s="61"/>
      <c r="M135" s="61"/>
      <c r="N135" s="61"/>
      <c r="O135" s="61">
        <v>76.650000000000006</v>
      </c>
      <c r="P135" s="65">
        <f>SUM(O135*1000)</f>
        <v>76650</v>
      </c>
      <c r="Q135" s="108">
        <f t="shared" si="9"/>
        <v>1</v>
      </c>
      <c r="R135" s="108">
        <f t="shared" si="10"/>
        <v>600</v>
      </c>
      <c r="S135" s="65">
        <v>1</v>
      </c>
      <c r="U135" s="132"/>
    </row>
    <row r="136" spans="1:21" x14ac:dyDescent="0.25">
      <c r="A136" s="139" t="s">
        <v>1826</v>
      </c>
      <c r="B136" s="47" t="s">
        <v>1827</v>
      </c>
      <c r="C136" s="47" t="s">
        <v>1828</v>
      </c>
      <c r="D136" s="119">
        <v>3290027</v>
      </c>
      <c r="E136" s="52"/>
      <c r="F136" s="52"/>
      <c r="G136" s="49"/>
      <c r="H136" s="49" t="s">
        <v>1554</v>
      </c>
      <c r="K136" s="61">
        <v>0</v>
      </c>
      <c r="L136" s="61">
        <v>0</v>
      </c>
      <c r="M136" s="61">
        <v>0</v>
      </c>
      <c r="N136" s="61">
        <v>0</v>
      </c>
      <c r="O136" s="61">
        <v>0</v>
      </c>
      <c r="Q136" s="45"/>
      <c r="R136" s="45"/>
    </row>
    <row r="137" spans="1:21" x14ac:dyDescent="0.25">
      <c r="A137" s="139" t="s">
        <v>1829</v>
      </c>
      <c r="B137" s="47" t="s">
        <v>1830</v>
      </c>
      <c r="C137" s="47" t="s">
        <v>1831</v>
      </c>
      <c r="D137" s="119">
        <v>3290027</v>
      </c>
      <c r="E137" s="52"/>
      <c r="F137" s="52"/>
      <c r="G137" s="49"/>
      <c r="H137" s="49" t="s">
        <v>1554</v>
      </c>
      <c r="K137" s="61">
        <v>92</v>
      </c>
      <c r="L137" s="61">
        <v>225</v>
      </c>
      <c r="M137" s="61">
        <v>321</v>
      </c>
      <c r="N137" s="61">
        <v>192</v>
      </c>
      <c r="O137" s="61">
        <v>830</v>
      </c>
      <c r="Q137" s="45"/>
      <c r="R137" s="45"/>
    </row>
    <row r="138" spans="1:21" x14ac:dyDescent="0.25">
      <c r="A138" s="139" t="s">
        <v>1832</v>
      </c>
      <c r="B138" s="61" t="s">
        <v>287</v>
      </c>
      <c r="C138" s="47" t="s">
        <v>1831</v>
      </c>
      <c r="D138" s="119">
        <v>3290027</v>
      </c>
      <c r="E138" s="52"/>
      <c r="F138" s="52"/>
      <c r="G138" s="49"/>
      <c r="H138" s="49" t="s">
        <v>1554</v>
      </c>
      <c r="K138" s="61">
        <v>31</v>
      </c>
      <c r="L138" s="61">
        <v>303</v>
      </c>
      <c r="M138" s="61">
        <v>115</v>
      </c>
      <c r="N138" s="61">
        <v>0</v>
      </c>
      <c r="O138" s="61">
        <v>449</v>
      </c>
      <c r="Q138" s="45"/>
      <c r="R138" s="45"/>
    </row>
    <row r="139" spans="1:21" s="60" customFormat="1" x14ac:dyDescent="0.25">
      <c r="A139" s="139" t="s">
        <v>1833</v>
      </c>
      <c r="B139" s="60" t="s">
        <v>293</v>
      </c>
      <c r="C139" s="47" t="s">
        <v>1834</v>
      </c>
      <c r="D139" s="52">
        <v>3290027</v>
      </c>
      <c r="E139" s="52"/>
      <c r="F139" s="52"/>
      <c r="G139" s="49"/>
      <c r="H139" s="49" t="s">
        <v>1554</v>
      </c>
      <c r="K139" s="60">
        <v>38</v>
      </c>
      <c r="L139" s="60">
        <v>310</v>
      </c>
      <c r="M139" s="60">
        <v>119</v>
      </c>
      <c r="N139" s="60">
        <v>12</v>
      </c>
      <c r="O139" s="60">
        <v>479</v>
      </c>
      <c r="P139" s="72"/>
      <c r="Q139" s="45"/>
      <c r="R139" s="45"/>
      <c r="S139" s="65"/>
      <c r="T139" s="126"/>
    </row>
    <row r="140" spans="1:21" s="60" customFormat="1" x14ac:dyDescent="0.25">
      <c r="A140" s="139" t="s">
        <v>1835</v>
      </c>
      <c r="B140" s="60" t="s">
        <v>290</v>
      </c>
      <c r="C140" s="47" t="s">
        <v>1836</v>
      </c>
      <c r="D140" s="52">
        <v>3290027</v>
      </c>
      <c r="E140" s="52"/>
      <c r="F140" s="52"/>
      <c r="G140" s="49"/>
      <c r="H140" s="49" t="s">
        <v>1554</v>
      </c>
      <c r="K140" s="60">
        <v>86</v>
      </c>
      <c r="L140" s="60">
        <v>825</v>
      </c>
      <c r="M140" s="60">
        <v>83</v>
      </c>
      <c r="N140" s="60">
        <v>0</v>
      </c>
      <c r="O140" s="60">
        <v>994</v>
      </c>
      <c r="P140" s="72"/>
      <c r="Q140" s="45"/>
      <c r="R140" s="45"/>
      <c r="S140" s="65"/>
      <c r="T140" s="126"/>
    </row>
    <row r="141" spans="1:21" s="60" customFormat="1" x14ac:dyDescent="0.25">
      <c r="A141" s="139" t="s">
        <v>1837</v>
      </c>
      <c r="B141" s="60" t="s">
        <v>296</v>
      </c>
      <c r="C141" s="47" t="s">
        <v>1836</v>
      </c>
      <c r="D141" s="52">
        <v>3290027</v>
      </c>
      <c r="E141" s="52">
        <v>3290027</v>
      </c>
      <c r="F141" s="52">
        <v>59</v>
      </c>
      <c r="G141" s="49"/>
      <c r="H141" s="49" t="s">
        <v>1554</v>
      </c>
      <c r="K141" s="60">
        <v>88</v>
      </c>
      <c r="L141" s="60">
        <v>827</v>
      </c>
      <c r="M141" s="60">
        <v>85</v>
      </c>
      <c r="N141" s="60">
        <v>4</v>
      </c>
      <c r="O141" s="60">
        <v>1004</v>
      </c>
      <c r="P141" s="72">
        <f>SUM(O141-O140+O139-O138+O137+O136)*1000</f>
        <v>870000</v>
      </c>
      <c r="Q141" s="45">
        <f t="shared" si="9"/>
        <v>11.350293542074365</v>
      </c>
      <c r="R141" s="45">
        <f t="shared" si="10"/>
        <v>6810.1761252446186</v>
      </c>
      <c r="S141" s="65">
        <v>12.35</v>
      </c>
      <c r="T141" s="126">
        <v>44.78</v>
      </c>
      <c r="U141" s="132" t="s">
        <v>2241</v>
      </c>
    </row>
    <row r="142" spans="1:21" x14ac:dyDescent="0.25">
      <c r="A142" s="139"/>
      <c r="B142" s="61" t="s">
        <v>299</v>
      </c>
      <c r="C142" s="47" t="s">
        <v>1838</v>
      </c>
      <c r="D142" s="52">
        <v>3290065</v>
      </c>
      <c r="E142" s="52">
        <v>3290065</v>
      </c>
      <c r="F142" s="52"/>
      <c r="G142" s="49"/>
      <c r="H142" s="49" t="s">
        <v>1554</v>
      </c>
      <c r="K142" s="61">
        <v>365</v>
      </c>
      <c r="L142" s="61">
        <v>0</v>
      </c>
      <c r="M142" s="61">
        <v>0</v>
      </c>
      <c r="N142" s="61">
        <v>11</v>
      </c>
      <c r="O142" s="61">
        <v>376</v>
      </c>
      <c r="Q142" s="45"/>
      <c r="R142" s="45"/>
    </row>
    <row r="143" spans="1:21" x14ac:dyDescent="0.25">
      <c r="A143" s="139" t="s">
        <v>1839</v>
      </c>
      <c r="B143" s="61" t="s">
        <v>284</v>
      </c>
      <c r="C143" s="47" t="s">
        <v>1840</v>
      </c>
      <c r="D143" s="52">
        <v>3290065</v>
      </c>
      <c r="E143" s="52">
        <v>3290065</v>
      </c>
      <c r="F143" s="52">
        <v>60</v>
      </c>
      <c r="G143" s="49"/>
      <c r="H143" s="49" t="s">
        <v>1554</v>
      </c>
      <c r="K143" s="61">
        <v>223</v>
      </c>
      <c r="L143" s="61">
        <v>0</v>
      </c>
      <c r="M143" s="61">
        <v>0</v>
      </c>
      <c r="N143" s="61">
        <v>6</v>
      </c>
      <c r="O143" s="61">
        <v>229</v>
      </c>
      <c r="P143" s="65">
        <f>SUM(O142-O143)*1000</f>
        <v>147000</v>
      </c>
      <c r="Q143" s="45">
        <f t="shared" si="9"/>
        <v>1.9178082191780821</v>
      </c>
      <c r="R143" s="45">
        <f t="shared" si="10"/>
        <v>1150.6849315068494</v>
      </c>
      <c r="S143" s="65">
        <v>1.92</v>
      </c>
      <c r="T143" s="127">
        <v>6.76</v>
      </c>
      <c r="U143" s="132" t="s">
        <v>2241</v>
      </c>
    </row>
    <row r="144" spans="1:21" x14ac:dyDescent="0.25">
      <c r="A144" s="139" t="s">
        <v>1841</v>
      </c>
      <c r="B144" s="47" t="s">
        <v>1842</v>
      </c>
      <c r="C144" s="47" t="s">
        <v>1843</v>
      </c>
      <c r="D144" s="52">
        <v>3360151</v>
      </c>
      <c r="E144" s="52">
        <v>3360151</v>
      </c>
      <c r="F144" s="52">
        <v>61</v>
      </c>
      <c r="G144" s="49"/>
      <c r="H144" s="49" t="s">
        <v>1554</v>
      </c>
      <c r="K144" s="61">
        <v>265</v>
      </c>
      <c r="L144" s="61">
        <v>136</v>
      </c>
      <c r="M144" s="61">
        <v>176</v>
      </c>
      <c r="N144" s="61">
        <v>239</v>
      </c>
      <c r="O144" s="61">
        <v>816</v>
      </c>
      <c r="P144" s="65">
        <v>816000</v>
      </c>
      <c r="Q144" s="45">
        <f t="shared" si="9"/>
        <v>10.645792563600782</v>
      </c>
      <c r="R144" s="45">
        <f t="shared" si="10"/>
        <v>6387.4755381604691</v>
      </c>
      <c r="S144" s="65">
        <v>10.65</v>
      </c>
      <c r="T144" s="127">
        <v>11.97</v>
      </c>
      <c r="U144" s="132" t="s">
        <v>2241</v>
      </c>
    </row>
    <row r="145" spans="1:21" x14ac:dyDescent="0.25">
      <c r="A145" s="139" t="s">
        <v>1844</v>
      </c>
      <c r="B145" s="47" t="s">
        <v>1845</v>
      </c>
      <c r="C145" s="47" t="s">
        <v>1846</v>
      </c>
      <c r="D145" s="52">
        <v>3360154</v>
      </c>
      <c r="E145" s="52">
        <v>3360154</v>
      </c>
      <c r="F145" s="52">
        <v>62</v>
      </c>
      <c r="G145" s="49"/>
      <c r="H145" s="49" t="s">
        <v>1554</v>
      </c>
      <c r="K145" s="61">
        <v>48</v>
      </c>
      <c r="L145" s="61">
        <v>32</v>
      </c>
      <c r="M145" s="61">
        <v>32</v>
      </c>
      <c r="N145" s="61">
        <v>44</v>
      </c>
      <c r="O145" s="61">
        <v>156</v>
      </c>
      <c r="P145" s="65">
        <v>156000</v>
      </c>
      <c r="Q145" s="45">
        <f t="shared" si="9"/>
        <v>2.0352250489236789</v>
      </c>
      <c r="R145" s="45">
        <f t="shared" si="10"/>
        <v>1221.1350293542073</v>
      </c>
      <c r="S145" s="65">
        <v>2.04</v>
      </c>
      <c r="T145" s="127">
        <v>6.2</v>
      </c>
      <c r="U145" s="132" t="s">
        <v>2241</v>
      </c>
    </row>
    <row r="146" spans="1:21" x14ac:dyDescent="0.25">
      <c r="A146" s="139" t="s">
        <v>1847</v>
      </c>
      <c r="B146" s="47" t="s">
        <v>1848</v>
      </c>
      <c r="C146" s="47" t="s">
        <v>1849</v>
      </c>
      <c r="D146" s="52">
        <v>3360174</v>
      </c>
      <c r="E146" s="52">
        <v>3360174</v>
      </c>
      <c r="F146" s="52">
        <v>63</v>
      </c>
      <c r="G146" s="49"/>
      <c r="H146" s="49" t="s">
        <v>1554</v>
      </c>
      <c r="K146" s="61">
        <v>8</v>
      </c>
      <c r="L146" s="61">
        <v>10</v>
      </c>
      <c r="M146" s="61">
        <v>11</v>
      </c>
      <c r="N146" s="61">
        <v>12</v>
      </c>
      <c r="O146" s="61">
        <v>76.650000000000006</v>
      </c>
      <c r="P146" s="65">
        <f>SUM(O146*1000)</f>
        <v>76650</v>
      </c>
      <c r="Q146" s="45">
        <f t="shared" si="9"/>
        <v>1</v>
      </c>
      <c r="R146" s="45">
        <f t="shared" si="10"/>
        <v>600</v>
      </c>
      <c r="S146" s="65">
        <v>1</v>
      </c>
      <c r="T146" s="127">
        <v>1</v>
      </c>
      <c r="U146" s="132" t="s">
        <v>2242</v>
      </c>
    </row>
    <row r="147" spans="1:21" x14ac:dyDescent="0.25">
      <c r="A147" s="139" t="s">
        <v>1850</v>
      </c>
      <c r="B147" s="47" t="s">
        <v>1851</v>
      </c>
      <c r="C147" s="47" t="s">
        <v>1852</v>
      </c>
      <c r="D147" s="52">
        <v>3360190</v>
      </c>
      <c r="E147" s="52">
        <v>3360190</v>
      </c>
      <c r="F147" s="52">
        <v>64</v>
      </c>
      <c r="G147" s="49"/>
      <c r="H147" s="49" t="s">
        <v>1554</v>
      </c>
      <c r="K147" s="61">
        <v>1</v>
      </c>
      <c r="L147" s="61">
        <v>1</v>
      </c>
      <c r="M147" s="61">
        <v>2</v>
      </c>
      <c r="N147" s="61">
        <v>1</v>
      </c>
      <c r="O147" s="61">
        <v>76.650000000000006</v>
      </c>
      <c r="P147" s="65">
        <f>SUM(O147*1000)</f>
        <v>76650</v>
      </c>
      <c r="Q147" s="45">
        <f t="shared" si="9"/>
        <v>1</v>
      </c>
      <c r="R147" s="45">
        <f t="shared" si="10"/>
        <v>600</v>
      </c>
      <c r="S147" s="65">
        <v>1</v>
      </c>
      <c r="T147" s="127">
        <v>1</v>
      </c>
      <c r="U147" s="132" t="s">
        <v>2242</v>
      </c>
    </row>
    <row r="148" spans="1:21" x14ac:dyDescent="0.25">
      <c r="A148" s="139"/>
      <c r="B148" s="47" t="s">
        <v>1853</v>
      </c>
      <c r="C148" s="60" t="s">
        <v>1854</v>
      </c>
      <c r="D148" s="119">
        <v>3360205</v>
      </c>
      <c r="E148" s="52"/>
      <c r="F148" s="52"/>
      <c r="G148" s="49"/>
      <c r="H148" s="49" t="s">
        <v>1554</v>
      </c>
      <c r="K148" s="61">
        <v>47</v>
      </c>
      <c r="L148" s="61">
        <v>60</v>
      </c>
      <c r="M148" s="61">
        <v>49</v>
      </c>
      <c r="N148" s="61">
        <v>38</v>
      </c>
      <c r="O148" s="61">
        <v>194</v>
      </c>
      <c r="Q148" s="45"/>
      <c r="R148" s="45"/>
    </row>
    <row r="149" spans="1:21" x14ac:dyDescent="0.25">
      <c r="A149" s="139"/>
      <c r="B149" s="47" t="s">
        <v>1853</v>
      </c>
      <c r="C149" s="60" t="s">
        <v>1855</v>
      </c>
      <c r="D149" s="119">
        <v>3360205</v>
      </c>
      <c r="E149" s="52"/>
      <c r="F149" s="52"/>
      <c r="G149" s="49"/>
      <c r="H149" s="49" t="s">
        <v>1554</v>
      </c>
      <c r="K149" s="61">
        <v>0</v>
      </c>
      <c r="L149" s="61">
        <v>0</v>
      </c>
      <c r="M149" s="61">
        <v>6</v>
      </c>
      <c r="N149" s="61">
        <v>9</v>
      </c>
      <c r="O149" s="61">
        <v>15</v>
      </c>
      <c r="Q149" s="45"/>
      <c r="R149" s="45"/>
    </row>
    <row r="150" spans="1:21" x14ac:dyDescent="0.25">
      <c r="A150" s="139"/>
      <c r="B150" s="47" t="s">
        <v>1853</v>
      </c>
      <c r="C150" s="60" t="s">
        <v>2245</v>
      </c>
      <c r="D150" s="119">
        <v>3360205</v>
      </c>
      <c r="E150" s="52"/>
      <c r="F150" s="52"/>
      <c r="G150" s="49"/>
      <c r="H150" s="49" t="s">
        <v>1554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Q150" s="45"/>
      <c r="R150" s="45"/>
    </row>
    <row r="151" spans="1:21" x14ac:dyDescent="0.25">
      <c r="A151" s="139"/>
      <c r="B151" s="47" t="s">
        <v>1853</v>
      </c>
      <c r="C151" s="60" t="s">
        <v>1857</v>
      </c>
      <c r="D151" s="119">
        <v>3360205</v>
      </c>
      <c r="E151" s="119">
        <v>3360205</v>
      </c>
      <c r="F151" s="119">
        <v>65</v>
      </c>
      <c r="G151" s="120"/>
      <c r="H151" s="120" t="s">
        <v>1554</v>
      </c>
      <c r="I151" s="76"/>
      <c r="J151" s="76"/>
      <c r="K151" s="76">
        <v>3</v>
      </c>
      <c r="L151" s="76">
        <v>2</v>
      </c>
      <c r="M151" s="76">
        <v>2</v>
      </c>
      <c r="N151" s="76">
        <v>2</v>
      </c>
      <c r="O151" s="76">
        <v>9</v>
      </c>
      <c r="P151" s="77">
        <f>SUM(O148:O151)*1000</f>
        <v>218000</v>
      </c>
      <c r="Q151" s="45">
        <f>SUM(P151/76650)</f>
        <v>2.8440965427266796</v>
      </c>
      <c r="R151" s="45">
        <f>SUM(Q151*600)</f>
        <v>1706.4579256360078</v>
      </c>
      <c r="S151" s="65">
        <v>2.84</v>
      </c>
      <c r="T151" s="127">
        <v>1.83</v>
      </c>
      <c r="U151" s="132" t="s">
        <v>2243</v>
      </c>
    </row>
    <row r="152" spans="1:21" x14ac:dyDescent="0.25">
      <c r="A152" s="139" t="s">
        <v>1858</v>
      </c>
      <c r="B152" s="47" t="s">
        <v>1859</v>
      </c>
      <c r="C152" s="47" t="s">
        <v>1860</v>
      </c>
      <c r="D152" s="52">
        <v>3360500</v>
      </c>
      <c r="E152" s="52"/>
      <c r="F152" s="52"/>
      <c r="G152" s="49"/>
      <c r="H152" s="49" t="s">
        <v>1554</v>
      </c>
      <c r="K152" s="68">
        <v>1114</v>
      </c>
      <c r="L152" s="68">
        <v>1371</v>
      </c>
      <c r="M152" s="68">
        <v>1018</v>
      </c>
      <c r="N152" s="68">
        <v>766</v>
      </c>
      <c r="O152" s="68">
        <v>4269</v>
      </c>
      <c r="P152" s="72"/>
      <c r="Q152" s="45"/>
      <c r="R152" s="45"/>
    </row>
    <row r="153" spans="1:21" x14ac:dyDescent="0.25">
      <c r="A153" s="139" t="s">
        <v>1861</v>
      </c>
      <c r="B153" s="47" t="s">
        <v>1859</v>
      </c>
      <c r="C153" s="47" t="s">
        <v>1860</v>
      </c>
      <c r="D153" s="52">
        <v>3360500</v>
      </c>
      <c r="E153" s="52"/>
      <c r="F153" s="52"/>
      <c r="G153" s="49"/>
      <c r="H153" s="49" t="s">
        <v>1554</v>
      </c>
      <c r="K153" s="68">
        <v>1175</v>
      </c>
      <c r="L153" s="68">
        <v>1418</v>
      </c>
      <c r="M153" s="68">
        <v>1240</v>
      </c>
      <c r="N153" s="68">
        <v>1081</v>
      </c>
      <c r="O153" s="68">
        <v>4914</v>
      </c>
      <c r="P153" s="72"/>
      <c r="Q153" s="45"/>
      <c r="R153" s="45"/>
    </row>
    <row r="154" spans="1:21" s="60" customFormat="1" x14ac:dyDescent="0.25">
      <c r="A154" s="139" t="s">
        <v>1862</v>
      </c>
      <c r="B154" s="47" t="s">
        <v>1859</v>
      </c>
      <c r="C154" s="47" t="s">
        <v>1860</v>
      </c>
      <c r="D154" s="52">
        <v>3360500</v>
      </c>
      <c r="E154" s="52">
        <v>3360500</v>
      </c>
      <c r="F154" s="52">
        <v>66</v>
      </c>
      <c r="G154" s="49"/>
      <c r="H154" s="49" t="s">
        <v>1554</v>
      </c>
      <c r="K154" s="68">
        <v>22</v>
      </c>
      <c r="L154" s="68">
        <v>31</v>
      </c>
      <c r="M154" s="68">
        <v>0</v>
      </c>
      <c r="N154" s="68">
        <v>3</v>
      </c>
      <c r="O154" s="68">
        <v>56</v>
      </c>
      <c r="P154" s="72">
        <f>SUM(O152:O154)*1000</f>
        <v>9239000</v>
      </c>
      <c r="Q154" s="45">
        <f t="shared" si="9"/>
        <v>120.53489889106328</v>
      </c>
      <c r="R154" s="45">
        <f t="shared" si="10"/>
        <v>72320.939334637966</v>
      </c>
      <c r="S154" s="72">
        <v>120.53</v>
      </c>
      <c r="T154" s="126">
        <v>120.21</v>
      </c>
      <c r="U154" s="131" t="s">
        <v>2243</v>
      </c>
    </row>
    <row r="155" spans="1:21" x14ac:dyDescent="0.25">
      <c r="A155" s="139" t="s">
        <v>1864</v>
      </c>
      <c r="B155" s="47" t="s">
        <v>1865</v>
      </c>
      <c r="C155" s="47" t="s">
        <v>1866</v>
      </c>
      <c r="D155" s="52">
        <v>3820018</v>
      </c>
      <c r="E155" s="52">
        <v>3820018</v>
      </c>
      <c r="F155" s="52">
        <v>68</v>
      </c>
      <c r="G155" s="49"/>
      <c r="H155" s="49" t="s">
        <v>1554</v>
      </c>
      <c r="K155" s="61">
        <v>18</v>
      </c>
      <c r="L155" s="61">
        <v>19</v>
      </c>
      <c r="M155" s="61">
        <v>18</v>
      </c>
      <c r="N155" s="61">
        <v>15</v>
      </c>
      <c r="O155" s="61">
        <v>76.650000000000006</v>
      </c>
      <c r="P155" s="72">
        <f>SUM(O155*1000)</f>
        <v>76650</v>
      </c>
      <c r="Q155" s="45">
        <f t="shared" si="9"/>
        <v>1</v>
      </c>
      <c r="R155" s="45">
        <f t="shared" si="10"/>
        <v>600</v>
      </c>
      <c r="S155" s="65">
        <v>1</v>
      </c>
      <c r="T155" s="127">
        <v>1</v>
      </c>
      <c r="U155" s="132" t="s">
        <v>2242</v>
      </c>
    </row>
    <row r="156" spans="1:21" x14ac:dyDescent="0.25">
      <c r="A156" s="139" t="s">
        <v>1867</v>
      </c>
      <c r="B156" s="47" t="s">
        <v>1868</v>
      </c>
      <c r="C156" s="47" t="s">
        <v>2055</v>
      </c>
      <c r="D156" s="98">
        <v>3890106</v>
      </c>
      <c r="E156" s="98">
        <v>3890106</v>
      </c>
      <c r="F156" s="52">
        <v>69</v>
      </c>
      <c r="G156" s="49"/>
      <c r="H156" s="49" t="s">
        <v>1625</v>
      </c>
      <c r="K156" s="68"/>
      <c r="L156" s="68"/>
      <c r="M156" s="68"/>
      <c r="N156" s="68"/>
      <c r="O156" s="68">
        <v>76.650000000000006</v>
      </c>
      <c r="P156" s="65">
        <v>76650</v>
      </c>
      <c r="Q156" s="45">
        <f t="shared" si="9"/>
        <v>1</v>
      </c>
      <c r="R156" s="45">
        <f t="shared" si="10"/>
        <v>600</v>
      </c>
      <c r="S156" s="65">
        <v>1</v>
      </c>
      <c r="T156" s="127">
        <v>1</v>
      </c>
      <c r="U156" s="132" t="s">
        <v>2242</v>
      </c>
    </row>
    <row r="157" spans="1:21" x14ac:dyDescent="0.25">
      <c r="A157" s="139" t="s">
        <v>1869</v>
      </c>
      <c r="B157" s="47" t="s">
        <v>1870</v>
      </c>
      <c r="C157" s="61" t="s">
        <v>944</v>
      </c>
      <c r="D157" s="52">
        <v>3900020</v>
      </c>
      <c r="E157" s="52"/>
      <c r="F157" s="52"/>
      <c r="G157" s="49"/>
      <c r="H157" s="49" t="s">
        <v>1554</v>
      </c>
      <c r="K157" s="61">
        <v>115</v>
      </c>
      <c r="L157" s="61">
        <v>48</v>
      </c>
      <c r="M157" s="61">
        <v>96</v>
      </c>
      <c r="N157" s="61">
        <v>53</v>
      </c>
      <c r="O157" s="61">
        <v>312</v>
      </c>
      <c r="Q157" s="45"/>
      <c r="R157" s="45"/>
    </row>
    <row r="158" spans="1:21" x14ac:dyDescent="0.25">
      <c r="A158" s="139" t="s">
        <v>1872</v>
      </c>
      <c r="B158" s="47" t="s">
        <v>1870</v>
      </c>
      <c r="C158" s="61" t="s">
        <v>944</v>
      </c>
      <c r="D158" s="52">
        <v>3900020</v>
      </c>
      <c r="E158" s="52">
        <v>3900020</v>
      </c>
      <c r="F158" s="52">
        <v>70</v>
      </c>
      <c r="G158" s="49"/>
      <c r="H158" s="49" t="s">
        <v>1554</v>
      </c>
      <c r="K158" s="61">
        <v>111</v>
      </c>
      <c r="L158" s="61">
        <v>52</v>
      </c>
      <c r="M158" s="61">
        <v>85</v>
      </c>
      <c r="N158" s="61">
        <v>60</v>
      </c>
      <c r="O158" s="61">
        <v>308</v>
      </c>
      <c r="P158" s="65">
        <f>SUM(O157:O158)*1000</f>
        <v>620000</v>
      </c>
      <c r="Q158" s="45">
        <f t="shared" si="9"/>
        <v>8.088714938030007</v>
      </c>
      <c r="R158" s="45">
        <f t="shared" si="10"/>
        <v>4853.2289628180042</v>
      </c>
      <c r="S158" s="65">
        <v>8.09</v>
      </c>
      <c r="T158" s="127">
        <v>5.89</v>
      </c>
      <c r="U158" s="132" t="s">
        <v>2243</v>
      </c>
    </row>
    <row r="159" spans="1:21" x14ac:dyDescent="0.25">
      <c r="A159" s="139" t="s">
        <v>1873</v>
      </c>
      <c r="B159" s="61" t="s">
        <v>1420</v>
      </c>
      <c r="C159" s="47" t="s">
        <v>1874</v>
      </c>
      <c r="D159" s="52">
        <v>3900025</v>
      </c>
      <c r="E159" s="46"/>
      <c r="F159" s="52"/>
      <c r="G159" s="49"/>
      <c r="H159" s="49" t="s">
        <v>1554</v>
      </c>
      <c r="K159" s="61">
        <v>12</v>
      </c>
      <c r="L159" s="61">
        <v>158</v>
      </c>
      <c r="M159" s="61">
        <v>110</v>
      </c>
      <c r="N159" s="61">
        <v>0</v>
      </c>
      <c r="O159" s="61">
        <v>280</v>
      </c>
      <c r="Q159" s="45"/>
      <c r="R159" s="45"/>
    </row>
    <row r="160" spans="1:21" s="60" customFormat="1" x14ac:dyDescent="0.25">
      <c r="A160" s="139" t="s">
        <v>1875</v>
      </c>
      <c r="B160" s="60" t="s">
        <v>1422</v>
      </c>
      <c r="C160" s="47" t="s">
        <v>1874</v>
      </c>
      <c r="D160" s="52">
        <v>3900025</v>
      </c>
      <c r="E160" s="52">
        <v>3900025</v>
      </c>
      <c r="F160" s="52">
        <v>71</v>
      </c>
      <c r="G160" s="49"/>
      <c r="H160" s="49" t="s">
        <v>1554</v>
      </c>
      <c r="K160" s="60">
        <v>106</v>
      </c>
      <c r="L160" s="60">
        <v>263</v>
      </c>
      <c r="M160" s="60">
        <v>212</v>
      </c>
      <c r="N160" s="60">
        <v>74</v>
      </c>
      <c r="O160" s="60">
        <v>655</v>
      </c>
      <c r="P160" s="72">
        <f>SUM(O160-O159)*1000</f>
        <v>375000</v>
      </c>
      <c r="Q160" s="45">
        <f t="shared" si="9"/>
        <v>4.8923679060665366</v>
      </c>
      <c r="R160" s="45">
        <f t="shared" si="10"/>
        <v>2935.420743639922</v>
      </c>
      <c r="S160" s="72">
        <v>4.8899999999999997</v>
      </c>
      <c r="T160" s="126">
        <v>8.3699999999999992</v>
      </c>
      <c r="U160" s="132" t="s">
        <v>2241</v>
      </c>
    </row>
    <row r="161" spans="1:21" x14ac:dyDescent="0.25">
      <c r="A161" s="143"/>
      <c r="B161" s="47" t="s">
        <v>1876</v>
      </c>
      <c r="C161" s="47" t="s">
        <v>1877</v>
      </c>
      <c r="D161" s="46">
        <v>3410030</v>
      </c>
      <c r="E161" s="46"/>
      <c r="F161" s="52"/>
      <c r="G161" s="49"/>
      <c r="H161" s="49" t="s">
        <v>1625</v>
      </c>
      <c r="K161" s="61">
        <v>177</v>
      </c>
      <c r="L161" s="61">
        <v>76</v>
      </c>
      <c r="M161" s="61">
        <v>132</v>
      </c>
      <c r="N161" s="61">
        <v>122</v>
      </c>
      <c r="O161" s="61">
        <v>507</v>
      </c>
      <c r="Q161" s="45"/>
      <c r="R161" s="45"/>
    </row>
    <row r="162" spans="1:21" x14ac:dyDescent="0.25">
      <c r="A162" s="143"/>
      <c r="B162" s="47" t="s">
        <v>1876</v>
      </c>
      <c r="C162" s="47" t="s">
        <v>1877</v>
      </c>
      <c r="D162" s="46">
        <v>3410030</v>
      </c>
      <c r="E162" s="46">
        <v>3410030</v>
      </c>
      <c r="F162" s="52">
        <v>72</v>
      </c>
      <c r="G162" s="49"/>
      <c r="H162" s="49" t="s">
        <v>1625</v>
      </c>
      <c r="K162" s="61">
        <v>236</v>
      </c>
      <c r="L162" s="61">
        <v>192</v>
      </c>
      <c r="M162" s="61">
        <v>48</v>
      </c>
      <c r="N162" s="61">
        <v>0</v>
      </c>
      <c r="O162" s="61">
        <v>476</v>
      </c>
      <c r="P162" s="65">
        <v>76650</v>
      </c>
      <c r="Q162" s="45">
        <f t="shared" si="9"/>
        <v>1</v>
      </c>
      <c r="R162" s="45">
        <f t="shared" si="10"/>
        <v>600</v>
      </c>
      <c r="S162" s="65">
        <v>1</v>
      </c>
      <c r="T162" s="127">
        <v>4.13</v>
      </c>
      <c r="U162" s="132" t="s">
        <v>2241</v>
      </c>
    </row>
    <row r="163" spans="1:21" x14ac:dyDescent="0.25">
      <c r="A163" s="139" t="s">
        <v>1878</v>
      </c>
      <c r="B163" s="61" t="s">
        <v>366</v>
      </c>
      <c r="C163" s="47" t="s">
        <v>1879</v>
      </c>
      <c r="D163" s="52">
        <v>3900038</v>
      </c>
      <c r="E163" s="52"/>
      <c r="F163" s="52"/>
      <c r="G163" s="49"/>
      <c r="H163" s="49" t="s">
        <v>1554</v>
      </c>
      <c r="K163" s="61">
        <v>15</v>
      </c>
      <c r="L163" s="61">
        <v>154</v>
      </c>
      <c r="M163" s="61">
        <v>73</v>
      </c>
      <c r="N163" s="61">
        <v>0</v>
      </c>
      <c r="O163" s="61">
        <v>242</v>
      </c>
      <c r="Q163" s="45"/>
      <c r="R163" s="45"/>
    </row>
    <row r="164" spans="1:21" s="60" customFormat="1" x14ac:dyDescent="0.25">
      <c r="A164" s="139" t="s">
        <v>1880</v>
      </c>
      <c r="B164" s="60" t="s">
        <v>370</v>
      </c>
      <c r="C164" s="47" t="s">
        <v>1881</v>
      </c>
      <c r="D164" s="52">
        <v>3900038</v>
      </c>
      <c r="E164" s="52">
        <v>3900038</v>
      </c>
      <c r="F164" s="52">
        <v>73</v>
      </c>
      <c r="G164" s="49"/>
      <c r="H164" s="49" t="s">
        <v>1554</v>
      </c>
      <c r="K164" s="60">
        <v>21</v>
      </c>
      <c r="L164" s="60">
        <v>162</v>
      </c>
      <c r="M164" s="60">
        <v>81</v>
      </c>
      <c r="N164" s="60">
        <v>9</v>
      </c>
      <c r="O164" s="60">
        <v>273</v>
      </c>
      <c r="P164" s="72">
        <v>76650</v>
      </c>
      <c r="Q164" s="45">
        <f t="shared" si="9"/>
        <v>1</v>
      </c>
      <c r="R164" s="45">
        <f t="shared" si="10"/>
        <v>600</v>
      </c>
      <c r="S164" s="72">
        <v>1</v>
      </c>
      <c r="T164" s="126">
        <v>2.5499999999999998</v>
      </c>
      <c r="U164" s="132" t="s">
        <v>2241</v>
      </c>
    </row>
    <row r="165" spans="1:21" x14ac:dyDescent="0.25">
      <c r="A165" s="139" t="s">
        <v>1882</v>
      </c>
      <c r="B165" s="47" t="s">
        <v>1883</v>
      </c>
      <c r="C165" s="47" t="s">
        <v>1884</v>
      </c>
      <c r="D165" s="52">
        <v>3900060</v>
      </c>
      <c r="E165" s="52"/>
      <c r="F165" s="52"/>
      <c r="G165" s="49"/>
      <c r="H165" s="49" t="s">
        <v>1554</v>
      </c>
      <c r="K165" s="61">
        <v>0</v>
      </c>
      <c r="L165" s="61">
        <v>0</v>
      </c>
      <c r="M165" s="61">
        <v>0</v>
      </c>
      <c r="N165" s="61">
        <v>62</v>
      </c>
      <c r="O165" s="61">
        <v>62</v>
      </c>
      <c r="Q165" s="45"/>
      <c r="R165" s="45"/>
    </row>
    <row r="166" spans="1:21" x14ac:dyDescent="0.25">
      <c r="A166" s="143"/>
      <c r="B166" s="47" t="s">
        <v>1883</v>
      </c>
      <c r="C166" s="61" t="s">
        <v>1434</v>
      </c>
      <c r="D166" s="52">
        <v>3900060</v>
      </c>
      <c r="E166" s="60">
        <v>3900060</v>
      </c>
      <c r="F166" s="68">
        <v>73</v>
      </c>
      <c r="H166" s="49" t="s">
        <v>1554</v>
      </c>
      <c r="K166" s="61">
        <v>0</v>
      </c>
      <c r="L166" s="61">
        <v>1</v>
      </c>
      <c r="M166" s="61">
        <v>131</v>
      </c>
      <c r="N166" s="61">
        <v>125</v>
      </c>
      <c r="O166" s="61">
        <v>257</v>
      </c>
      <c r="P166" s="65">
        <f>SUM(O165:O166)*1000</f>
        <v>319000</v>
      </c>
      <c r="Q166" s="45">
        <f t="shared" si="9"/>
        <v>4.1617742987606006</v>
      </c>
      <c r="R166" s="45">
        <f t="shared" si="10"/>
        <v>2497.0645792563605</v>
      </c>
      <c r="S166" s="65">
        <v>4.16</v>
      </c>
      <c r="T166" s="127">
        <v>11.06</v>
      </c>
      <c r="U166" s="132" t="s">
        <v>2241</v>
      </c>
    </row>
    <row r="167" spans="1:21" x14ac:dyDescent="0.25">
      <c r="A167" s="143"/>
      <c r="B167" s="61" t="s">
        <v>1466</v>
      </c>
      <c r="C167" s="61" t="s">
        <v>1465</v>
      </c>
      <c r="D167" s="52">
        <v>3970034</v>
      </c>
      <c r="H167" s="49" t="s">
        <v>1554</v>
      </c>
      <c r="K167" s="61">
        <v>28</v>
      </c>
      <c r="L167" s="61">
        <v>67</v>
      </c>
      <c r="M167" s="61">
        <v>49</v>
      </c>
      <c r="N167" s="61">
        <v>20</v>
      </c>
      <c r="O167" s="61">
        <v>164</v>
      </c>
      <c r="P167" s="65">
        <v>164000</v>
      </c>
      <c r="Q167" s="45">
        <f t="shared" si="9"/>
        <v>2.1395955642530984</v>
      </c>
      <c r="R167" s="45">
        <f t="shared" si="10"/>
        <v>1283.757338551859</v>
      </c>
      <c r="S167" s="65">
        <v>2.14</v>
      </c>
      <c r="T167" s="127">
        <v>5.24</v>
      </c>
      <c r="U167" s="132" t="s">
        <v>2241</v>
      </c>
    </row>
    <row r="168" spans="1:21" s="71" customFormat="1" x14ac:dyDescent="0.25">
      <c r="A168" s="143"/>
      <c r="B168" s="71" t="s">
        <v>1466</v>
      </c>
      <c r="C168" s="71" t="s">
        <v>1452</v>
      </c>
      <c r="D168" s="93">
        <v>3970034</v>
      </c>
      <c r="E168" s="71">
        <v>3970034</v>
      </c>
      <c r="F168" s="87">
        <v>74</v>
      </c>
      <c r="G168" s="86" t="s">
        <v>1570</v>
      </c>
      <c r="H168" s="94" t="s">
        <v>1554</v>
      </c>
      <c r="K168" s="71">
        <v>47</v>
      </c>
      <c r="L168" s="71">
        <v>593</v>
      </c>
      <c r="M168" s="71">
        <v>584</v>
      </c>
      <c r="N168" s="71">
        <v>0</v>
      </c>
      <c r="O168" s="71">
        <v>1224</v>
      </c>
      <c r="P168" s="72"/>
      <c r="Q168" s="45">
        <f t="shared" si="9"/>
        <v>0</v>
      </c>
      <c r="R168" s="45"/>
      <c r="S168" s="72"/>
      <c r="T168" s="126"/>
      <c r="U168" s="131"/>
    </row>
    <row r="169" spans="1:21" x14ac:dyDescent="0.25">
      <c r="A169" s="143"/>
      <c r="B169" s="61" t="s">
        <v>462</v>
      </c>
      <c r="C169" s="61" t="s">
        <v>461</v>
      </c>
      <c r="D169" s="52">
        <v>3970100</v>
      </c>
      <c r="H169" s="49" t="s">
        <v>1554</v>
      </c>
      <c r="K169" s="61">
        <v>126</v>
      </c>
      <c r="L169" s="61">
        <v>904</v>
      </c>
      <c r="M169" s="61">
        <v>538</v>
      </c>
      <c r="N169" s="61">
        <v>118</v>
      </c>
      <c r="O169" s="61">
        <v>464</v>
      </c>
      <c r="P169" s="72"/>
      <c r="Q169" s="45"/>
      <c r="R169" s="45"/>
      <c r="S169" s="72"/>
      <c r="T169" s="126"/>
      <c r="U169" s="131"/>
    </row>
    <row r="170" spans="1:21" s="60" customFormat="1" x14ac:dyDescent="0.25">
      <c r="A170" s="143"/>
      <c r="B170" s="60" t="s">
        <v>452</v>
      </c>
      <c r="C170" s="47" t="s">
        <v>1904</v>
      </c>
      <c r="D170" s="52">
        <v>3970100</v>
      </c>
      <c r="F170" s="68"/>
      <c r="G170" s="66"/>
      <c r="H170" s="49" t="s">
        <v>1554</v>
      </c>
      <c r="K170" s="60">
        <v>10</v>
      </c>
      <c r="L170" s="60">
        <v>787</v>
      </c>
      <c r="M170" s="60">
        <v>425</v>
      </c>
      <c r="N170" s="60">
        <v>0</v>
      </c>
      <c r="O170" s="60">
        <v>1222</v>
      </c>
      <c r="P170" s="72"/>
      <c r="Q170" s="45"/>
      <c r="R170" s="45"/>
      <c r="S170" s="72"/>
      <c r="T170" s="126"/>
      <c r="U170" s="131"/>
    </row>
    <row r="171" spans="1:21" x14ac:dyDescent="0.25">
      <c r="A171" s="143"/>
      <c r="B171" s="61" t="s">
        <v>937</v>
      </c>
      <c r="C171" s="61" t="s">
        <v>935</v>
      </c>
      <c r="D171" s="52">
        <v>3970100</v>
      </c>
      <c r="E171" s="60">
        <v>3970100</v>
      </c>
      <c r="F171" s="68">
        <v>75</v>
      </c>
      <c r="H171" s="49" t="s">
        <v>1554</v>
      </c>
      <c r="K171" s="61">
        <v>250</v>
      </c>
      <c r="L171" s="61">
        <v>215</v>
      </c>
      <c r="M171" s="61">
        <v>181</v>
      </c>
      <c r="N171" s="61">
        <v>163</v>
      </c>
      <c r="O171" s="61">
        <v>809</v>
      </c>
      <c r="P171" s="65">
        <f>SUM(O169:O171)*1000</f>
        <v>2495000</v>
      </c>
      <c r="Q171" s="45">
        <f t="shared" si="9"/>
        <v>32.550554468362691</v>
      </c>
      <c r="R171" s="45">
        <f t="shared" si="10"/>
        <v>19530.332681017615</v>
      </c>
      <c r="S171" s="65">
        <v>32.549999999999997</v>
      </c>
      <c r="T171" s="127">
        <v>33.49</v>
      </c>
      <c r="U171" s="132" t="s">
        <v>2241</v>
      </c>
    </row>
    <row r="172" spans="1:21" x14ac:dyDescent="0.25">
      <c r="A172" s="139" t="s">
        <v>1885</v>
      </c>
      <c r="B172" s="47" t="s">
        <v>1886</v>
      </c>
      <c r="C172" s="47" t="s">
        <v>1887</v>
      </c>
      <c r="D172" s="52">
        <v>3970101</v>
      </c>
      <c r="E172" s="52">
        <v>3970101</v>
      </c>
      <c r="F172" s="52">
        <v>76</v>
      </c>
      <c r="G172" s="49"/>
      <c r="H172" s="49" t="s">
        <v>1554</v>
      </c>
      <c r="K172" s="61">
        <v>23</v>
      </c>
      <c r="L172" s="61">
        <v>216</v>
      </c>
      <c r="M172" s="61">
        <v>38</v>
      </c>
      <c r="N172" s="61">
        <v>5</v>
      </c>
      <c r="O172" s="61">
        <v>282</v>
      </c>
      <c r="P172" s="65">
        <v>282000</v>
      </c>
      <c r="Q172" s="45">
        <f t="shared" si="9"/>
        <v>3.679060665362035</v>
      </c>
      <c r="R172" s="45">
        <f t="shared" si="10"/>
        <v>2207.4363992172212</v>
      </c>
      <c r="S172" s="65">
        <v>3.68</v>
      </c>
      <c r="T172" s="127">
        <v>3.53</v>
      </c>
      <c r="U172" s="132" t="s">
        <v>2243</v>
      </c>
    </row>
    <row r="173" spans="1:21" x14ac:dyDescent="0.25">
      <c r="A173" s="139" t="s">
        <v>1888</v>
      </c>
      <c r="B173" s="47" t="s">
        <v>1889</v>
      </c>
      <c r="C173" s="47" t="s">
        <v>1890</v>
      </c>
      <c r="D173" s="52">
        <v>3971111</v>
      </c>
      <c r="E173" s="52">
        <v>3911111</v>
      </c>
      <c r="F173" s="52">
        <v>77</v>
      </c>
      <c r="G173" s="49"/>
      <c r="H173" s="49" t="s">
        <v>1554</v>
      </c>
      <c r="K173" s="61">
        <v>52</v>
      </c>
      <c r="L173" s="61">
        <v>30</v>
      </c>
      <c r="M173" s="61">
        <v>51</v>
      </c>
      <c r="N173" s="61">
        <v>101</v>
      </c>
      <c r="O173" s="61">
        <v>234</v>
      </c>
      <c r="P173" s="65">
        <v>234000</v>
      </c>
      <c r="Q173" s="45">
        <f t="shared" si="9"/>
        <v>3.0528375733855184</v>
      </c>
      <c r="R173" s="45">
        <f t="shared" si="10"/>
        <v>1831.7025440313112</v>
      </c>
      <c r="S173" s="65">
        <v>3.05</v>
      </c>
      <c r="T173" s="127">
        <v>1.58</v>
      </c>
      <c r="U173" s="132" t="s">
        <v>2243</v>
      </c>
    </row>
    <row r="174" spans="1:21" x14ac:dyDescent="0.25">
      <c r="A174" s="139" t="s">
        <v>1891</v>
      </c>
      <c r="B174" s="61" t="s">
        <v>464</v>
      </c>
      <c r="C174" s="47" t="s">
        <v>1892</v>
      </c>
      <c r="D174" s="52">
        <v>3970117</v>
      </c>
      <c r="E174" s="52"/>
      <c r="F174" s="52"/>
      <c r="G174" s="49"/>
      <c r="H174" s="49" t="s">
        <v>1554</v>
      </c>
      <c r="K174" s="61">
        <v>543</v>
      </c>
      <c r="L174" s="61">
        <v>1164</v>
      </c>
      <c r="M174" s="61">
        <v>839</v>
      </c>
      <c r="N174" s="61">
        <v>362</v>
      </c>
      <c r="O174" s="61">
        <v>2908</v>
      </c>
      <c r="Q174" s="45"/>
      <c r="R174" s="45"/>
    </row>
    <row r="175" spans="1:21" s="60" customFormat="1" x14ac:dyDescent="0.25">
      <c r="A175" s="139" t="s">
        <v>1893</v>
      </c>
      <c r="B175" s="60" t="s">
        <v>456</v>
      </c>
      <c r="C175" s="47" t="s">
        <v>1892</v>
      </c>
      <c r="D175" s="52">
        <v>3970117</v>
      </c>
      <c r="E175" s="52">
        <v>3970117</v>
      </c>
      <c r="F175" s="52">
        <v>78</v>
      </c>
      <c r="G175" s="49"/>
      <c r="H175" s="49" t="s">
        <v>1554</v>
      </c>
      <c r="K175" s="60">
        <v>58</v>
      </c>
      <c r="L175" s="60">
        <v>740</v>
      </c>
      <c r="M175" s="60">
        <v>357</v>
      </c>
      <c r="N175" s="60">
        <v>0</v>
      </c>
      <c r="O175" s="60">
        <v>1155</v>
      </c>
      <c r="P175" s="72">
        <f>SUM(O174-O175)*1000</f>
        <v>1753000</v>
      </c>
      <c r="Q175" s="45">
        <f t="shared" si="9"/>
        <v>22.870189171559034</v>
      </c>
      <c r="R175" s="45">
        <f t="shared" si="10"/>
        <v>13722.113502935421</v>
      </c>
      <c r="S175" s="72">
        <v>22.87</v>
      </c>
      <c r="T175" s="126">
        <v>41.67</v>
      </c>
      <c r="U175" s="132" t="s">
        <v>2241</v>
      </c>
    </row>
    <row r="176" spans="1:21" x14ac:dyDescent="0.25">
      <c r="A176" s="139" t="s">
        <v>1894</v>
      </c>
      <c r="B176" s="47" t="s">
        <v>1895</v>
      </c>
      <c r="C176" s="47" t="s">
        <v>1896</v>
      </c>
      <c r="D176" s="52">
        <v>3970145</v>
      </c>
      <c r="E176" s="52">
        <v>3970145</v>
      </c>
      <c r="F176" s="52">
        <v>79</v>
      </c>
      <c r="G176" s="49"/>
      <c r="H176" s="49" t="s">
        <v>1554</v>
      </c>
      <c r="K176" s="51">
        <v>2</v>
      </c>
      <c r="L176" s="51">
        <v>3</v>
      </c>
      <c r="M176" s="51">
        <v>2</v>
      </c>
      <c r="N176" s="51">
        <v>2</v>
      </c>
      <c r="O176" s="51">
        <v>76.650000000000006</v>
      </c>
      <c r="P176" s="72">
        <f>SUM(O176)*1000</f>
        <v>76650</v>
      </c>
      <c r="Q176" s="45">
        <f t="shared" si="9"/>
        <v>1</v>
      </c>
      <c r="R176" s="45">
        <f t="shared" si="10"/>
        <v>600</v>
      </c>
      <c r="S176" s="65">
        <v>1</v>
      </c>
      <c r="T176" s="127">
        <v>1</v>
      </c>
      <c r="U176" s="132" t="s">
        <v>2242</v>
      </c>
    </row>
    <row r="177" spans="1:21" x14ac:dyDescent="0.25">
      <c r="A177" s="139" t="s">
        <v>1897</v>
      </c>
      <c r="B177" s="47" t="s">
        <v>1898</v>
      </c>
      <c r="C177" s="47" t="s">
        <v>1899</v>
      </c>
      <c r="D177" s="52">
        <v>3970147</v>
      </c>
      <c r="E177" s="52">
        <v>3970147</v>
      </c>
      <c r="F177" s="52">
        <v>80</v>
      </c>
      <c r="G177" s="49"/>
      <c r="H177" s="49" t="s">
        <v>1554</v>
      </c>
      <c r="P177" s="72"/>
      <c r="Q177" s="45"/>
      <c r="R177" s="45"/>
      <c r="S177" s="65">
        <v>1</v>
      </c>
    </row>
    <row r="178" spans="1:21" x14ac:dyDescent="0.25">
      <c r="A178" s="139" t="s">
        <v>1900</v>
      </c>
      <c r="B178" s="47" t="s">
        <v>1901</v>
      </c>
      <c r="C178" s="61" t="s">
        <v>405</v>
      </c>
      <c r="D178" s="52">
        <v>3970139</v>
      </c>
      <c r="E178" s="61"/>
      <c r="F178" s="52"/>
      <c r="G178" s="49"/>
      <c r="H178" s="49" t="s">
        <v>1554</v>
      </c>
      <c r="K178" s="61">
        <v>0</v>
      </c>
      <c r="L178" s="61">
        <v>3</v>
      </c>
      <c r="M178" s="61">
        <v>3</v>
      </c>
      <c r="N178" s="61">
        <v>3</v>
      </c>
      <c r="O178" s="61">
        <v>9</v>
      </c>
      <c r="P178" s="72"/>
      <c r="Q178" s="45"/>
      <c r="R178" s="45"/>
    </row>
    <row r="179" spans="1:21" x14ac:dyDescent="0.25">
      <c r="A179" s="139"/>
      <c r="B179" s="47" t="s">
        <v>1901</v>
      </c>
      <c r="C179" s="61" t="s">
        <v>409</v>
      </c>
      <c r="D179" s="52">
        <v>3970139</v>
      </c>
      <c r="E179" s="52">
        <v>3070139</v>
      </c>
      <c r="F179" s="52">
        <v>81</v>
      </c>
      <c r="G179" s="49"/>
      <c r="H179" s="49" t="s">
        <v>1554</v>
      </c>
      <c r="K179" s="61">
        <v>2</v>
      </c>
      <c r="L179" s="61">
        <v>1</v>
      </c>
      <c r="M179" s="61">
        <v>0</v>
      </c>
      <c r="N179" s="61">
        <v>0</v>
      </c>
      <c r="O179" s="61">
        <v>76.650000000000006</v>
      </c>
      <c r="P179" s="72">
        <f t="shared" ref="P179" si="11">SUM(O179)*1000</f>
        <v>76650</v>
      </c>
      <c r="Q179" s="45">
        <f t="shared" si="9"/>
        <v>1</v>
      </c>
      <c r="R179" s="45">
        <f t="shared" si="10"/>
        <v>600</v>
      </c>
      <c r="S179" s="65">
        <v>1</v>
      </c>
      <c r="T179" s="127">
        <v>1</v>
      </c>
      <c r="U179" s="132" t="s">
        <v>2242</v>
      </c>
    </row>
    <row r="180" spans="1:21" x14ac:dyDescent="0.25">
      <c r="A180" s="139" t="s">
        <v>1902</v>
      </c>
      <c r="B180" s="47" t="s">
        <v>1903</v>
      </c>
      <c r="C180" s="61" t="s">
        <v>380</v>
      </c>
      <c r="D180" s="119">
        <v>3970124</v>
      </c>
      <c r="E180" s="52"/>
      <c r="F180" s="52"/>
      <c r="G180" s="49"/>
      <c r="H180" s="49" t="s">
        <v>1554</v>
      </c>
      <c r="K180" s="61">
        <v>3</v>
      </c>
      <c r="L180" s="61">
        <v>4</v>
      </c>
      <c r="M180" s="61">
        <v>11</v>
      </c>
      <c r="N180" s="61">
        <v>11</v>
      </c>
      <c r="O180" s="61">
        <v>29</v>
      </c>
      <c r="Q180" s="45"/>
      <c r="R180" s="45"/>
    </row>
    <row r="181" spans="1:21" x14ac:dyDescent="0.25">
      <c r="A181" s="139" t="s">
        <v>1905</v>
      </c>
      <c r="B181" s="47" t="s">
        <v>1903</v>
      </c>
      <c r="C181" s="61" t="s">
        <v>380</v>
      </c>
      <c r="D181" s="119">
        <v>3970124</v>
      </c>
      <c r="E181" s="52"/>
      <c r="F181" s="52"/>
      <c r="G181" s="49"/>
      <c r="H181" s="49" t="s">
        <v>1554</v>
      </c>
      <c r="K181" s="61">
        <v>1</v>
      </c>
      <c r="L181" s="61">
        <v>116</v>
      </c>
      <c r="M181" s="61">
        <v>74</v>
      </c>
      <c r="N181" s="61">
        <v>0</v>
      </c>
      <c r="O181" s="61">
        <v>191</v>
      </c>
      <c r="Q181" s="45"/>
      <c r="R181" s="45"/>
    </row>
    <row r="182" spans="1:21" s="71" customFormat="1" x14ac:dyDescent="0.25">
      <c r="A182" s="139"/>
      <c r="B182" s="71" t="s">
        <v>441</v>
      </c>
      <c r="C182" s="71" t="s">
        <v>439</v>
      </c>
      <c r="D182" s="93">
        <v>3970124</v>
      </c>
      <c r="E182" s="93"/>
      <c r="F182" s="93"/>
      <c r="G182" s="94" t="s">
        <v>1570</v>
      </c>
      <c r="H182" s="94" t="s">
        <v>1554</v>
      </c>
      <c r="K182" s="71">
        <v>45</v>
      </c>
      <c r="L182" s="71">
        <v>54</v>
      </c>
      <c r="M182" s="71">
        <v>60</v>
      </c>
      <c r="N182" s="71">
        <v>0</v>
      </c>
      <c r="O182" s="71">
        <v>159</v>
      </c>
      <c r="P182" s="79"/>
      <c r="Q182" s="45"/>
      <c r="R182" s="45"/>
      <c r="S182" s="79"/>
      <c r="T182" s="130"/>
    </row>
    <row r="183" spans="1:21" x14ac:dyDescent="0.25">
      <c r="A183" s="139"/>
      <c r="B183" s="61" t="s">
        <v>1390</v>
      </c>
      <c r="C183" s="61" t="s">
        <v>1388</v>
      </c>
      <c r="D183" s="119">
        <v>3970124</v>
      </c>
      <c r="E183" s="52"/>
      <c r="F183" s="52"/>
      <c r="G183" s="49"/>
      <c r="H183" s="49" t="s">
        <v>1554</v>
      </c>
      <c r="K183" s="61">
        <v>3</v>
      </c>
      <c r="L183" s="61">
        <v>2</v>
      </c>
      <c r="M183" s="61">
        <v>2</v>
      </c>
      <c r="N183" s="61">
        <v>1</v>
      </c>
      <c r="O183" s="61">
        <v>8</v>
      </c>
      <c r="Q183" s="45"/>
      <c r="R183" s="45"/>
    </row>
    <row r="184" spans="1:21" x14ac:dyDescent="0.25">
      <c r="A184" s="139" t="s">
        <v>1906</v>
      </c>
      <c r="B184" s="61" t="s">
        <v>414</v>
      </c>
      <c r="C184" s="61" t="s">
        <v>411</v>
      </c>
      <c r="D184" s="119">
        <v>3970124</v>
      </c>
      <c r="E184" s="52"/>
      <c r="F184" s="52"/>
      <c r="G184" s="49"/>
      <c r="H184" s="49" t="s">
        <v>1554</v>
      </c>
      <c r="K184" s="61">
        <v>0</v>
      </c>
      <c r="L184" s="61">
        <v>1</v>
      </c>
      <c r="M184" s="61">
        <v>0</v>
      </c>
      <c r="N184" s="61">
        <v>0</v>
      </c>
      <c r="O184" s="61">
        <v>1</v>
      </c>
      <c r="Q184" s="45"/>
      <c r="R184" s="45"/>
    </row>
    <row r="185" spans="1:21" x14ac:dyDescent="0.25">
      <c r="A185" s="139"/>
      <c r="B185" s="61" t="s">
        <v>414</v>
      </c>
      <c r="C185" s="61" t="s">
        <v>1392</v>
      </c>
      <c r="D185" s="119">
        <v>3970124</v>
      </c>
      <c r="E185" s="52"/>
      <c r="F185" s="52"/>
      <c r="G185" s="49"/>
      <c r="H185" s="49" t="s">
        <v>1554</v>
      </c>
      <c r="K185" s="61">
        <v>6</v>
      </c>
      <c r="L185" s="61">
        <v>6</v>
      </c>
      <c r="M185" s="61">
        <v>4</v>
      </c>
      <c r="N185" s="61">
        <v>5</v>
      </c>
      <c r="O185" s="61">
        <v>21</v>
      </c>
      <c r="Q185" s="45"/>
      <c r="R185" s="45"/>
    </row>
    <row r="186" spans="1:21" x14ac:dyDescent="0.25">
      <c r="A186" s="139"/>
      <c r="B186" s="61" t="s">
        <v>416</v>
      </c>
      <c r="C186" s="61" t="s">
        <v>1394</v>
      </c>
      <c r="D186" s="119">
        <v>3970124</v>
      </c>
      <c r="E186" s="52"/>
      <c r="F186" s="52"/>
      <c r="G186" s="49"/>
      <c r="H186" s="49" t="s">
        <v>1554</v>
      </c>
      <c r="K186" s="61">
        <v>32</v>
      </c>
      <c r="L186" s="61">
        <v>34</v>
      </c>
      <c r="M186" s="61">
        <v>42</v>
      </c>
      <c r="N186" s="61">
        <v>35</v>
      </c>
      <c r="O186" s="61">
        <v>143</v>
      </c>
      <c r="Q186" s="45"/>
      <c r="R186" s="45"/>
    </row>
    <row r="187" spans="1:21" x14ac:dyDescent="0.25">
      <c r="A187" s="139" t="s">
        <v>1908</v>
      </c>
      <c r="B187" s="61" t="s">
        <v>416</v>
      </c>
      <c r="C187" s="61" t="s">
        <v>411</v>
      </c>
      <c r="D187" s="119">
        <v>3970124</v>
      </c>
      <c r="E187" s="52"/>
      <c r="F187" s="52"/>
      <c r="G187" s="49"/>
      <c r="H187" s="49" t="s">
        <v>1554</v>
      </c>
      <c r="K187" s="61">
        <v>2</v>
      </c>
      <c r="L187" s="61">
        <v>2</v>
      </c>
      <c r="M187" s="61">
        <v>1</v>
      </c>
      <c r="N187" s="61">
        <v>3</v>
      </c>
      <c r="O187" s="61">
        <v>8</v>
      </c>
      <c r="Q187" s="45"/>
      <c r="R187" s="45"/>
    </row>
    <row r="188" spans="1:21" x14ac:dyDescent="0.25">
      <c r="A188" s="139" t="s">
        <v>1909</v>
      </c>
      <c r="B188" s="61" t="s">
        <v>416</v>
      </c>
      <c r="C188" s="61" t="s">
        <v>418</v>
      </c>
      <c r="D188" s="119">
        <v>3970124</v>
      </c>
      <c r="E188" s="52"/>
      <c r="F188" s="52"/>
      <c r="G188" s="49"/>
      <c r="H188" s="49" t="s">
        <v>1554</v>
      </c>
      <c r="K188" s="61">
        <v>1</v>
      </c>
      <c r="L188" s="61">
        <v>1</v>
      </c>
      <c r="M188" s="61">
        <v>2</v>
      </c>
      <c r="N188" s="61">
        <v>4</v>
      </c>
      <c r="O188" s="61">
        <v>8</v>
      </c>
      <c r="Q188" s="45"/>
      <c r="R188" s="45"/>
    </row>
    <row r="189" spans="1:21" x14ac:dyDescent="0.25">
      <c r="A189" s="139"/>
      <c r="B189" s="61" t="s">
        <v>443</v>
      </c>
      <c r="C189" s="61" t="s">
        <v>398</v>
      </c>
      <c r="D189" s="119">
        <v>3970124</v>
      </c>
      <c r="E189" s="52"/>
      <c r="F189" s="52"/>
      <c r="G189" s="49"/>
      <c r="H189" s="49" t="s">
        <v>1554</v>
      </c>
      <c r="K189" s="61">
        <v>36</v>
      </c>
      <c r="L189" s="61">
        <v>53</v>
      </c>
      <c r="M189" s="61">
        <v>41</v>
      </c>
      <c r="N189" s="61">
        <v>0</v>
      </c>
      <c r="O189" s="61">
        <v>130</v>
      </c>
      <c r="Q189" s="45"/>
      <c r="R189" s="45"/>
    </row>
    <row r="190" spans="1:21" x14ac:dyDescent="0.25">
      <c r="A190" s="139"/>
      <c r="B190" s="61" t="s">
        <v>421</v>
      </c>
      <c r="C190" s="61" t="s">
        <v>420</v>
      </c>
      <c r="D190" s="119">
        <v>3970124</v>
      </c>
      <c r="E190" s="52"/>
      <c r="F190" s="52"/>
      <c r="G190" s="49"/>
      <c r="H190" s="49" t="s">
        <v>1554</v>
      </c>
      <c r="K190" s="61">
        <v>0</v>
      </c>
      <c r="L190" s="61">
        <v>0</v>
      </c>
      <c r="M190" s="61">
        <v>1</v>
      </c>
      <c r="N190" s="61">
        <v>2</v>
      </c>
      <c r="O190" s="61">
        <v>3</v>
      </c>
      <c r="Q190" s="45"/>
      <c r="R190" s="45"/>
    </row>
    <row r="191" spans="1:21" x14ac:dyDescent="0.25">
      <c r="A191" s="139" t="s">
        <v>1910</v>
      </c>
      <c r="B191" s="61" t="s">
        <v>421</v>
      </c>
      <c r="C191" s="61" t="s">
        <v>423</v>
      </c>
      <c r="D191" s="119">
        <v>3970124</v>
      </c>
      <c r="E191" s="52"/>
      <c r="F191" s="52"/>
      <c r="G191" s="49"/>
      <c r="H191" s="49" t="s">
        <v>1554</v>
      </c>
      <c r="K191" s="61">
        <v>2</v>
      </c>
      <c r="L191" s="61">
        <v>1</v>
      </c>
      <c r="M191" s="61">
        <v>2</v>
      </c>
      <c r="N191" s="61">
        <v>2</v>
      </c>
      <c r="O191" s="61">
        <v>7</v>
      </c>
      <c r="Q191" s="45"/>
      <c r="R191" s="45"/>
    </row>
    <row r="192" spans="1:21" x14ac:dyDescent="0.25">
      <c r="A192" s="139" t="s">
        <v>1911</v>
      </c>
      <c r="B192" s="61" t="s">
        <v>421</v>
      </c>
      <c r="C192" s="61" t="s">
        <v>426</v>
      </c>
      <c r="D192" s="119">
        <v>3970124</v>
      </c>
      <c r="E192" s="52"/>
      <c r="F192" s="52"/>
      <c r="G192" s="49"/>
      <c r="H192" s="49" t="s">
        <v>1554</v>
      </c>
      <c r="K192" s="61">
        <v>1</v>
      </c>
      <c r="L192" s="61">
        <v>2</v>
      </c>
      <c r="M192" s="61">
        <v>2</v>
      </c>
      <c r="N192" s="61">
        <v>2</v>
      </c>
      <c r="O192" s="61">
        <v>7</v>
      </c>
      <c r="Q192" s="45"/>
      <c r="R192" s="45"/>
    </row>
    <row r="193" spans="1:20" x14ac:dyDescent="0.25">
      <c r="A193" s="139"/>
      <c r="B193" s="61" t="s">
        <v>421</v>
      </c>
      <c r="C193" s="61" t="s">
        <v>429</v>
      </c>
      <c r="D193" s="119">
        <v>3970124</v>
      </c>
      <c r="E193" s="52"/>
      <c r="F193" s="52"/>
      <c r="G193" s="49"/>
      <c r="H193" s="49" t="s">
        <v>1554</v>
      </c>
      <c r="K193" s="61">
        <v>1</v>
      </c>
      <c r="L193" s="61">
        <v>0</v>
      </c>
      <c r="M193" s="61">
        <v>0</v>
      </c>
      <c r="N193" s="61">
        <v>1</v>
      </c>
      <c r="O193" s="61">
        <v>2</v>
      </c>
      <c r="Q193" s="45"/>
      <c r="R193" s="45"/>
    </row>
    <row r="194" spans="1:20" x14ac:dyDescent="0.25">
      <c r="A194" s="139"/>
      <c r="B194" s="61" t="s">
        <v>421</v>
      </c>
      <c r="C194" s="61" t="s">
        <v>432</v>
      </c>
      <c r="D194" s="119">
        <v>3970124</v>
      </c>
      <c r="E194" s="52"/>
      <c r="F194" s="52"/>
      <c r="G194" s="49"/>
      <c r="H194" s="49" t="s">
        <v>1554</v>
      </c>
      <c r="K194" s="61">
        <v>0</v>
      </c>
      <c r="L194" s="61">
        <v>32</v>
      </c>
      <c r="M194" s="61">
        <v>37</v>
      </c>
      <c r="N194" s="61">
        <v>33</v>
      </c>
      <c r="O194" s="61">
        <v>102</v>
      </c>
      <c r="Q194" s="45"/>
      <c r="R194" s="45"/>
    </row>
    <row r="195" spans="1:20" s="71" customFormat="1" x14ac:dyDescent="0.25">
      <c r="A195" s="139"/>
      <c r="B195" s="71" t="s">
        <v>437</v>
      </c>
      <c r="C195" s="71" t="s">
        <v>436</v>
      </c>
      <c r="D195" s="119">
        <v>3970124</v>
      </c>
      <c r="E195" s="93"/>
      <c r="F195" s="93"/>
      <c r="G195" s="94" t="s">
        <v>1570</v>
      </c>
      <c r="H195" s="94" t="s">
        <v>1554</v>
      </c>
      <c r="K195" s="71">
        <v>24</v>
      </c>
      <c r="L195" s="71">
        <v>35</v>
      </c>
      <c r="M195" s="71">
        <v>29</v>
      </c>
      <c r="N195" s="71">
        <v>0</v>
      </c>
      <c r="O195" s="71">
        <v>88</v>
      </c>
      <c r="P195" s="79"/>
      <c r="Q195" s="45"/>
      <c r="R195" s="45"/>
      <c r="S195" s="79"/>
      <c r="T195" s="130"/>
    </row>
    <row r="196" spans="1:20" s="71" customFormat="1" x14ac:dyDescent="0.25">
      <c r="A196" s="139"/>
      <c r="B196" s="71" t="s">
        <v>446</v>
      </c>
      <c r="C196" s="71" t="s">
        <v>445</v>
      </c>
      <c r="D196" s="119">
        <v>3970124</v>
      </c>
      <c r="E196" s="93"/>
      <c r="F196" s="93"/>
      <c r="G196" s="94" t="s">
        <v>1570</v>
      </c>
      <c r="H196" s="94" t="s">
        <v>1554</v>
      </c>
      <c r="K196" s="71">
        <v>30</v>
      </c>
      <c r="L196" s="71">
        <v>43</v>
      </c>
      <c r="M196" s="71">
        <v>34</v>
      </c>
      <c r="N196" s="71">
        <v>0</v>
      </c>
      <c r="O196" s="71">
        <v>107</v>
      </c>
      <c r="P196" s="79"/>
      <c r="Q196" s="45"/>
      <c r="R196" s="45"/>
      <c r="S196" s="79"/>
      <c r="T196" s="130"/>
    </row>
    <row r="197" spans="1:20" x14ac:dyDescent="0.25">
      <c r="A197" s="139"/>
      <c r="B197" s="61" t="s">
        <v>421</v>
      </c>
      <c r="C197" s="61" t="s">
        <v>482</v>
      </c>
      <c r="D197" s="119">
        <v>3970124</v>
      </c>
      <c r="E197" s="52"/>
      <c r="F197" s="52"/>
      <c r="G197" s="49"/>
      <c r="H197" s="49" t="s">
        <v>1554</v>
      </c>
      <c r="K197" s="61">
        <v>12</v>
      </c>
      <c r="L197" s="61">
        <v>13</v>
      </c>
      <c r="M197" s="61">
        <v>11</v>
      </c>
      <c r="N197" s="61">
        <v>11</v>
      </c>
      <c r="O197" s="61">
        <v>47</v>
      </c>
      <c r="Q197" s="45"/>
      <c r="R197" s="45"/>
    </row>
    <row r="198" spans="1:20" x14ac:dyDescent="0.25">
      <c r="A198" s="139"/>
      <c r="B198" s="61" t="s">
        <v>421</v>
      </c>
      <c r="C198" s="61" t="s">
        <v>499</v>
      </c>
      <c r="D198" s="119">
        <v>3970124</v>
      </c>
      <c r="E198" s="52"/>
      <c r="F198" s="52"/>
      <c r="G198" s="49"/>
      <c r="H198" s="49" t="s">
        <v>1554</v>
      </c>
      <c r="K198" s="61">
        <v>55</v>
      </c>
      <c r="L198" s="61">
        <v>74</v>
      </c>
      <c r="M198" s="61">
        <v>45</v>
      </c>
      <c r="N198" s="61">
        <v>33</v>
      </c>
      <c r="O198" s="61">
        <v>207</v>
      </c>
      <c r="Q198" s="45"/>
      <c r="R198" s="45"/>
    </row>
    <row r="199" spans="1:20" x14ac:dyDescent="0.25">
      <c r="A199" s="139"/>
      <c r="B199" s="61" t="s">
        <v>421</v>
      </c>
      <c r="C199" s="61" t="s">
        <v>1396</v>
      </c>
      <c r="D199" s="119">
        <v>3970124</v>
      </c>
      <c r="E199" s="52"/>
      <c r="F199" s="52"/>
      <c r="G199" s="49"/>
      <c r="H199" s="49" t="s">
        <v>1554</v>
      </c>
      <c r="K199" s="61">
        <v>94</v>
      </c>
      <c r="L199" s="61">
        <v>241</v>
      </c>
      <c r="M199" s="61">
        <v>221</v>
      </c>
      <c r="N199" s="61">
        <v>46</v>
      </c>
      <c r="O199" s="61">
        <v>602</v>
      </c>
      <c r="Q199" s="45"/>
      <c r="R199" s="45"/>
    </row>
    <row r="200" spans="1:20" x14ac:dyDescent="0.25">
      <c r="A200" s="139"/>
      <c r="B200" s="61" t="s">
        <v>421</v>
      </c>
      <c r="C200" s="61" t="s">
        <v>1398</v>
      </c>
      <c r="D200" s="119">
        <v>3970124</v>
      </c>
      <c r="E200" s="52"/>
      <c r="F200" s="52"/>
      <c r="G200" s="49"/>
      <c r="H200" s="49" t="s">
        <v>1554</v>
      </c>
      <c r="K200" s="61">
        <v>66</v>
      </c>
      <c r="L200" s="61">
        <v>88</v>
      </c>
      <c r="M200" s="61">
        <v>21</v>
      </c>
      <c r="N200" s="61">
        <v>18</v>
      </c>
      <c r="O200" s="61">
        <v>193</v>
      </c>
      <c r="Q200" s="45"/>
      <c r="R200" s="45"/>
    </row>
    <row r="201" spans="1:20" x14ac:dyDescent="0.25">
      <c r="A201" s="139" t="s">
        <v>1912</v>
      </c>
      <c r="B201" s="47" t="s">
        <v>1907</v>
      </c>
      <c r="C201" s="61" t="s">
        <v>386</v>
      </c>
      <c r="D201" s="119">
        <v>3970124</v>
      </c>
      <c r="E201" s="52"/>
      <c r="F201" s="52"/>
      <c r="G201" s="49"/>
      <c r="H201" s="49" t="s">
        <v>1554</v>
      </c>
      <c r="K201" s="61">
        <v>0</v>
      </c>
      <c r="L201" s="61">
        <v>25</v>
      </c>
      <c r="M201" s="61">
        <v>8</v>
      </c>
      <c r="N201" s="61">
        <v>17</v>
      </c>
      <c r="O201" s="61">
        <v>50</v>
      </c>
      <c r="Q201" s="45"/>
      <c r="R201" s="45"/>
    </row>
    <row r="202" spans="1:20" x14ac:dyDescent="0.25">
      <c r="A202" s="139" t="s">
        <v>1913</v>
      </c>
      <c r="B202" s="47" t="s">
        <v>1907</v>
      </c>
      <c r="C202" s="61" t="s">
        <v>391</v>
      </c>
      <c r="D202" s="119">
        <v>3970124</v>
      </c>
      <c r="E202" s="52"/>
      <c r="F202" s="52"/>
      <c r="G202" s="49"/>
      <c r="H202" s="49" t="s">
        <v>1554</v>
      </c>
      <c r="K202" s="61">
        <v>53</v>
      </c>
      <c r="L202" s="61">
        <v>52</v>
      </c>
      <c r="M202" s="61">
        <v>42</v>
      </c>
      <c r="N202" s="61">
        <v>55</v>
      </c>
      <c r="O202" s="61">
        <v>202</v>
      </c>
      <c r="Q202" s="45"/>
      <c r="R202" s="45"/>
    </row>
    <row r="203" spans="1:20" x14ac:dyDescent="0.25">
      <c r="A203" s="139" t="s">
        <v>1914</v>
      </c>
      <c r="B203" s="47" t="s">
        <v>1907</v>
      </c>
      <c r="C203" s="61" t="s">
        <v>395</v>
      </c>
      <c r="D203" s="119">
        <v>3970124</v>
      </c>
      <c r="E203" s="52"/>
      <c r="F203" s="52"/>
      <c r="G203" s="49"/>
      <c r="H203" s="49" t="s">
        <v>1554</v>
      </c>
      <c r="K203" s="61">
        <v>36</v>
      </c>
      <c r="L203" s="61">
        <v>0</v>
      </c>
      <c r="M203" s="61">
        <v>0</v>
      </c>
      <c r="N203" s="61">
        <v>0</v>
      </c>
      <c r="O203" s="61">
        <v>36</v>
      </c>
      <c r="Q203" s="45"/>
      <c r="R203" s="45"/>
    </row>
    <row r="204" spans="1:20" x14ac:dyDescent="0.25">
      <c r="A204" s="143"/>
      <c r="B204" s="47" t="s">
        <v>1907</v>
      </c>
      <c r="C204" s="61" t="s">
        <v>397</v>
      </c>
      <c r="D204" s="119">
        <v>3970124</v>
      </c>
      <c r="H204" s="49" t="s">
        <v>1554</v>
      </c>
      <c r="K204" s="61">
        <v>42</v>
      </c>
      <c r="L204" s="61">
        <v>57</v>
      </c>
      <c r="M204" s="61">
        <v>0</v>
      </c>
      <c r="N204" s="61">
        <v>0</v>
      </c>
      <c r="O204" s="61">
        <v>99</v>
      </c>
      <c r="Q204" s="45"/>
      <c r="R204" s="45"/>
    </row>
    <row r="205" spans="1:20" x14ac:dyDescent="0.25">
      <c r="A205" s="143"/>
      <c r="B205" s="47" t="s">
        <v>1907</v>
      </c>
      <c r="C205" s="61" t="s">
        <v>398</v>
      </c>
      <c r="D205" s="119">
        <v>3970124</v>
      </c>
      <c r="H205" s="49" t="s">
        <v>1554</v>
      </c>
      <c r="K205" s="61">
        <v>0</v>
      </c>
      <c r="L205" s="61">
        <v>1</v>
      </c>
      <c r="M205" s="61">
        <v>0</v>
      </c>
      <c r="N205" s="61">
        <v>2</v>
      </c>
      <c r="O205" s="61">
        <v>3</v>
      </c>
      <c r="Q205" s="45"/>
      <c r="R205" s="45"/>
    </row>
    <row r="206" spans="1:20" x14ac:dyDescent="0.25">
      <c r="A206" s="143"/>
      <c r="B206" s="47" t="s">
        <v>1907</v>
      </c>
      <c r="C206" s="61" t="s">
        <v>403</v>
      </c>
      <c r="D206" s="119">
        <v>3970124</v>
      </c>
      <c r="H206" s="49" t="s">
        <v>1554</v>
      </c>
      <c r="K206" s="61">
        <v>44</v>
      </c>
      <c r="L206" s="61">
        <v>74</v>
      </c>
      <c r="M206" s="61">
        <v>332</v>
      </c>
      <c r="N206" s="61">
        <v>396</v>
      </c>
      <c r="O206" s="61">
        <v>846</v>
      </c>
      <c r="Q206" s="45"/>
      <c r="R206" s="45"/>
    </row>
    <row r="207" spans="1:20" s="71" customFormat="1" x14ac:dyDescent="0.25">
      <c r="A207" s="143"/>
      <c r="B207" s="71" t="s">
        <v>449</v>
      </c>
      <c r="C207" s="71" t="s">
        <v>448</v>
      </c>
      <c r="D207" s="119">
        <v>3970124</v>
      </c>
      <c r="F207" s="87"/>
      <c r="G207" s="86" t="s">
        <v>1570</v>
      </c>
      <c r="H207" s="94" t="s">
        <v>1554</v>
      </c>
      <c r="K207" s="71">
        <v>8</v>
      </c>
      <c r="L207" s="71">
        <v>9</v>
      </c>
      <c r="M207" s="71">
        <v>9</v>
      </c>
      <c r="N207" s="71">
        <v>0</v>
      </c>
      <c r="O207" s="71">
        <v>26</v>
      </c>
      <c r="P207" s="79"/>
      <c r="Q207" s="45"/>
      <c r="R207" s="45"/>
      <c r="S207" s="79"/>
      <c r="T207" s="130"/>
    </row>
    <row r="208" spans="1:20" s="71" customFormat="1" x14ac:dyDescent="0.25">
      <c r="A208" s="143"/>
      <c r="B208" s="71" t="s">
        <v>459</v>
      </c>
      <c r="C208" s="71" t="s">
        <v>458</v>
      </c>
      <c r="D208" s="119">
        <v>3970124</v>
      </c>
      <c r="F208" s="87"/>
      <c r="G208" s="86" t="s">
        <v>1570</v>
      </c>
      <c r="H208" s="94" t="s">
        <v>1554</v>
      </c>
      <c r="K208" s="71">
        <v>36</v>
      </c>
      <c r="L208" s="71">
        <v>31</v>
      </c>
      <c r="M208" s="71">
        <v>45</v>
      </c>
      <c r="N208" s="71">
        <v>0</v>
      </c>
      <c r="O208" s="71">
        <v>112</v>
      </c>
      <c r="P208" s="79"/>
      <c r="Q208" s="45"/>
      <c r="R208" s="45"/>
      <c r="S208" s="79"/>
      <c r="T208" s="130"/>
    </row>
    <row r="209" spans="1:18" x14ac:dyDescent="0.25">
      <c r="A209" s="143"/>
      <c r="B209" s="61" t="s">
        <v>468</v>
      </c>
      <c r="C209" s="61" t="s">
        <v>466</v>
      </c>
      <c r="D209" s="119">
        <v>3970124</v>
      </c>
      <c r="H209" s="49" t="s">
        <v>1554</v>
      </c>
      <c r="K209" s="61">
        <v>0</v>
      </c>
      <c r="L209" s="61">
        <v>0</v>
      </c>
      <c r="M209" s="61">
        <v>0</v>
      </c>
      <c r="N209" s="61">
        <v>0</v>
      </c>
      <c r="O209" s="61">
        <v>0</v>
      </c>
      <c r="Q209" s="45"/>
      <c r="R209" s="45"/>
    </row>
    <row r="210" spans="1:18" x14ac:dyDescent="0.25">
      <c r="A210" s="143"/>
      <c r="B210" s="61" t="s">
        <v>468</v>
      </c>
      <c r="C210" s="61" t="s">
        <v>398</v>
      </c>
      <c r="D210" s="119">
        <v>3970124</v>
      </c>
      <c r="H210" s="49" t="s">
        <v>1554</v>
      </c>
      <c r="K210" s="61">
        <v>0</v>
      </c>
      <c r="L210" s="61">
        <v>0</v>
      </c>
      <c r="M210" s="61">
        <v>0</v>
      </c>
      <c r="N210" s="61">
        <v>0</v>
      </c>
      <c r="O210" s="61">
        <v>0</v>
      </c>
      <c r="Q210" s="45"/>
      <c r="R210" s="45"/>
    </row>
    <row r="211" spans="1:18" x14ac:dyDescent="0.25">
      <c r="A211" s="143"/>
      <c r="B211" s="61" t="s">
        <v>472</v>
      </c>
      <c r="C211" s="61" t="s">
        <v>471</v>
      </c>
      <c r="D211" s="119">
        <v>3970124</v>
      </c>
      <c r="H211" s="49" t="s">
        <v>1554</v>
      </c>
      <c r="K211" s="61">
        <v>0</v>
      </c>
      <c r="L211" s="61">
        <v>1</v>
      </c>
      <c r="M211" s="61">
        <v>0</v>
      </c>
      <c r="N211" s="61">
        <v>1</v>
      </c>
      <c r="O211" s="61">
        <v>2</v>
      </c>
      <c r="Q211" s="45"/>
      <c r="R211" s="45"/>
    </row>
    <row r="212" spans="1:18" x14ac:dyDescent="0.25">
      <c r="A212" s="143"/>
      <c r="B212" s="61" t="s">
        <v>472</v>
      </c>
      <c r="C212" s="61" t="s">
        <v>475</v>
      </c>
      <c r="D212" s="119">
        <v>3970124</v>
      </c>
      <c r="H212" s="49" t="s">
        <v>1554</v>
      </c>
      <c r="K212" s="61">
        <v>2</v>
      </c>
      <c r="L212" s="61">
        <v>0</v>
      </c>
      <c r="M212" s="61">
        <v>0</v>
      </c>
      <c r="N212" s="61">
        <v>0</v>
      </c>
      <c r="O212" s="61">
        <v>2</v>
      </c>
      <c r="Q212" s="45"/>
      <c r="R212" s="45"/>
    </row>
    <row r="213" spans="1:18" x14ac:dyDescent="0.25">
      <c r="A213" s="143"/>
      <c r="B213" s="61" t="s">
        <v>478</v>
      </c>
      <c r="C213" s="61" t="s">
        <v>477</v>
      </c>
      <c r="D213" s="119">
        <v>3970124</v>
      </c>
      <c r="H213" s="49" t="s">
        <v>1554</v>
      </c>
      <c r="K213" s="61">
        <v>0</v>
      </c>
      <c r="L213" s="61">
        <v>0</v>
      </c>
      <c r="M213" s="61">
        <v>0</v>
      </c>
      <c r="N213" s="61">
        <v>0</v>
      </c>
      <c r="O213" s="61">
        <v>0</v>
      </c>
      <c r="Q213" s="45"/>
      <c r="R213" s="45"/>
    </row>
    <row r="214" spans="1:18" x14ac:dyDescent="0.25">
      <c r="A214" s="143"/>
      <c r="B214" s="61" t="s">
        <v>478</v>
      </c>
      <c r="C214" s="61" t="s">
        <v>398</v>
      </c>
      <c r="D214" s="119">
        <v>3970124</v>
      </c>
      <c r="H214" s="49" t="s">
        <v>1554</v>
      </c>
      <c r="K214" s="61">
        <v>0</v>
      </c>
      <c r="L214" s="61">
        <v>0</v>
      </c>
      <c r="M214" s="61">
        <v>0</v>
      </c>
      <c r="N214" s="61">
        <v>0</v>
      </c>
      <c r="O214" s="61">
        <v>0</v>
      </c>
      <c r="Q214" s="45"/>
      <c r="R214" s="45"/>
    </row>
    <row r="215" spans="1:18" x14ac:dyDescent="0.25">
      <c r="A215" s="143"/>
      <c r="B215" s="61" t="s">
        <v>486</v>
      </c>
      <c r="C215" s="61" t="s">
        <v>484</v>
      </c>
      <c r="D215" s="119">
        <v>3970124</v>
      </c>
      <c r="H215" s="49" t="s">
        <v>1554</v>
      </c>
      <c r="K215" s="61">
        <v>0</v>
      </c>
      <c r="L215" s="61">
        <v>2</v>
      </c>
      <c r="M215" s="61">
        <v>2</v>
      </c>
      <c r="N215" s="61">
        <v>0</v>
      </c>
      <c r="O215" s="61">
        <v>4</v>
      </c>
      <c r="Q215" s="45"/>
      <c r="R215" s="45"/>
    </row>
    <row r="216" spans="1:18" x14ac:dyDescent="0.25">
      <c r="A216" s="143"/>
      <c r="B216" s="61" t="s">
        <v>489</v>
      </c>
      <c r="C216" s="61" t="s">
        <v>488</v>
      </c>
      <c r="D216" s="119">
        <v>3970124</v>
      </c>
      <c r="H216" s="49" t="s">
        <v>1554</v>
      </c>
      <c r="K216" s="61">
        <v>1</v>
      </c>
      <c r="L216" s="61">
        <v>1</v>
      </c>
      <c r="M216" s="61">
        <v>3</v>
      </c>
      <c r="N216" s="61">
        <v>8</v>
      </c>
      <c r="O216" s="61">
        <v>13</v>
      </c>
      <c r="Q216" s="45"/>
      <c r="R216" s="45"/>
    </row>
    <row r="217" spans="1:18" x14ac:dyDescent="0.25">
      <c r="A217" s="143"/>
      <c r="B217" s="61" t="s">
        <v>489</v>
      </c>
      <c r="C217" s="61" t="s">
        <v>398</v>
      </c>
      <c r="D217" s="119">
        <v>3970124</v>
      </c>
      <c r="H217" s="49" t="s">
        <v>1554</v>
      </c>
      <c r="K217" s="61">
        <v>0</v>
      </c>
      <c r="L217" s="61">
        <v>0</v>
      </c>
      <c r="M217" s="61">
        <v>0</v>
      </c>
      <c r="N217" s="61">
        <v>0</v>
      </c>
      <c r="O217" s="61">
        <v>0</v>
      </c>
      <c r="Q217" s="45"/>
      <c r="R217" s="45"/>
    </row>
    <row r="218" spans="1:18" x14ac:dyDescent="0.25">
      <c r="A218" s="143"/>
      <c r="B218" s="61" t="s">
        <v>489</v>
      </c>
      <c r="C218" s="61" t="s">
        <v>398</v>
      </c>
      <c r="D218" s="119">
        <v>3970124</v>
      </c>
      <c r="H218" s="49" t="s">
        <v>1554</v>
      </c>
      <c r="K218" s="61">
        <v>11</v>
      </c>
      <c r="L218" s="61">
        <v>18</v>
      </c>
      <c r="M218" s="61">
        <v>14</v>
      </c>
      <c r="N218" s="61">
        <v>14</v>
      </c>
      <c r="O218" s="61">
        <v>57</v>
      </c>
      <c r="Q218" s="45"/>
      <c r="R218" s="45"/>
    </row>
    <row r="219" spans="1:18" x14ac:dyDescent="0.25">
      <c r="A219" s="143"/>
      <c r="B219" s="61" t="s">
        <v>489</v>
      </c>
      <c r="C219" s="61" t="s">
        <v>493</v>
      </c>
      <c r="D219" s="119">
        <v>3970124</v>
      </c>
      <c r="H219" s="49" t="s">
        <v>1554</v>
      </c>
      <c r="K219" s="61">
        <v>19</v>
      </c>
      <c r="L219" s="61">
        <v>18</v>
      </c>
      <c r="M219" s="61">
        <v>15</v>
      </c>
      <c r="N219" s="61">
        <v>12</v>
      </c>
      <c r="O219" s="61">
        <v>64</v>
      </c>
      <c r="Q219" s="45"/>
      <c r="R219" s="45"/>
    </row>
    <row r="220" spans="1:18" x14ac:dyDescent="0.25">
      <c r="A220" s="143"/>
      <c r="B220" s="61" t="s">
        <v>497</v>
      </c>
      <c r="C220" s="61" t="s">
        <v>398</v>
      </c>
      <c r="D220" s="119">
        <v>3970124</v>
      </c>
      <c r="H220" s="49" t="s">
        <v>1554</v>
      </c>
      <c r="K220" s="61">
        <v>0</v>
      </c>
      <c r="L220" s="61">
        <v>0</v>
      </c>
      <c r="M220" s="61">
        <v>0</v>
      </c>
      <c r="N220" s="61">
        <v>0</v>
      </c>
      <c r="O220" s="61">
        <v>0</v>
      </c>
      <c r="Q220" s="45"/>
      <c r="R220" s="45"/>
    </row>
    <row r="221" spans="1:18" x14ac:dyDescent="0.25">
      <c r="A221" s="143"/>
      <c r="B221" s="61" t="s">
        <v>503</v>
      </c>
      <c r="C221" s="61" t="s">
        <v>471</v>
      </c>
      <c r="D221" s="119">
        <v>3970124</v>
      </c>
      <c r="H221" s="49" t="s">
        <v>1554</v>
      </c>
      <c r="K221" s="61">
        <v>0</v>
      </c>
      <c r="L221" s="61">
        <v>0</v>
      </c>
      <c r="M221" s="61">
        <v>0</v>
      </c>
      <c r="N221" s="61">
        <v>0</v>
      </c>
      <c r="O221" s="61">
        <v>0</v>
      </c>
      <c r="Q221" s="45"/>
      <c r="R221" s="45"/>
    </row>
    <row r="222" spans="1:18" x14ac:dyDescent="0.25">
      <c r="A222" s="143"/>
      <c r="B222" s="61" t="s">
        <v>388</v>
      </c>
      <c r="C222" s="61" t="s">
        <v>767</v>
      </c>
      <c r="D222" s="119">
        <v>3970124</v>
      </c>
      <c r="H222" s="49" t="s">
        <v>1554</v>
      </c>
      <c r="K222" s="61">
        <v>0</v>
      </c>
      <c r="L222" s="61">
        <v>46</v>
      </c>
      <c r="M222" s="61">
        <v>36</v>
      </c>
      <c r="N222" s="61">
        <v>20</v>
      </c>
      <c r="O222" s="61">
        <v>102</v>
      </c>
      <c r="Q222" s="45"/>
      <c r="R222" s="45"/>
    </row>
    <row r="223" spans="1:18" x14ac:dyDescent="0.25">
      <c r="A223" s="143"/>
      <c r="B223" s="61" t="s">
        <v>388</v>
      </c>
      <c r="C223" s="61" t="s">
        <v>799</v>
      </c>
      <c r="D223" s="119">
        <v>3970124</v>
      </c>
      <c r="H223" s="49" t="s">
        <v>1554</v>
      </c>
      <c r="K223" s="61">
        <v>0</v>
      </c>
      <c r="L223" s="61">
        <v>0</v>
      </c>
      <c r="M223" s="61">
        <v>1</v>
      </c>
      <c r="N223" s="61">
        <v>0</v>
      </c>
      <c r="O223" s="61">
        <v>1</v>
      </c>
      <c r="Q223" s="45"/>
      <c r="R223" s="45"/>
    </row>
    <row r="224" spans="1:18" x14ac:dyDescent="0.25">
      <c r="A224" s="143"/>
      <c r="B224" s="61" t="s">
        <v>1180</v>
      </c>
      <c r="C224" s="61" t="s">
        <v>1178</v>
      </c>
      <c r="D224" s="119">
        <v>3970124</v>
      </c>
      <c r="H224" s="49" t="s">
        <v>1554</v>
      </c>
      <c r="K224" s="61">
        <v>11</v>
      </c>
      <c r="L224" s="61">
        <v>13</v>
      </c>
      <c r="M224" s="61">
        <v>13</v>
      </c>
      <c r="N224" s="61">
        <v>9</v>
      </c>
      <c r="O224" s="61">
        <v>46</v>
      </c>
      <c r="Q224" s="45"/>
      <c r="R224" s="45"/>
    </row>
    <row r="225" spans="1:21" x14ac:dyDescent="0.25">
      <c r="A225" s="143"/>
      <c r="B225" s="61" t="s">
        <v>1315</v>
      </c>
      <c r="C225" s="61" t="s">
        <v>1311</v>
      </c>
      <c r="D225" s="119">
        <v>3970124</v>
      </c>
      <c r="H225" s="49" t="s">
        <v>1554</v>
      </c>
      <c r="K225" s="61">
        <v>73</v>
      </c>
      <c r="L225" s="61">
        <v>26</v>
      </c>
      <c r="M225" s="61">
        <v>43</v>
      </c>
      <c r="N225" s="61">
        <v>5</v>
      </c>
      <c r="O225" s="61">
        <v>147</v>
      </c>
      <c r="Q225" s="45"/>
      <c r="R225" s="45"/>
    </row>
    <row r="226" spans="1:21" x14ac:dyDescent="0.25">
      <c r="A226" s="143"/>
      <c r="B226" s="61" t="s">
        <v>388</v>
      </c>
      <c r="C226" s="61" t="s">
        <v>799</v>
      </c>
      <c r="D226" s="119">
        <v>3970124</v>
      </c>
      <c r="H226" s="49" t="s">
        <v>1554</v>
      </c>
      <c r="K226" s="61">
        <v>0</v>
      </c>
      <c r="L226" s="61">
        <v>0</v>
      </c>
      <c r="M226" s="61">
        <v>1</v>
      </c>
      <c r="N226" s="61">
        <v>0</v>
      </c>
      <c r="O226" s="61">
        <v>1</v>
      </c>
      <c r="Q226" s="45"/>
      <c r="R226" s="45"/>
    </row>
    <row r="227" spans="1:21" x14ac:dyDescent="0.25">
      <c r="A227" s="143"/>
      <c r="B227" s="61" t="s">
        <v>497</v>
      </c>
      <c r="C227" s="61" t="s">
        <v>803</v>
      </c>
      <c r="D227" s="119">
        <v>3970124</v>
      </c>
      <c r="E227" s="76">
        <v>3970124</v>
      </c>
      <c r="F227" s="121">
        <v>82</v>
      </c>
      <c r="G227" s="122"/>
      <c r="H227" s="120" t="s">
        <v>1554</v>
      </c>
      <c r="I227" s="76"/>
      <c r="J227" s="76"/>
      <c r="K227" s="76">
        <v>0</v>
      </c>
      <c r="L227" s="76">
        <v>0</v>
      </c>
      <c r="M227" s="76">
        <v>1</v>
      </c>
      <c r="N227" s="76">
        <v>0</v>
      </c>
      <c r="O227" s="76">
        <v>1</v>
      </c>
      <c r="P227" s="77">
        <f>SUM(O180+O181+O183+O184+O185+O186+O187+O188+O189+O190+O191+O192+O193+O194+O197+O198+O199+O200+O201+O202+O203+O204+O205+O206+O209+O210+O211+O212+O213+O214+O215+O216+O217+O218+O219+O220+O221+O222+O223+O224+O225+O226+O228)*1000</f>
        <v>3460650</v>
      </c>
      <c r="Q227" s="45">
        <f t="shared" ref="Q227" si="12">SUM(P227/76650)</f>
        <v>45.148727984344426</v>
      </c>
      <c r="R227" s="45">
        <f t="shared" ref="R227:R249" si="13">SUM(Q227*600)</f>
        <v>27089.236790606654</v>
      </c>
      <c r="S227" s="65">
        <v>45.15</v>
      </c>
      <c r="T227" s="127">
        <v>35.99</v>
      </c>
      <c r="U227" s="132" t="s">
        <v>2243</v>
      </c>
    </row>
    <row r="228" spans="1:21" x14ac:dyDescent="0.25">
      <c r="A228" s="139" t="s">
        <v>1918</v>
      </c>
      <c r="B228" s="47" t="s">
        <v>1907</v>
      </c>
      <c r="C228" s="47" t="s">
        <v>1919</v>
      </c>
      <c r="D228" s="52">
        <v>3970124</v>
      </c>
      <c r="E228" s="52"/>
      <c r="F228" s="52">
        <v>85</v>
      </c>
      <c r="G228" s="49"/>
      <c r="H228" s="49" t="s">
        <v>1554</v>
      </c>
      <c r="K228" s="61"/>
      <c r="L228" s="61"/>
      <c r="M228" s="61"/>
      <c r="N228" s="61"/>
      <c r="O228" s="61">
        <v>76.650000000000006</v>
      </c>
      <c r="Q228" s="134"/>
      <c r="R228" s="45"/>
      <c r="U228" s="132"/>
    </row>
    <row r="229" spans="1:21" x14ac:dyDescent="0.25">
      <c r="A229" s="139" t="s">
        <v>1915</v>
      </c>
      <c r="B229" s="46" t="s">
        <v>1916</v>
      </c>
      <c r="C229" s="46" t="s">
        <v>1917</v>
      </c>
      <c r="D229" s="52">
        <v>3970002</v>
      </c>
      <c r="E229" s="52">
        <v>3970002</v>
      </c>
      <c r="F229" s="52">
        <v>83</v>
      </c>
      <c r="G229" s="49"/>
      <c r="H229" s="49" t="s">
        <v>1554</v>
      </c>
      <c r="K229" s="61">
        <v>8</v>
      </c>
      <c r="L229" s="61">
        <v>8</v>
      </c>
      <c r="M229" s="61">
        <v>7</v>
      </c>
      <c r="N229" s="61">
        <v>8</v>
      </c>
      <c r="O229" s="61">
        <v>76.650000000000006</v>
      </c>
      <c r="P229" s="77">
        <f>SUM(O229*1000)</f>
        <v>76650</v>
      </c>
      <c r="Q229" s="134">
        <v>1</v>
      </c>
      <c r="R229" s="45">
        <f t="shared" si="13"/>
        <v>600</v>
      </c>
      <c r="S229" s="65">
        <v>1</v>
      </c>
      <c r="T229" s="127">
        <v>1</v>
      </c>
      <c r="U229" s="132" t="s">
        <v>2242</v>
      </c>
    </row>
    <row r="230" spans="1:21" x14ac:dyDescent="0.25">
      <c r="A230" s="143"/>
      <c r="B230" s="61" t="s">
        <v>962</v>
      </c>
      <c r="C230" s="61" t="s">
        <v>958</v>
      </c>
      <c r="D230" s="52">
        <v>3970055</v>
      </c>
      <c r="H230" s="49" t="s">
        <v>1554</v>
      </c>
      <c r="K230" s="61">
        <v>10</v>
      </c>
      <c r="L230" s="61">
        <v>17</v>
      </c>
      <c r="M230" s="61">
        <v>15</v>
      </c>
      <c r="N230" s="61">
        <v>12</v>
      </c>
      <c r="O230" s="61">
        <v>54</v>
      </c>
      <c r="Q230" s="134"/>
      <c r="R230" s="45"/>
      <c r="U230" s="132"/>
    </row>
    <row r="231" spans="1:21" x14ac:dyDescent="0.25">
      <c r="A231" s="143"/>
      <c r="B231" s="61" t="s">
        <v>964</v>
      </c>
      <c r="C231" s="61" t="s">
        <v>958</v>
      </c>
      <c r="D231" s="52">
        <v>3970055</v>
      </c>
      <c r="H231" s="49" t="s">
        <v>1554</v>
      </c>
      <c r="K231" s="61">
        <v>60</v>
      </c>
      <c r="L231" s="61">
        <v>124</v>
      </c>
      <c r="M231" s="61">
        <v>62</v>
      </c>
      <c r="N231" s="61">
        <v>0</v>
      </c>
      <c r="O231" s="61">
        <v>246</v>
      </c>
      <c r="Q231" s="134"/>
      <c r="R231" s="45"/>
      <c r="U231" s="132" t="s">
        <v>2242</v>
      </c>
    </row>
    <row r="232" spans="1:21" x14ac:dyDescent="0.25">
      <c r="A232" s="143"/>
      <c r="B232" s="61" t="s">
        <v>966</v>
      </c>
      <c r="C232" s="61" t="s">
        <v>958</v>
      </c>
      <c r="D232" s="96">
        <v>3970055</v>
      </c>
      <c r="E232" s="60">
        <v>3970055</v>
      </c>
      <c r="F232" s="68">
        <v>84</v>
      </c>
      <c r="H232" s="49" t="s">
        <v>1554</v>
      </c>
      <c r="K232" s="61">
        <v>699</v>
      </c>
      <c r="L232" s="61">
        <v>839</v>
      </c>
      <c r="M232" s="61">
        <v>681</v>
      </c>
      <c r="N232" s="61">
        <v>498</v>
      </c>
      <c r="O232" s="61">
        <v>2717</v>
      </c>
      <c r="P232" s="65">
        <f>SUM(O232-O231+O230)*1000</f>
        <v>2525000</v>
      </c>
      <c r="Q232" s="134">
        <f>SUM(P232/76650)</f>
        <v>32.94194390084801</v>
      </c>
      <c r="R232" s="45">
        <f t="shared" si="13"/>
        <v>19765.166340508807</v>
      </c>
      <c r="S232" s="65">
        <v>32.94</v>
      </c>
      <c r="T232" s="127">
        <v>30.05</v>
      </c>
      <c r="U232" s="132" t="s">
        <v>2243</v>
      </c>
    </row>
    <row r="233" spans="1:21" x14ac:dyDescent="0.25">
      <c r="A233" s="143"/>
      <c r="B233" s="61" t="s">
        <v>515</v>
      </c>
      <c r="C233" s="61" t="s">
        <v>514</v>
      </c>
      <c r="D233" s="61">
        <v>4370010</v>
      </c>
      <c r="E233" s="61">
        <v>4370010</v>
      </c>
      <c r="F233" s="68">
        <v>86</v>
      </c>
      <c r="H233" s="49" t="s">
        <v>1554</v>
      </c>
      <c r="K233" s="61">
        <v>44</v>
      </c>
      <c r="L233" s="61">
        <v>69</v>
      </c>
      <c r="M233" s="61">
        <v>35</v>
      </c>
      <c r="N233" s="61">
        <v>19</v>
      </c>
      <c r="O233" s="61">
        <v>167</v>
      </c>
      <c r="P233" s="65">
        <f t="shared" ref="P233:P238" si="14">SUM(O233)*1000</f>
        <v>167000</v>
      </c>
      <c r="Q233" s="134">
        <f t="shared" ref="Q233:Q294" si="15">SUM(P233/76650)</f>
        <v>2.1787345075016309</v>
      </c>
      <c r="R233" s="45">
        <f t="shared" si="13"/>
        <v>1307.2407045009786</v>
      </c>
      <c r="S233" s="65">
        <v>2.1800000000000002</v>
      </c>
      <c r="U233" s="132" t="s">
        <v>2242</v>
      </c>
    </row>
    <row r="234" spans="1:21" x14ac:dyDescent="0.25">
      <c r="A234" s="143"/>
      <c r="B234" s="61" t="s">
        <v>508</v>
      </c>
      <c r="C234" s="61" t="s">
        <v>505</v>
      </c>
      <c r="D234" s="61">
        <v>4370020</v>
      </c>
      <c r="E234" s="61">
        <v>4370020</v>
      </c>
      <c r="F234" s="68">
        <v>87</v>
      </c>
      <c r="H234" s="49" t="s">
        <v>1554</v>
      </c>
      <c r="K234" s="61">
        <v>31</v>
      </c>
      <c r="L234" s="61">
        <v>89</v>
      </c>
      <c r="M234" s="61">
        <v>53</v>
      </c>
      <c r="N234" s="61">
        <v>21</v>
      </c>
      <c r="O234" s="61">
        <v>194</v>
      </c>
      <c r="P234" s="65">
        <f t="shared" si="14"/>
        <v>194000</v>
      </c>
      <c r="Q234" s="134">
        <f t="shared" si="15"/>
        <v>2.5309849967384213</v>
      </c>
      <c r="R234" s="45">
        <f t="shared" si="13"/>
        <v>1518.5909980430527</v>
      </c>
      <c r="S234" s="65">
        <v>2.5299999999999998</v>
      </c>
      <c r="U234" s="132" t="s">
        <v>2242</v>
      </c>
    </row>
    <row r="235" spans="1:21" x14ac:dyDescent="0.25">
      <c r="A235" s="143"/>
      <c r="B235" s="61" t="s">
        <v>518</v>
      </c>
      <c r="C235" s="61" t="s">
        <v>517</v>
      </c>
      <c r="D235" s="61">
        <v>4370030</v>
      </c>
      <c r="E235" s="61">
        <v>4370030</v>
      </c>
      <c r="F235" s="68">
        <v>88</v>
      </c>
      <c r="H235" s="49" t="s">
        <v>1554</v>
      </c>
      <c r="K235" s="61">
        <v>9</v>
      </c>
      <c r="L235" s="61">
        <v>23</v>
      </c>
      <c r="M235" s="61">
        <v>49</v>
      </c>
      <c r="N235" s="61">
        <v>19</v>
      </c>
      <c r="O235" s="61">
        <v>100</v>
      </c>
      <c r="P235" s="65">
        <f t="shared" si="14"/>
        <v>100000</v>
      </c>
      <c r="Q235" s="134">
        <f t="shared" si="15"/>
        <v>1.3046314416177429</v>
      </c>
      <c r="R235" s="45">
        <f t="shared" si="13"/>
        <v>782.77886497064571</v>
      </c>
      <c r="S235" s="65">
        <v>1.3</v>
      </c>
      <c r="U235" s="132" t="s">
        <v>2242</v>
      </c>
    </row>
    <row r="236" spans="1:21" x14ac:dyDescent="0.25">
      <c r="A236" s="143"/>
      <c r="B236" s="61" t="s">
        <v>512</v>
      </c>
      <c r="C236" s="61" t="s">
        <v>510</v>
      </c>
      <c r="D236" s="61">
        <v>4370040</v>
      </c>
      <c r="E236" s="61">
        <v>4370040</v>
      </c>
      <c r="F236" s="68">
        <v>89</v>
      </c>
      <c r="H236" s="49" t="s">
        <v>1554</v>
      </c>
      <c r="K236" s="61">
        <v>29</v>
      </c>
      <c r="L236" s="61">
        <v>104</v>
      </c>
      <c r="M236" s="61">
        <v>51</v>
      </c>
      <c r="N236" s="61">
        <v>12</v>
      </c>
      <c r="O236" s="61">
        <v>196</v>
      </c>
      <c r="P236" s="65">
        <f t="shared" si="14"/>
        <v>196000</v>
      </c>
      <c r="Q236" s="134">
        <f t="shared" si="15"/>
        <v>2.5570776255707761</v>
      </c>
      <c r="R236" s="45">
        <f t="shared" si="13"/>
        <v>1534.2465753424656</v>
      </c>
      <c r="S236" s="65">
        <v>2.56</v>
      </c>
      <c r="U236" s="132" t="s">
        <v>2242</v>
      </c>
    </row>
    <row r="237" spans="1:21" x14ac:dyDescent="0.25">
      <c r="A237" s="143"/>
      <c r="B237" s="61" t="s">
        <v>1326</v>
      </c>
      <c r="C237" s="61" t="s">
        <v>1322</v>
      </c>
      <c r="D237" s="52">
        <v>4370050</v>
      </c>
      <c r="E237" s="52">
        <v>4370050</v>
      </c>
      <c r="F237" s="68">
        <v>90</v>
      </c>
      <c r="H237" s="49" t="s">
        <v>1554</v>
      </c>
      <c r="K237" s="61">
        <v>12</v>
      </c>
      <c r="L237" s="61">
        <v>70</v>
      </c>
      <c r="M237" s="61">
        <v>23</v>
      </c>
      <c r="N237" s="61">
        <v>17</v>
      </c>
      <c r="O237" s="61">
        <v>122</v>
      </c>
      <c r="P237" s="65">
        <f t="shared" si="14"/>
        <v>122000</v>
      </c>
      <c r="Q237" s="134">
        <f t="shared" si="15"/>
        <v>1.5916503587736464</v>
      </c>
      <c r="R237" s="45">
        <f t="shared" si="13"/>
        <v>954.99021526418778</v>
      </c>
      <c r="S237" s="65">
        <v>1.59</v>
      </c>
      <c r="T237" s="127">
        <v>2.81</v>
      </c>
      <c r="U237" s="132" t="s">
        <v>2241</v>
      </c>
    </row>
    <row r="238" spans="1:21" x14ac:dyDescent="0.25">
      <c r="A238" s="139" t="s">
        <v>1920</v>
      </c>
      <c r="B238" s="47" t="s">
        <v>1921</v>
      </c>
      <c r="C238" s="47" t="s">
        <v>1922</v>
      </c>
      <c r="D238" s="52">
        <v>4380007</v>
      </c>
      <c r="E238" s="52">
        <v>4380007</v>
      </c>
      <c r="F238" s="52">
        <v>91</v>
      </c>
      <c r="G238" s="49"/>
      <c r="H238" s="49" t="s">
        <v>1554</v>
      </c>
      <c r="K238" s="61">
        <v>4</v>
      </c>
      <c r="L238" s="61">
        <v>6</v>
      </c>
      <c r="M238" s="61">
        <v>6</v>
      </c>
      <c r="N238" s="61">
        <v>5</v>
      </c>
      <c r="O238" s="61">
        <v>76.650000000000006</v>
      </c>
      <c r="P238" s="65">
        <f t="shared" si="14"/>
        <v>76650</v>
      </c>
      <c r="Q238" s="134">
        <f t="shared" si="15"/>
        <v>1</v>
      </c>
      <c r="R238" s="45">
        <f t="shared" si="13"/>
        <v>600</v>
      </c>
      <c r="S238" s="65">
        <v>1</v>
      </c>
      <c r="T238" s="127">
        <v>1</v>
      </c>
      <c r="U238" s="132" t="s">
        <v>2242</v>
      </c>
    </row>
    <row r="239" spans="1:21" x14ac:dyDescent="0.25">
      <c r="A239" s="139" t="s">
        <v>1923</v>
      </c>
      <c r="B239" s="47" t="s">
        <v>1924</v>
      </c>
      <c r="C239" s="47" t="s">
        <v>1925</v>
      </c>
      <c r="D239" s="52">
        <v>4320150</v>
      </c>
      <c r="E239" s="52"/>
      <c r="F239" s="52"/>
      <c r="G239" s="49"/>
      <c r="H239" s="49" t="s">
        <v>1554</v>
      </c>
      <c r="K239" s="61">
        <v>114</v>
      </c>
      <c r="L239" s="61">
        <v>67</v>
      </c>
      <c r="M239" s="61">
        <v>62</v>
      </c>
      <c r="N239" s="61">
        <v>43</v>
      </c>
      <c r="O239" s="61">
        <v>286</v>
      </c>
      <c r="Q239" s="134"/>
      <c r="R239" s="45"/>
    </row>
    <row r="240" spans="1:21" x14ac:dyDescent="0.25">
      <c r="A240" s="139" t="s">
        <v>1926</v>
      </c>
      <c r="B240" s="47" t="s">
        <v>1924</v>
      </c>
      <c r="C240" s="47" t="s">
        <v>1925</v>
      </c>
      <c r="D240" s="52">
        <v>4320150</v>
      </c>
      <c r="E240" s="52"/>
      <c r="F240" s="52"/>
      <c r="G240" s="49"/>
      <c r="H240" s="49" t="s">
        <v>1554</v>
      </c>
      <c r="K240" s="61">
        <v>141</v>
      </c>
      <c r="L240" s="61">
        <v>72</v>
      </c>
      <c r="M240" s="61">
        <v>82</v>
      </c>
      <c r="N240" s="61">
        <v>59</v>
      </c>
      <c r="O240" s="61">
        <v>354</v>
      </c>
      <c r="P240" s="65">
        <f>SUM(O239:O240)*1000</f>
        <v>640000</v>
      </c>
      <c r="Q240" s="134">
        <f t="shared" si="15"/>
        <v>8.3496412263535547</v>
      </c>
      <c r="R240" s="45">
        <f t="shared" si="13"/>
        <v>5009.7847358121326</v>
      </c>
      <c r="S240" s="65">
        <v>8.35</v>
      </c>
      <c r="T240" s="127">
        <v>7.45</v>
      </c>
      <c r="U240" s="132" t="s">
        <v>2243</v>
      </c>
    </row>
    <row r="241" spans="1:21" s="58" customFormat="1" x14ac:dyDescent="0.25">
      <c r="A241" s="54" t="s">
        <v>1927</v>
      </c>
      <c r="B241" s="54" t="s">
        <v>1924</v>
      </c>
      <c r="C241" s="54" t="s">
        <v>1925</v>
      </c>
      <c r="D241" s="55">
        <v>4320150</v>
      </c>
      <c r="E241" s="55">
        <v>4320150</v>
      </c>
      <c r="F241" s="55">
        <v>92</v>
      </c>
      <c r="G241" s="57" t="s">
        <v>1570</v>
      </c>
      <c r="H241" s="57" t="s">
        <v>1554</v>
      </c>
      <c r="K241" s="58">
        <v>0</v>
      </c>
      <c r="L241" s="58">
        <v>404</v>
      </c>
      <c r="M241" s="58">
        <v>166</v>
      </c>
      <c r="N241" s="58">
        <v>0</v>
      </c>
      <c r="O241" s="58">
        <v>570</v>
      </c>
      <c r="P241" s="67"/>
      <c r="Q241" s="134"/>
      <c r="R241" s="45"/>
      <c r="S241" s="67"/>
      <c r="T241" s="129"/>
    </row>
    <row r="242" spans="1:21" x14ac:dyDescent="0.25">
      <c r="A242" s="139" t="s">
        <v>1928</v>
      </c>
      <c r="B242" s="47" t="s">
        <v>1929</v>
      </c>
      <c r="C242" s="47" t="s">
        <v>1930</v>
      </c>
      <c r="D242" s="52">
        <v>4500009</v>
      </c>
      <c r="E242" s="52">
        <v>4500009</v>
      </c>
      <c r="F242" s="52">
        <v>93</v>
      </c>
      <c r="G242" s="49"/>
      <c r="H242" s="49" t="s">
        <v>1554</v>
      </c>
      <c r="K242" s="61">
        <v>6</v>
      </c>
      <c r="L242" s="61">
        <v>7</v>
      </c>
      <c r="M242" s="61">
        <v>12</v>
      </c>
      <c r="N242" s="61">
        <v>62</v>
      </c>
      <c r="O242" s="61">
        <v>87</v>
      </c>
      <c r="P242" s="65">
        <v>87000</v>
      </c>
      <c r="Q242" s="134">
        <f t="shared" si="15"/>
        <v>1.1350293542074363</v>
      </c>
      <c r="R242" s="45">
        <f t="shared" si="13"/>
        <v>681.01761252446181</v>
      </c>
      <c r="S242" s="65">
        <v>1.1399999999999999</v>
      </c>
      <c r="T242" s="127">
        <v>1</v>
      </c>
      <c r="U242" s="132" t="s">
        <v>2243</v>
      </c>
    </row>
    <row r="243" spans="1:21" x14ac:dyDescent="0.25">
      <c r="A243" s="139" t="s">
        <v>1931</v>
      </c>
      <c r="B243" s="47" t="s">
        <v>1932</v>
      </c>
      <c r="C243" s="47"/>
      <c r="D243" s="52">
        <v>4500021</v>
      </c>
      <c r="E243" s="52">
        <v>4500021</v>
      </c>
      <c r="F243" s="52">
        <v>94</v>
      </c>
      <c r="G243" s="49"/>
      <c r="H243" s="49" t="s">
        <v>1554</v>
      </c>
      <c r="P243" s="65">
        <v>100000</v>
      </c>
      <c r="Q243" s="134">
        <f t="shared" si="15"/>
        <v>1.3046314416177429</v>
      </c>
      <c r="R243" s="45">
        <f t="shared" si="13"/>
        <v>782.77886497064571</v>
      </c>
      <c r="S243" s="65">
        <v>1.3</v>
      </c>
      <c r="T243" s="127">
        <v>1</v>
      </c>
      <c r="U243" s="132" t="s">
        <v>2243</v>
      </c>
    </row>
    <row r="244" spans="1:21" x14ac:dyDescent="0.25">
      <c r="A244" s="139" t="s">
        <v>1933</v>
      </c>
      <c r="B244" s="61" t="s">
        <v>550</v>
      </c>
      <c r="C244" s="47" t="s">
        <v>1934</v>
      </c>
      <c r="D244" s="52">
        <v>4500022</v>
      </c>
      <c r="E244" s="52">
        <v>4500022</v>
      </c>
      <c r="F244" s="52"/>
      <c r="G244" s="49"/>
      <c r="H244" s="49" t="s">
        <v>1554</v>
      </c>
      <c r="K244" s="61">
        <v>9</v>
      </c>
      <c r="L244" s="61">
        <v>191</v>
      </c>
      <c r="M244" s="61">
        <v>90</v>
      </c>
      <c r="N244" s="61">
        <v>0</v>
      </c>
      <c r="O244" s="61">
        <v>290</v>
      </c>
      <c r="Q244" s="134"/>
      <c r="R244" s="45"/>
    </row>
    <row r="245" spans="1:21" s="60" customFormat="1" x14ac:dyDescent="0.25">
      <c r="A245" s="139" t="s">
        <v>1935</v>
      </c>
      <c r="B245" s="60" t="s">
        <v>552</v>
      </c>
      <c r="C245" s="47" t="s">
        <v>1934</v>
      </c>
      <c r="D245" s="52">
        <v>4500022</v>
      </c>
      <c r="E245" s="52">
        <v>4500022</v>
      </c>
      <c r="F245" s="52">
        <v>95</v>
      </c>
      <c r="G245" s="49"/>
      <c r="H245" s="49" t="s">
        <v>1554</v>
      </c>
      <c r="K245" s="60">
        <v>39</v>
      </c>
      <c r="L245" s="60">
        <v>238</v>
      </c>
      <c r="M245" s="60">
        <v>117</v>
      </c>
      <c r="N245" s="60">
        <v>32</v>
      </c>
      <c r="O245" s="60">
        <v>426</v>
      </c>
      <c r="P245" s="72">
        <f>SUM(O245-O244)*1000</f>
        <v>136000</v>
      </c>
      <c r="Q245" s="134">
        <f t="shared" si="15"/>
        <v>1.7742987606001304</v>
      </c>
      <c r="R245" s="45">
        <f t="shared" si="13"/>
        <v>1064.5792563600783</v>
      </c>
      <c r="S245" s="72">
        <v>1.77</v>
      </c>
      <c r="T245" s="126">
        <v>10.45</v>
      </c>
      <c r="U245" s="132" t="s">
        <v>2241</v>
      </c>
    </row>
    <row r="246" spans="1:21" s="60" customFormat="1" x14ac:dyDescent="0.25">
      <c r="A246" s="139" t="s">
        <v>1936</v>
      </c>
      <c r="B246" s="47" t="s">
        <v>1937</v>
      </c>
      <c r="C246" s="47" t="s">
        <v>1938</v>
      </c>
      <c r="D246" s="52">
        <v>4500029</v>
      </c>
      <c r="E246" s="52">
        <v>4500029</v>
      </c>
      <c r="F246" s="52">
        <v>96</v>
      </c>
      <c r="G246" s="49"/>
      <c r="H246" s="49" t="s">
        <v>1554</v>
      </c>
      <c r="K246" s="60">
        <v>14</v>
      </c>
      <c r="L246" s="60">
        <v>61</v>
      </c>
      <c r="M246" s="60">
        <v>23</v>
      </c>
      <c r="N246" s="60">
        <v>9</v>
      </c>
      <c r="O246" s="60">
        <v>107</v>
      </c>
      <c r="P246" s="72">
        <f>SUM(O246*1000)</f>
        <v>107000</v>
      </c>
      <c r="Q246" s="134">
        <f t="shared" si="15"/>
        <v>1.3959556425309849</v>
      </c>
      <c r="R246" s="45">
        <f t="shared" si="13"/>
        <v>837.57338551859095</v>
      </c>
      <c r="S246" s="72">
        <v>1.4</v>
      </c>
      <c r="T246" s="126">
        <v>1.39</v>
      </c>
      <c r="U246" s="132" t="s">
        <v>2243</v>
      </c>
    </row>
    <row r="247" spans="1:21" s="60" customFormat="1" x14ac:dyDescent="0.25">
      <c r="A247" s="139" t="s">
        <v>1939</v>
      </c>
      <c r="B247" s="47" t="s">
        <v>1940</v>
      </c>
      <c r="C247" s="47" t="s">
        <v>1941</v>
      </c>
      <c r="D247" s="52">
        <v>4500035</v>
      </c>
      <c r="E247" s="52">
        <v>4500035</v>
      </c>
      <c r="F247" s="52">
        <v>97</v>
      </c>
      <c r="G247" s="49"/>
      <c r="H247" s="49" t="s">
        <v>1554</v>
      </c>
      <c r="K247" s="60">
        <v>17</v>
      </c>
      <c r="L247" s="60">
        <v>11</v>
      </c>
      <c r="M247" s="60">
        <v>8</v>
      </c>
      <c r="N247" s="60">
        <v>15</v>
      </c>
      <c r="O247" s="60">
        <v>76.650000000000006</v>
      </c>
      <c r="P247" s="72">
        <f t="shared" ref="P247:P249" si="16">SUM(O247*1000)</f>
        <v>76650</v>
      </c>
      <c r="Q247" s="134">
        <f t="shared" si="15"/>
        <v>1</v>
      </c>
      <c r="R247" s="45">
        <f t="shared" si="13"/>
        <v>600</v>
      </c>
      <c r="S247" s="72">
        <v>1</v>
      </c>
      <c r="T247" s="126">
        <v>1</v>
      </c>
      <c r="U247" s="132" t="s">
        <v>2242</v>
      </c>
    </row>
    <row r="248" spans="1:21" s="60" customFormat="1" x14ac:dyDescent="0.25">
      <c r="A248" s="139" t="s">
        <v>1942</v>
      </c>
      <c r="B248" s="47" t="s">
        <v>1943</v>
      </c>
      <c r="C248" s="47" t="s">
        <v>1944</v>
      </c>
      <c r="D248" s="52">
        <v>4500040</v>
      </c>
      <c r="E248" s="52">
        <v>4500040</v>
      </c>
      <c r="F248" s="52">
        <v>98</v>
      </c>
      <c r="G248" s="49"/>
      <c r="H248" s="49" t="s">
        <v>1554</v>
      </c>
      <c r="K248" s="60">
        <v>15</v>
      </c>
      <c r="L248" s="60">
        <v>90</v>
      </c>
      <c r="M248" s="60">
        <v>45</v>
      </c>
      <c r="N248" s="60">
        <v>3</v>
      </c>
      <c r="O248" s="60">
        <v>153</v>
      </c>
      <c r="P248" s="72">
        <f t="shared" si="16"/>
        <v>153000</v>
      </c>
      <c r="Q248" s="134">
        <f t="shared" si="15"/>
        <v>1.9960861056751467</v>
      </c>
      <c r="R248" s="45">
        <f t="shared" si="13"/>
        <v>1197.6516634050879</v>
      </c>
      <c r="S248" s="72">
        <v>2</v>
      </c>
      <c r="T248" s="126">
        <v>2.4900000000000002</v>
      </c>
      <c r="U248" s="132" t="s">
        <v>2241</v>
      </c>
    </row>
    <row r="249" spans="1:21" s="60" customFormat="1" x14ac:dyDescent="0.25">
      <c r="A249" s="139" t="s">
        <v>1945</v>
      </c>
      <c r="B249" s="47" t="s">
        <v>1946</v>
      </c>
      <c r="C249" s="47" t="s">
        <v>1871</v>
      </c>
      <c r="D249" s="52">
        <v>4500059</v>
      </c>
      <c r="E249" s="52">
        <v>4500059</v>
      </c>
      <c r="F249" s="52">
        <v>99</v>
      </c>
      <c r="G249" s="49"/>
      <c r="H249" s="49" t="s">
        <v>1554</v>
      </c>
      <c r="K249" s="60">
        <v>187</v>
      </c>
      <c r="L249" s="60">
        <v>102</v>
      </c>
      <c r="M249" s="60">
        <v>145</v>
      </c>
      <c r="N249" s="60">
        <v>137</v>
      </c>
      <c r="O249" s="60">
        <v>571</v>
      </c>
      <c r="P249" s="72">
        <f t="shared" si="16"/>
        <v>571000</v>
      </c>
      <c r="Q249" s="134">
        <f t="shared" si="15"/>
        <v>7.4494455316373127</v>
      </c>
      <c r="R249" s="45">
        <f t="shared" si="13"/>
        <v>4469.6673189823878</v>
      </c>
      <c r="S249" s="72">
        <v>7.45</v>
      </c>
      <c r="T249" s="126">
        <v>4.47</v>
      </c>
      <c r="U249" s="132" t="s">
        <v>2243</v>
      </c>
    </row>
    <row r="250" spans="1:21" s="60" customFormat="1" x14ac:dyDescent="0.25">
      <c r="A250" s="139" t="s">
        <v>1947</v>
      </c>
      <c r="B250" s="47" t="s">
        <v>1948</v>
      </c>
      <c r="C250" s="47" t="s">
        <v>1949</v>
      </c>
      <c r="D250" s="46">
        <v>4520015</v>
      </c>
      <c r="E250" s="46"/>
      <c r="F250" s="52"/>
      <c r="G250" s="49"/>
      <c r="H250" s="49" t="s">
        <v>1554</v>
      </c>
      <c r="K250" s="60">
        <v>58</v>
      </c>
      <c r="L250" s="60">
        <v>48</v>
      </c>
      <c r="M250" s="60">
        <v>50</v>
      </c>
      <c r="N250" s="60">
        <v>53</v>
      </c>
      <c r="O250" s="60">
        <v>209</v>
      </c>
      <c r="P250" s="72"/>
      <c r="Q250" s="134"/>
      <c r="R250" s="45"/>
      <c r="S250" s="72"/>
      <c r="T250" s="126"/>
    </row>
    <row r="251" spans="1:21" s="60" customFormat="1" x14ac:dyDescent="0.25">
      <c r="A251" s="139" t="s">
        <v>1950</v>
      </c>
      <c r="B251" s="60" t="s">
        <v>1156</v>
      </c>
      <c r="C251" s="47" t="s">
        <v>1951</v>
      </c>
      <c r="D251" s="46">
        <v>4520015</v>
      </c>
      <c r="E251" s="46"/>
      <c r="F251" s="52"/>
      <c r="G251" s="49"/>
      <c r="H251" s="49" t="s">
        <v>1554</v>
      </c>
      <c r="K251" s="60">
        <v>0</v>
      </c>
      <c r="L251" s="60">
        <v>0</v>
      </c>
      <c r="M251" s="60">
        <v>0</v>
      </c>
      <c r="N251" s="60">
        <v>0</v>
      </c>
      <c r="O251" s="60">
        <v>0</v>
      </c>
      <c r="P251" s="72"/>
      <c r="Q251" s="134"/>
      <c r="R251" s="45"/>
      <c r="S251" s="72"/>
      <c r="T251" s="126"/>
    </row>
    <row r="252" spans="1:21" s="60" customFormat="1" x14ac:dyDescent="0.25">
      <c r="A252" s="139" t="s">
        <v>1952</v>
      </c>
      <c r="B252" s="60" t="s">
        <v>602</v>
      </c>
      <c r="C252" s="47" t="s">
        <v>1953</v>
      </c>
      <c r="D252" s="46">
        <v>4520015</v>
      </c>
      <c r="E252" s="46">
        <v>4520015</v>
      </c>
      <c r="F252" s="52">
        <v>100</v>
      </c>
      <c r="G252" s="49" t="s">
        <v>1570</v>
      </c>
      <c r="H252" s="49" t="s">
        <v>1554</v>
      </c>
      <c r="K252" s="60">
        <v>197</v>
      </c>
      <c r="L252" s="60">
        <v>413</v>
      </c>
      <c r="M252" s="60">
        <v>314</v>
      </c>
      <c r="N252" s="60">
        <v>104</v>
      </c>
      <c r="O252" s="60">
        <v>1028</v>
      </c>
      <c r="P252" s="72">
        <f>SUM(O250:O252)*1000</f>
        <v>1237000</v>
      </c>
      <c r="Q252" s="134">
        <f t="shared" si="15"/>
        <v>16.138290932811479</v>
      </c>
      <c r="R252" s="45">
        <f t="shared" ref="R252:R312" si="17">SUM(Q252*600)</f>
        <v>9682.974559686887</v>
      </c>
      <c r="S252" s="72">
        <v>16.14</v>
      </c>
      <c r="T252" s="126">
        <v>15.88</v>
      </c>
      <c r="U252" s="132" t="s">
        <v>2243</v>
      </c>
    </row>
    <row r="253" spans="1:21" x14ac:dyDescent="0.25">
      <c r="A253" s="139" t="s">
        <v>1954</v>
      </c>
      <c r="B253" s="47" t="s">
        <v>1955</v>
      </c>
      <c r="C253" s="47" t="s">
        <v>1956</v>
      </c>
      <c r="D253" s="46">
        <v>4520012</v>
      </c>
      <c r="E253" s="46">
        <v>4520012</v>
      </c>
      <c r="F253" s="52">
        <v>101</v>
      </c>
      <c r="G253" s="49"/>
      <c r="H253" s="49" t="s">
        <v>1554</v>
      </c>
      <c r="K253" s="61">
        <v>3</v>
      </c>
      <c r="L253" s="61">
        <v>3</v>
      </c>
      <c r="M253" s="61">
        <v>2</v>
      </c>
      <c r="N253" s="61">
        <v>3</v>
      </c>
      <c r="O253" s="61">
        <v>76.650000000000006</v>
      </c>
      <c r="P253" s="65">
        <f>SUM(O253*1000)</f>
        <v>76650</v>
      </c>
      <c r="Q253" s="134">
        <f t="shared" si="15"/>
        <v>1</v>
      </c>
      <c r="R253" s="45">
        <f t="shared" si="17"/>
        <v>600</v>
      </c>
      <c r="S253" s="65">
        <v>1</v>
      </c>
      <c r="T253" s="127">
        <v>1</v>
      </c>
      <c r="U253" s="132" t="s">
        <v>2242</v>
      </c>
    </row>
    <row r="254" spans="1:21" x14ac:dyDescent="0.25">
      <c r="A254" s="139" t="s">
        <v>1957</v>
      </c>
      <c r="B254" s="47" t="s">
        <v>1958</v>
      </c>
      <c r="C254" s="47" t="s">
        <v>1959</v>
      </c>
      <c r="D254" s="46">
        <v>4520018</v>
      </c>
      <c r="E254" s="46">
        <v>4520018</v>
      </c>
      <c r="F254" s="52">
        <v>102</v>
      </c>
      <c r="G254" s="49"/>
      <c r="H254" s="49" t="s">
        <v>1554</v>
      </c>
      <c r="K254" s="61">
        <v>67</v>
      </c>
      <c r="L254" s="61">
        <v>15</v>
      </c>
      <c r="M254" s="61">
        <v>11</v>
      </c>
      <c r="N254" s="61">
        <v>23</v>
      </c>
      <c r="O254" s="61">
        <v>116</v>
      </c>
      <c r="P254" s="65">
        <f t="shared" ref="P254:P256" si="18">SUM(O254*1000)</f>
        <v>116000</v>
      </c>
      <c r="Q254" s="134">
        <f t="shared" si="15"/>
        <v>1.5133724722765818</v>
      </c>
      <c r="R254" s="45">
        <f t="shared" si="17"/>
        <v>908.02348336594912</v>
      </c>
      <c r="S254" s="65">
        <v>1.51</v>
      </c>
      <c r="T254" s="127">
        <v>1</v>
      </c>
      <c r="U254" s="132" t="s">
        <v>2243</v>
      </c>
    </row>
    <row r="255" spans="1:21" x14ac:dyDescent="0.25">
      <c r="A255" s="139" t="s">
        <v>1960</v>
      </c>
      <c r="B255" s="47" t="s">
        <v>1961</v>
      </c>
      <c r="C255" s="47" t="s">
        <v>1962</v>
      </c>
      <c r="D255" s="46">
        <v>4520020</v>
      </c>
      <c r="E255" s="46">
        <v>4520020</v>
      </c>
      <c r="F255" s="52">
        <v>103</v>
      </c>
      <c r="G255" s="49"/>
      <c r="H255" s="49" t="s">
        <v>1554</v>
      </c>
      <c r="K255" s="61">
        <v>52</v>
      </c>
      <c r="L255" s="61">
        <v>49</v>
      </c>
      <c r="M255" s="61">
        <v>118</v>
      </c>
      <c r="N255" s="61">
        <v>44</v>
      </c>
      <c r="O255" s="61">
        <v>263</v>
      </c>
      <c r="P255" s="65">
        <f t="shared" si="18"/>
        <v>263000</v>
      </c>
      <c r="Q255" s="134">
        <f t="shared" si="15"/>
        <v>3.4311806914546641</v>
      </c>
      <c r="R255" s="45">
        <f t="shared" si="17"/>
        <v>2058.7084148727986</v>
      </c>
      <c r="S255" s="65">
        <v>3.43</v>
      </c>
      <c r="T255" s="127">
        <v>4.43</v>
      </c>
      <c r="U255" s="132" t="s">
        <v>2241</v>
      </c>
    </row>
    <row r="256" spans="1:21" x14ac:dyDescent="0.25">
      <c r="A256" s="139" t="s">
        <v>1963</v>
      </c>
      <c r="B256" s="47" t="s">
        <v>1964</v>
      </c>
      <c r="C256" s="47" t="s">
        <v>1965</v>
      </c>
      <c r="D256" s="46">
        <v>4520046</v>
      </c>
      <c r="E256" s="46">
        <v>4520046</v>
      </c>
      <c r="F256" s="52">
        <v>104</v>
      </c>
      <c r="G256" s="49"/>
      <c r="H256" s="49" t="s">
        <v>1554</v>
      </c>
      <c r="K256" s="61">
        <v>17</v>
      </c>
      <c r="L256" s="61">
        <v>20</v>
      </c>
      <c r="M256" s="61">
        <v>18</v>
      </c>
      <c r="N256" s="61">
        <v>18</v>
      </c>
      <c r="O256" s="61">
        <v>76.650000000000006</v>
      </c>
      <c r="P256" s="65">
        <f t="shared" si="18"/>
        <v>76650</v>
      </c>
      <c r="Q256" s="134">
        <f t="shared" si="15"/>
        <v>1</v>
      </c>
      <c r="R256" s="45">
        <f t="shared" si="17"/>
        <v>600</v>
      </c>
      <c r="S256" s="65">
        <v>1</v>
      </c>
      <c r="T256" s="127">
        <v>1</v>
      </c>
      <c r="U256" s="132" t="s">
        <v>2242</v>
      </c>
    </row>
    <row r="257" spans="1:21" x14ac:dyDescent="0.25">
      <c r="A257" s="139" t="s">
        <v>1966</v>
      </c>
      <c r="B257" s="47" t="s">
        <v>1967</v>
      </c>
      <c r="C257" s="46" t="s">
        <v>1373</v>
      </c>
      <c r="D257" s="135">
        <v>4520054</v>
      </c>
      <c r="E257" s="46">
        <v>4520054</v>
      </c>
      <c r="F257" s="52"/>
      <c r="G257" s="49"/>
      <c r="H257" s="49" t="s">
        <v>1554</v>
      </c>
      <c r="K257" s="61">
        <v>1</v>
      </c>
      <c r="L257" s="61">
        <v>2</v>
      </c>
      <c r="M257" s="61">
        <v>2</v>
      </c>
      <c r="N257" s="61">
        <v>2</v>
      </c>
      <c r="O257" s="61">
        <v>7</v>
      </c>
      <c r="Q257" s="134"/>
      <c r="R257" s="45"/>
    </row>
    <row r="258" spans="1:21" x14ac:dyDescent="0.25">
      <c r="A258" s="139" t="s">
        <v>1968</v>
      </c>
      <c r="B258" s="47" t="s">
        <v>1967</v>
      </c>
      <c r="C258" s="61" t="s">
        <v>1092</v>
      </c>
      <c r="D258" s="135">
        <v>4520054</v>
      </c>
      <c r="E258" s="46">
        <v>4520054</v>
      </c>
      <c r="F258" s="52"/>
      <c r="G258" s="49"/>
      <c r="H258" s="49" t="s">
        <v>1554</v>
      </c>
      <c r="K258" s="61">
        <v>118</v>
      </c>
      <c r="L258" s="61">
        <v>114</v>
      </c>
      <c r="M258" s="61">
        <v>101</v>
      </c>
      <c r="N258" s="61">
        <v>193</v>
      </c>
      <c r="O258" s="61">
        <v>526</v>
      </c>
      <c r="Q258" s="134"/>
      <c r="R258" s="45"/>
    </row>
    <row r="259" spans="1:21" x14ac:dyDescent="0.25">
      <c r="A259" s="139"/>
      <c r="B259" s="47" t="s">
        <v>1967</v>
      </c>
      <c r="C259" s="61" t="s">
        <v>1092</v>
      </c>
      <c r="D259" s="135">
        <v>4520054</v>
      </c>
      <c r="E259" s="46">
        <v>4520054</v>
      </c>
      <c r="F259" s="52"/>
      <c r="G259" s="49"/>
      <c r="H259" s="49" t="s">
        <v>1554</v>
      </c>
      <c r="K259" s="61">
        <v>124</v>
      </c>
      <c r="L259" s="61">
        <v>119</v>
      </c>
      <c r="M259" s="61">
        <v>105</v>
      </c>
      <c r="N259" s="61">
        <v>202</v>
      </c>
      <c r="O259" s="61">
        <v>550</v>
      </c>
      <c r="Q259" s="134"/>
      <c r="R259" s="45"/>
    </row>
    <row r="260" spans="1:21" x14ac:dyDescent="0.25">
      <c r="A260" s="139"/>
      <c r="B260" s="47" t="s">
        <v>1967</v>
      </c>
      <c r="C260" s="61" t="s">
        <v>1095</v>
      </c>
      <c r="D260" s="135">
        <v>4520054</v>
      </c>
      <c r="E260" s="46">
        <v>4520054</v>
      </c>
      <c r="F260" s="52"/>
      <c r="G260" s="49"/>
      <c r="H260" s="49" t="s">
        <v>1554</v>
      </c>
      <c r="K260" s="61">
        <v>0</v>
      </c>
      <c r="L260" s="61">
        <v>0</v>
      </c>
      <c r="M260" s="61">
        <v>0</v>
      </c>
      <c r="N260" s="61">
        <v>0</v>
      </c>
      <c r="O260" s="61">
        <v>0</v>
      </c>
      <c r="Q260" s="134"/>
      <c r="R260" s="45"/>
    </row>
    <row r="261" spans="1:21" x14ac:dyDescent="0.25">
      <c r="A261" s="139"/>
      <c r="B261" s="47" t="s">
        <v>1967</v>
      </c>
      <c r="C261" s="61" t="s">
        <v>1097</v>
      </c>
      <c r="D261" s="135">
        <v>4520054</v>
      </c>
      <c r="E261" s="46">
        <v>4520054</v>
      </c>
      <c r="F261" s="52"/>
      <c r="G261" s="49"/>
      <c r="H261" s="49" t="s">
        <v>1554</v>
      </c>
      <c r="K261" s="61">
        <v>6</v>
      </c>
      <c r="L261" s="61">
        <v>6</v>
      </c>
      <c r="M261" s="61">
        <v>7</v>
      </c>
      <c r="N261" s="61">
        <v>5</v>
      </c>
      <c r="O261" s="61">
        <v>24</v>
      </c>
      <c r="Q261" s="134"/>
      <c r="R261" s="45"/>
    </row>
    <row r="262" spans="1:21" x14ac:dyDescent="0.25">
      <c r="A262" s="139"/>
      <c r="B262" s="47" t="s">
        <v>1967</v>
      </c>
      <c r="C262" s="47" t="s">
        <v>1969</v>
      </c>
      <c r="D262" s="135">
        <v>4520054</v>
      </c>
      <c r="E262" s="46">
        <v>4520054</v>
      </c>
      <c r="F262" s="52">
        <v>105</v>
      </c>
      <c r="G262" s="49"/>
      <c r="H262" s="49" t="s">
        <v>1554</v>
      </c>
      <c r="P262" s="65">
        <f>SUM(O257:O262)*1000</f>
        <v>1107000</v>
      </c>
      <c r="Q262" s="134">
        <f t="shared" si="15"/>
        <v>14.442270058708415</v>
      </c>
      <c r="R262" s="45">
        <f t="shared" si="17"/>
        <v>8665.3620352250491</v>
      </c>
      <c r="S262" s="65">
        <v>14.44</v>
      </c>
      <c r="T262" s="127">
        <v>13.96</v>
      </c>
      <c r="U262" s="132" t="s">
        <v>2243</v>
      </c>
    </row>
    <row r="263" spans="1:21" x14ac:dyDescent="0.25">
      <c r="A263" s="139" t="s">
        <v>1970</v>
      </c>
      <c r="B263" s="47" t="s">
        <v>1971</v>
      </c>
      <c r="C263" s="61" t="s">
        <v>563</v>
      </c>
      <c r="D263" s="135">
        <v>4520395</v>
      </c>
      <c r="E263" s="46"/>
      <c r="F263" s="52"/>
      <c r="G263" s="49"/>
      <c r="H263" s="49" t="s">
        <v>1554</v>
      </c>
      <c r="K263" s="61">
        <v>2</v>
      </c>
      <c r="L263" s="61">
        <v>3</v>
      </c>
      <c r="M263" s="61">
        <v>2</v>
      </c>
      <c r="N263" s="61">
        <v>9</v>
      </c>
      <c r="O263" s="61">
        <v>16</v>
      </c>
      <c r="Q263" s="134"/>
      <c r="R263" s="45"/>
    </row>
    <row r="264" spans="1:21" x14ac:dyDescent="0.25">
      <c r="A264" s="139" t="s">
        <v>1972</v>
      </c>
      <c r="B264" s="47" t="s">
        <v>1971</v>
      </c>
      <c r="C264" s="61" t="s">
        <v>125</v>
      </c>
      <c r="D264" s="135">
        <v>4520395</v>
      </c>
      <c r="E264" s="46"/>
      <c r="F264" s="52"/>
      <c r="G264" s="49"/>
      <c r="H264" s="49" t="s">
        <v>1554</v>
      </c>
      <c r="K264" s="61">
        <v>2</v>
      </c>
      <c r="L264" s="61">
        <v>2</v>
      </c>
      <c r="M264" s="61">
        <v>1</v>
      </c>
      <c r="N264" s="61">
        <v>1</v>
      </c>
      <c r="O264" s="61">
        <v>6</v>
      </c>
      <c r="Q264" s="134"/>
      <c r="R264" s="45"/>
    </row>
    <row r="265" spans="1:21" x14ac:dyDescent="0.25">
      <c r="A265" s="139">
        <v>4000</v>
      </c>
      <c r="B265" s="47" t="s">
        <v>1971</v>
      </c>
      <c r="C265" s="61" t="s">
        <v>570</v>
      </c>
      <c r="D265" s="135">
        <v>4520395</v>
      </c>
      <c r="E265" s="46"/>
      <c r="F265" s="52"/>
      <c r="G265" s="49"/>
      <c r="H265" s="49" t="s">
        <v>1554</v>
      </c>
      <c r="K265" s="61">
        <v>7</v>
      </c>
      <c r="L265" s="61">
        <v>9</v>
      </c>
      <c r="M265" s="61">
        <v>8</v>
      </c>
      <c r="N265" s="61">
        <v>8</v>
      </c>
      <c r="O265" s="61">
        <v>32</v>
      </c>
      <c r="Q265" s="134"/>
      <c r="R265" s="45"/>
    </row>
    <row r="266" spans="1:21" x14ac:dyDescent="0.25">
      <c r="A266" s="139" t="s">
        <v>1973</v>
      </c>
      <c r="B266" s="47" t="s">
        <v>1971</v>
      </c>
      <c r="C266" s="61" t="s">
        <v>125</v>
      </c>
      <c r="D266" s="135">
        <v>4520395</v>
      </c>
      <c r="E266" s="46"/>
      <c r="F266" s="52"/>
      <c r="G266" s="49"/>
      <c r="H266" s="49" t="s">
        <v>1554</v>
      </c>
      <c r="K266" s="61">
        <v>0</v>
      </c>
      <c r="L266" s="61">
        <v>1</v>
      </c>
      <c r="M266" s="61">
        <v>0</v>
      </c>
      <c r="N266" s="61">
        <v>0</v>
      </c>
      <c r="O266" s="61">
        <v>1</v>
      </c>
      <c r="Q266" s="134"/>
      <c r="R266" s="45"/>
    </row>
    <row r="267" spans="1:21" x14ac:dyDescent="0.25">
      <c r="A267" s="139" t="s">
        <v>1974</v>
      </c>
      <c r="B267" s="47" t="s">
        <v>1971</v>
      </c>
      <c r="C267" s="61" t="s">
        <v>125</v>
      </c>
      <c r="D267" s="135">
        <v>4520395</v>
      </c>
      <c r="E267" s="46"/>
      <c r="F267" s="52"/>
      <c r="G267" s="49"/>
      <c r="H267" s="49" t="s">
        <v>1554</v>
      </c>
      <c r="K267" s="61">
        <v>10</v>
      </c>
      <c r="L267" s="61">
        <v>8</v>
      </c>
      <c r="M267" s="61">
        <v>27</v>
      </c>
      <c r="N267" s="61">
        <v>16</v>
      </c>
      <c r="O267" s="61">
        <v>61</v>
      </c>
      <c r="Q267" s="134"/>
      <c r="R267" s="45"/>
    </row>
    <row r="268" spans="1:21" x14ac:dyDescent="0.25">
      <c r="A268" s="139" t="s">
        <v>1975</v>
      </c>
      <c r="B268" s="47" t="s">
        <v>1971</v>
      </c>
      <c r="C268" s="61" t="s">
        <v>125</v>
      </c>
      <c r="D268" s="135">
        <v>4520395</v>
      </c>
      <c r="E268" s="46">
        <v>4520395</v>
      </c>
      <c r="F268" s="52">
        <v>106</v>
      </c>
      <c r="G268" s="49"/>
      <c r="H268" s="49" t="s">
        <v>1554</v>
      </c>
      <c r="K268" s="61">
        <v>0</v>
      </c>
      <c r="L268" s="61">
        <v>1</v>
      </c>
      <c r="M268" s="61">
        <v>0</v>
      </c>
      <c r="N268" s="61">
        <v>0</v>
      </c>
      <c r="O268" s="61">
        <v>1</v>
      </c>
      <c r="P268" s="65">
        <f>SUM(O263:O268)*1000</f>
        <v>117000</v>
      </c>
      <c r="Q268" s="134">
        <f t="shared" si="15"/>
        <v>1.5264187866927592</v>
      </c>
      <c r="R268" s="45">
        <f t="shared" si="17"/>
        <v>915.85127201565558</v>
      </c>
      <c r="S268" s="65">
        <v>1.53</v>
      </c>
      <c r="T268" s="127">
        <v>1.51</v>
      </c>
      <c r="U268" s="132" t="s">
        <v>2243</v>
      </c>
    </row>
    <row r="269" spans="1:21" x14ac:dyDescent="0.25">
      <c r="A269" s="139" t="s">
        <v>1976</v>
      </c>
      <c r="B269" s="47" t="s">
        <v>1977</v>
      </c>
      <c r="C269" s="61" t="s">
        <v>607</v>
      </c>
      <c r="D269" s="135">
        <v>4520427</v>
      </c>
      <c r="F269" s="52"/>
      <c r="G269" s="49"/>
      <c r="H269" s="49" t="s">
        <v>1554</v>
      </c>
      <c r="K269" s="61">
        <v>24</v>
      </c>
      <c r="L269" s="61">
        <v>24</v>
      </c>
      <c r="M269" s="61">
        <v>26</v>
      </c>
      <c r="N269" s="61">
        <v>21</v>
      </c>
      <c r="O269" s="61">
        <v>95</v>
      </c>
      <c r="Q269" s="134"/>
      <c r="R269" s="45"/>
    </row>
    <row r="270" spans="1:21" x14ac:dyDescent="0.25">
      <c r="A270" s="143"/>
      <c r="B270" s="47" t="s">
        <v>1977</v>
      </c>
      <c r="C270" s="61" t="s">
        <v>611</v>
      </c>
      <c r="D270" s="135">
        <v>4520427</v>
      </c>
      <c r="H270" s="49" t="s">
        <v>1554</v>
      </c>
      <c r="K270" s="61">
        <v>12</v>
      </c>
      <c r="L270" s="61">
        <v>18</v>
      </c>
      <c r="M270" s="61">
        <v>15</v>
      </c>
      <c r="N270" s="61">
        <v>10</v>
      </c>
      <c r="O270" s="61">
        <v>55</v>
      </c>
      <c r="Q270" s="134"/>
      <c r="R270" s="45"/>
    </row>
    <row r="271" spans="1:21" x14ac:dyDescent="0.25">
      <c r="A271" s="143"/>
      <c r="B271" s="47" t="s">
        <v>1977</v>
      </c>
      <c r="C271" s="61" t="s">
        <v>614</v>
      </c>
      <c r="D271" s="135">
        <v>4520427</v>
      </c>
      <c r="H271" s="49" t="s">
        <v>1554</v>
      </c>
      <c r="K271" s="61">
        <v>1</v>
      </c>
      <c r="L271" s="61">
        <v>1</v>
      </c>
      <c r="M271" s="61">
        <v>0</v>
      </c>
      <c r="N271" s="61">
        <v>1</v>
      </c>
      <c r="O271" s="61">
        <v>3</v>
      </c>
      <c r="Q271" s="134"/>
      <c r="R271" s="45"/>
    </row>
    <row r="272" spans="1:21" x14ac:dyDescent="0.25">
      <c r="A272" s="143"/>
      <c r="B272" s="47" t="s">
        <v>1977</v>
      </c>
      <c r="C272" s="61" t="s">
        <v>880</v>
      </c>
      <c r="D272" s="135">
        <v>4520427</v>
      </c>
      <c r="H272" s="49" t="s">
        <v>1554</v>
      </c>
      <c r="K272" s="61">
        <v>3</v>
      </c>
      <c r="L272" s="61">
        <v>3</v>
      </c>
      <c r="M272" s="61">
        <v>3</v>
      </c>
      <c r="N272" s="61">
        <v>3</v>
      </c>
      <c r="O272" s="61">
        <v>12</v>
      </c>
      <c r="Q272" s="134"/>
      <c r="R272" s="45"/>
    </row>
    <row r="273" spans="1:21" s="71" customFormat="1" x14ac:dyDescent="0.25">
      <c r="A273" s="143"/>
      <c r="B273" s="92" t="s">
        <v>1977</v>
      </c>
      <c r="C273" s="71" t="s">
        <v>906</v>
      </c>
      <c r="D273" s="135">
        <v>4520427</v>
      </c>
      <c r="F273" s="87"/>
      <c r="G273" s="86" t="s">
        <v>1570</v>
      </c>
      <c r="H273" s="94" t="s">
        <v>1554</v>
      </c>
      <c r="K273" s="71">
        <v>172</v>
      </c>
      <c r="L273" s="71">
        <v>250</v>
      </c>
      <c r="M273" s="71">
        <v>15</v>
      </c>
      <c r="N273" s="71">
        <v>0</v>
      </c>
      <c r="O273" s="71">
        <v>437</v>
      </c>
      <c r="P273" s="79"/>
      <c r="Q273" s="134"/>
      <c r="R273" s="45"/>
      <c r="S273" s="79"/>
      <c r="T273" s="130"/>
    </row>
    <row r="274" spans="1:21" x14ac:dyDescent="0.25">
      <c r="A274" s="143"/>
      <c r="B274" s="47" t="s">
        <v>1977</v>
      </c>
      <c r="C274" s="61" t="s">
        <v>1085</v>
      </c>
      <c r="D274" s="135">
        <v>4520427</v>
      </c>
      <c r="E274" s="46">
        <v>4520427</v>
      </c>
      <c r="F274" s="68">
        <v>107</v>
      </c>
      <c r="H274" s="49" t="s">
        <v>1554</v>
      </c>
      <c r="K274" s="61">
        <v>15</v>
      </c>
      <c r="L274" s="61">
        <v>15</v>
      </c>
      <c r="M274" s="61">
        <v>17</v>
      </c>
      <c r="N274" s="61">
        <v>16</v>
      </c>
      <c r="O274" s="61">
        <v>63</v>
      </c>
      <c r="P274" s="65">
        <f>SUM(O269+O270+O271+O272+O274)*1000</f>
        <v>228000</v>
      </c>
      <c r="Q274" s="134">
        <f t="shared" si="15"/>
        <v>2.9745596868884538</v>
      </c>
      <c r="R274" s="45">
        <f t="shared" si="17"/>
        <v>1784.7358121330724</v>
      </c>
      <c r="S274" s="65">
        <v>2.97</v>
      </c>
      <c r="T274" s="127">
        <v>2.54</v>
      </c>
      <c r="U274" s="132" t="s">
        <v>2243</v>
      </c>
    </row>
    <row r="275" spans="1:21" x14ac:dyDescent="0.25">
      <c r="A275" s="139" t="s">
        <v>1978</v>
      </c>
      <c r="B275" s="47" t="s">
        <v>1979</v>
      </c>
      <c r="C275" s="47" t="s">
        <v>1980</v>
      </c>
      <c r="D275" s="46">
        <v>4520590</v>
      </c>
      <c r="E275" s="46"/>
      <c r="F275" s="52"/>
      <c r="G275" s="49"/>
      <c r="H275" s="49" t="s">
        <v>1554</v>
      </c>
      <c r="K275" s="61">
        <v>57</v>
      </c>
      <c r="L275" s="61">
        <v>46</v>
      </c>
      <c r="M275" s="61">
        <v>34</v>
      </c>
      <c r="N275" s="61">
        <v>20</v>
      </c>
      <c r="O275" s="61">
        <v>157</v>
      </c>
      <c r="P275" s="65">
        <v>157000</v>
      </c>
      <c r="Q275" s="134">
        <f t="shared" si="15"/>
        <v>2.0482713633398566</v>
      </c>
      <c r="R275" s="45">
        <f t="shared" si="17"/>
        <v>1228.962818003914</v>
      </c>
      <c r="S275" s="65">
        <v>2.0499999999999998</v>
      </c>
      <c r="T275" s="127">
        <v>2.13</v>
      </c>
      <c r="U275" s="132" t="s">
        <v>2241</v>
      </c>
    </row>
    <row r="276" spans="1:21" s="71" customFormat="1" x14ac:dyDescent="0.25">
      <c r="A276" s="139" t="s">
        <v>1981</v>
      </c>
      <c r="B276" s="92" t="s">
        <v>1979</v>
      </c>
      <c r="C276" s="92" t="s">
        <v>1980</v>
      </c>
      <c r="D276" s="100">
        <v>4520590</v>
      </c>
      <c r="E276" s="100">
        <v>4520590</v>
      </c>
      <c r="F276" s="93">
        <v>108</v>
      </c>
      <c r="G276" s="94" t="s">
        <v>1570</v>
      </c>
      <c r="H276" s="94" t="s">
        <v>1554</v>
      </c>
      <c r="K276" s="71">
        <v>72</v>
      </c>
      <c r="L276" s="71">
        <v>148</v>
      </c>
      <c r="M276" s="71">
        <v>33</v>
      </c>
      <c r="N276" s="71">
        <v>0</v>
      </c>
      <c r="O276" s="71">
        <v>253</v>
      </c>
      <c r="P276" s="79"/>
      <c r="Q276" s="134"/>
      <c r="R276" s="45"/>
      <c r="S276" s="79"/>
      <c r="T276" s="130"/>
    </row>
    <row r="277" spans="1:21" x14ac:dyDescent="0.25">
      <c r="A277" s="139" t="s">
        <v>1982</v>
      </c>
      <c r="B277" s="61" t="s">
        <v>605</v>
      </c>
      <c r="C277" s="47" t="s">
        <v>1983</v>
      </c>
      <c r="D277" s="46">
        <v>4520652</v>
      </c>
      <c r="E277" s="46"/>
      <c r="F277" s="52"/>
      <c r="G277" s="50"/>
      <c r="H277" s="49" t="s">
        <v>1554</v>
      </c>
      <c r="K277" s="61">
        <v>764</v>
      </c>
      <c r="L277" s="61">
        <v>1342</v>
      </c>
      <c r="M277" s="61">
        <v>946</v>
      </c>
      <c r="N277" s="61">
        <v>679</v>
      </c>
      <c r="O277" s="61">
        <v>3731</v>
      </c>
      <c r="Q277" s="134"/>
      <c r="R277" s="45"/>
    </row>
    <row r="278" spans="1:21" s="60" customFormat="1" x14ac:dyDescent="0.25">
      <c r="A278" s="139" t="s">
        <v>1984</v>
      </c>
      <c r="B278" s="60" t="s">
        <v>596</v>
      </c>
      <c r="C278" s="47" t="s">
        <v>1983</v>
      </c>
      <c r="D278" s="46">
        <v>4520652</v>
      </c>
      <c r="E278" s="46">
        <v>4520652</v>
      </c>
      <c r="F278" s="52">
        <v>103</v>
      </c>
      <c r="G278" s="50"/>
      <c r="H278" s="49" t="s">
        <v>1554</v>
      </c>
      <c r="K278" s="60">
        <v>0</v>
      </c>
      <c r="L278" s="60">
        <v>315</v>
      </c>
      <c r="M278" s="60">
        <v>70</v>
      </c>
      <c r="N278" s="60">
        <v>0</v>
      </c>
      <c r="O278" s="60">
        <v>385</v>
      </c>
      <c r="P278" s="72">
        <f>SUM(O277-O278)*1000</f>
        <v>3346000</v>
      </c>
      <c r="Q278" s="134">
        <f t="shared" si="15"/>
        <v>43.652968036529678</v>
      </c>
      <c r="R278" s="45">
        <f t="shared" si="17"/>
        <v>26191.780821917808</v>
      </c>
      <c r="S278" s="72">
        <v>43.65</v>
      </c>
      <c r="T278" s="126">
        <v>37.18</v>
      </c>
      <c r="U278" s="132" t="s">
        <v>2243</v>
      </c>
    </row>
    <row r="279" spans="1:21" x14ac:dyDescent="0.25">
      <c r="A279" s="139" t="s">
        <v>1985</v>
      </c>
      <c r="B279" s="47" t="s">
        <v>1986</v>
      </c>
      <c r="C279" s="47" t="s">
        <v>1987</v>
      </c>
      <c r="D279" s="46">
        <v>4520490</v>
      </c>
      <c r="E279" s="46">
        <v>4520490</v>
      </c>
      <c r="F279" s="52">
        <v>104</v>
      </c>
      <c r="G279" s="50"/>
      <c r="H279" s="49" t="s">
        <v>1554</v>
      </c>
      <c r="K279" s="61">
        <v>10</v>
      </c>
      <c r="L279" s="61">
        <v>11</v>
      </c>
      <c r="M279" s="61">
        <v>10</v>
      </c>
      <c r="N279" s="61">
        <v>7</v>
      </c>
      <c r="O279" s="61">
        <v>76.650000000000006</v>
      </c>
      <c r="P279" s="65">
        <f>SUM(O279*1000)</f>
        <v>76650</v>
      </c>
      <c r="Q279" s="134">
        <f t="shared" si="15"/>
        <v>1</v>
      </c>
      <c r="R279" s="45">
        <f t="shared" si="17"/>
        <v>600</v>
      </c>
      <c r="S279" s="65">
        <v>1</v>
      </c>
      <c r="T279" s="127">
        <v>1</v>
      </c>
      <c r="U279" s="132" t="s">
        <v>2242</v>
      </c>
    </row>
    <row r="280" spans="1:21" s="60" customFormat="1" x14ac:dyDescent="0.25">
      <c r="A280" s="139" t="s">
        <v>1988</v>
      </c>
      <c r="B280" s="47" t="s">
        <v>1989</v>
      </c>
      <c r="C280" s="47" t="s">
        <v>1990</v>
      </c>
      <c r="D280" s="46">
        <v>4520510</v>
      </c>
      <c r="E280" s="46"/>
      <c r="F280" s="52"/>
      <c r="G280" s="50"/>
      <c r="H280" s="49" t="s">
        <v>1554</v>
      </c>
      <c r="K280" s="60">
        <v>232</v>
      </c>
      <c r="L280" s="60">
        <v>111</v>
      </c>
      <c r="M280" s="60">
        <v>164</v>
      </c>
      <c r="N280" s="60">
        <v>118</v>
      </c>
      <c r="O280" s="60">
        <v>625</v>
      </c>
      <c r="P280" s="72"/>
      <c r="Q280" s="134"/>
      <c r="R280" s="45">
        <f t="shared" si="17"/>
        <v>0</v>
      </c>
      <c r="S280" s="72"/>
      <c r="T280" s="126"/>
    </row>
    <row r="281" spans="1:21" x14ac:dyDescent="0.25">
      <c r="A281" s="139" t="s">
        <v>1991</v>
      </c>
      <c r="B281" s="47" t="s">
        <v>1989</v>
      </c>
      <c r="C281" s="47" t="s">
        <v>1877</v>
      </c>
      <c r="D281" s="46">
        <v>4520510</v>
      </c>
      <c r="E281" s="46"/>
      <c r="F281" s="52"/>
      <c r="G281" s="50"/>
      <c r="H281" s="49" t="s">
        <v>1554</v>
      </c>
      <c r="K281" s="61">
        <v>36</v>
      </c>
      <c r="L281" s="61">
        <v>44</v>
      </c>
      <c r="M281" s="61">
        <v>5</v>
      </c>
      <c r="N281" s="61">
        <v>0</v>
      </c>
      <c r="O281" s="61">
        <v>85</v>
      </c>
      <c r="P281" s="65">
        <v>710000</v>
      </c>
      <c r="Q281" s="134">
        <f t="shared" si="15"/>
        <v>9.262883235485976</v>
      </c>
      <c r="R281" s="45">
        <f t="shared" si="17"/>
        <v>5557.7299412915854</v>
      </c>
      <c r="S281" s="65">
        <v>9.26</v>
      </c>
      <c r="T281" s="127">
        <v>9.39</v>
      </c>
      <c r="U281" s="132" t="s">
        <v>2241</v>
      </c>
    </row>
    <row r="282" spans="1:21" x14ac:dyDescent="0.25">
      <c r="A282" s="143"/>
      <c r="B282" s="47" t="s">
        <v>1989</v>
      </c>
      <c r="C282" s="61" t="s">
        <v>1503</v>
      </c>
      <c r="D282" s="46">
        <v>4520510</v>
      </c>
      <c r="E282" s="46">
        <v>4520510</v>
      </c>
      <c r="F282" s="68">
        <v>105</v>
      </c>
      <c r="G282" s="66" t="s">
        <v>1570</v>
      </c>
      <c r="H282" s="49" t="s">
        <v>1554</v>
      </c>
      <c r="K282" s="61">
        <v>69</v>
      </c>
      <c r="L282" s="61">
        <v>499</v>
      </c>
      <c r="M282" s="61">
        <v>245</v>
      </c>
      <c r="N282" s="61">
        <v>0</v>
      </c>
      <c r="O282" s="61">
        <v>813</v>
      </c>
      <c r="Q282" s="134"/>
      <c r="R282" s="45"/>
    </row>
    <row r="283" spans="1:21" x14ac:dyDescent="0.25">
      <c r="A283" s="139" t="s">
        <v>1992</v>
      </c>
      <c r="B283" s="47" t="s">
        <v>1993</v>
      </c>
      <c r="C283" s="47" t="s">
        <v>1994</v>
      </c>
      <c r="D283" s="46">
        <v>4540005</v>
      </c>
      <c r="E283" s="46"/>
      <c r="F283" s="52"/>
      <c r="G283" s="50"/>
      <c r="H283" s="49" t="s">
        <v>1554</v>
      </c>
      <c r="K283" s="61">
        <v>2</v>
      </c>
      <c r="L283" s="61">
        <v>1</v>
      </c>
      <c r="M283" s="61">
        <v>2</v>
      </c>
      <c r="N283" s="61">
        <v>2</v>
      </c>
      <c r="O283" s="61">
        <v>7</v>
      </c>
      <c r="Q283" s="134"/>
      <c r="R283" s="45"/>
    </row>
    <row r="284" spans="1:21" x14ac:dyDescent="0.25">
      <c r="A284" s="139" t="s">
        <v>1995</v>
      </c>
      <c r="B284" s="47" t="s">
        <v>1996</v>
      </c>
      <c r="C284" s="47" t="s">
        <v>1997</v>
      </c>
      <c r="D284" s="46">
        <v>4540005</v>
      </c>
      <c r="E284" s="46">
        <v>4540005</v>
      </c>
      <c r="F284" s="52">
        <v>104</v>
      </c>
      <c r="G284" s="50"/>
      <c r="H284" s="49" t="s">
        <v>1554</v>
      </c>
      <c r="K284" s="61">
        <v>48</v>
      </c>
      <c r="L284" s="61">
        <v>27</v>
      </c>
      <c r="M284" s="61">
        <v>42</v>
      </c>
      <c r="N284" s="61">
        <v>34</v>
      </c>
      <c r="O284" s="61">
        <v>151</v>
      </c>
      <c r="P284" s="65">
        <f>SUM(O283:O284)*1000</f>
        <v>158000</v>
      </c>
      <c r="Q284" s="134">
        <f t="shared" si="15"/>
        <v>2.0613176777560338</v>
      </c>
      <c r="R284" s="45">
        <f t="shared" si="17"/>
        <v>1236.7906066536202</v>
      </c>
      <c r="S284" s="65">
        <v>2.06</v>
      </c>
      <c r="T284" s="127">
        <v>1.62</v>
      </c>
      <c r="U284" s="132" t="s">
        <v>2243</v>
      </c>
    </row>
    <row r="285" spans="1:21" x14ac:dyDescent="0.25">
      <c r="A285" s="139" t="s">
        <v>1998</v>
      </c>
      <c r="B285" s="47" t="s">
        <v>1999</v>
      </c>
      <c r="C285" s="47" t="s">
        <v>2246</v>
      </c>
      <c r="D285" s="46">
        <v>4540006</v>
      </c>
      <c r="E285" s="46"/>
      <c r="F285" s="52"/>
      <c r="G285" s="50"/>
      <c r="H285" s="49" t="s">
        <v>1554</v>
      </c>
      <c r="K285" s="51">
        <v>10</v>
      </c>
      <c r="L285" s="51">
        <v>67</v>
      </c>
      <c r="M285" s="51">
        <v>21</v>
      </c>
      <c r="N285" s="51">
        <v>0</v>
      </c>
      <c r="O285" s="51">
        <v>98</v>
      </c>
      <c r="Q285" s="134"/>
      <c r="R285" s="45"/>
    </row>
    <row r="286" spans="1:21" x14ac:dyDescent="0.25">
      <c r="A286" s="139" t="s">
        <v>2001</v>
      </c>
      <c r="B286" s="95" t="s">
        <v>1999</v>
      </c>
      <c r="C286" s="95" t="s">
        <v>2247</v>
      </c>
      <c r="D286" s="99">
        <v>4540006</v>
      </c>
      <c r="E286" s="99">
        <v>4540006</v>
      </c>
      <c r="F286" s="96">
        <v>105</v>
      </c>
      <c r="G286" s="102"/>
      <c r="H286" s="97" t="s">
        <v>1554</v>
      </c>
      <c r="K286" s="51">
        <v>24</v>
      </c>
      <c r="L286" s="51">
        <v>76</v>
      </c>
      <c r="M286" s="51">
        <v>31</v>
      </c>
      <c r="N286" s="51">
        <v>29</v>
      </c>
      <c r="O286" s="51">
        <v>160</v>
      </c>
      <c r="P286" s="65">
        <v>76650</v>
      </c>
      <c r="Q286" s="134">
        <f t="shared" si="15"/>
        <v>1</v>
      </c>
      <c r="R286" s="45">
        <f t="shared" si="17"/>
        <v>600</v>
      </c>
      <c r="S286" s="65">
        <v>1</v>
      </c>
      <c r="T286" s="127">
        <v>1</v>
      </c>
      <c r="U286" s="132" t="s">
        <v>2242</v>
      </c>
    </row>
    <row r="287" spans="1:21" x14ac:dyDescent="0.25">
      <c r="A287" s="139" t="s">
        <v>2002</v>
      </c>
      <c r="B287" s="47" t="s">
        <v>2003</v>
      </c>
      <c r="C287" s="47" t="s">
        <v>2004</v>
      </c>
      <c r="D287" s="46">
        <v>4540011</v>
      </c>
      <c r="E287" s="46">
        <v>4540011</v>
      </c>
      <c r="F287" s="52">
        <v>106</v>
      </c>
      <c r="G287" s="50"/>
      <c r="H287" s="49" t="s">
        <v>1554</v>
      </c>
      <c r="K287" s="61">
        <v>2</v>
      </c>
      <c r="L287" s="61">
        <v>2</v>
      </c>
      <c r="M287" s="61">
        <v>2</v>
      </c>
      <c r="N287" s="61">
        <v>3</v>
      </c>
      <c r="O287" s="61">
        <v>76.650000000000006</v>
      </c>
      <c r="P287" s="65">
        <f>SUM(O287*1000)</f>
        <v>76650</v>
      </c>
      <c r="Q287" s="134">
        <f t="shared" si="15"/>
        <v>1</v>
      </c>
      <c r="R287" s="45">
        <f t="shared" si="17"/>
        <v>600</v>
      </c>
      <c r="S287" s="65">
        <v>1</v>
      </c>
      <c r="T287" s="127">
        <v>1</v>
      </c>
      <c r="U287" s="132" t="s">
        <v>2242</v>
      </c>
    </row>
    <row r="288" spans="1:21" x14ac:dyDescent="0.25">
      <c r="A288" s="139" t="s">
        <v>2005</v>
      </c>
      <c r="B288" s="47" t="s">
        <v>2006</v>
      </c>
      <c r="C288" s="47" t="s">
        <v>2000</v>
      </c>
      <c r="D288" s="46">
        <v>4540012</v>
      </c>
      <c r="E288" s="46">
        <v>4540012</v>
      </c>
      <c r="F288" s="52">
        <v>107</v>
      </c>
      <c r="G288" s="50"/>
      <c r="H288" s="49" t="s">
        <v>1554</v>
      </c>
      <c r="K288" s="61">
        <v>25</v>
      </c>
      <c r="L288" s="61">
        <v>26</v>
      </c>
      <c r="M288" s="61">
        <v>25</v>
      </c>
      <c r="N288" s="61">
        <v>27</v>
      </c>
      <c r="O288" s="61">
        <v>103</v>
      </c>
      <c r="P288" s="65">
        <f t="shared" ref="P288:P294" si="19">SUM(O288*1000)</f>
        <v>103000</v>
      </c>
      <c r="Q288" s="134">
        <f t="shared" si="15"/>
        <v>1.3437703848662752</v>
      </c>
      <c r="R288" s="45">
        <f t="shared" si="17"/>
        <v>806.2622309197651</v>
      </c>
      <c r="S288" s="65">
        <v>1.34</v>
      </c>
      <c r="T288" s="127">
        <v>1.79</v>
      </c>
      <c r="U288" s="132" t="s">
        <v>2243</v>
      </c>
    </row>
    <row r="289" spans="1:21" x14ac:dyDescent="0.25">
      <c r="A289" s="139" t="s">
        <v>2007</v>
      </c>
      <c r="B289" s="47" t="s">
        <v>2008</v>
      </c>
      <c r="C289" s="47" t="s">
        <v>2009</v>
      </c>
      <c r="D289" s="46">
        <v>4540014</v>
      </c>
      <c r="E289" s="46"/>
      <c r="F289" s="52"/>
      <c r="G289" s="50"/>
      <c r="H289" s="49" t="s">
        <v>1554</v>
      </c>
      <c r="K289" s="51">
        <v>0</v>
      </c>
      <c r="L289" s="51">
        <v>0</v>
      </c>
      <c r="M289" s="51">
        <v>0</v>
      </c>
      <c r="N289" s="51">
        <v>0</v>
      </c>
      <c r="O289" s="51">
        <v>0</v>
      </c>
      <c r="P289" s="65">
        <f t="shared" si="19"/>
        <v>0</v>
      </c>
      <c r="Q289" s="134"/>
      <c r="R289" s="45"/>
    </row>
    <row r="290" spans="1:21" x14ac:dyDescent="0.25">
      <c r="A290" s="139" t="s">
        <v>2010</v>
      </c>
      <c r="B290" s="47" t="s">
        <v>2008</v>
      </c>
      <c r="C290" s="47" t="s">
        <v>2009</v>
      </c>
      <c r="D290" s="46">
        <v>4540014</v>
      </c>
      <c r="E290" s="46">
        <v>4540014</v>
      </c>
      <c r="F290" s="52">
        <v>108</v>
      </c>
      <c r="G290" s="50"/>
      <c r="H290" s="49" t="s">
        <v>1554</v>
      </c>
      <c r="O290" s="51">
        <v>76.650000000000006</v>
      </c>
      <c r="P290" s="65">
        <f t="shared" si="19"/>
        <v>76650</v>
      </c>
      <c r="Q290" s="134">
        <f t="shared" si="15"/>
        <v>1</v>
      </c>
      <c r="R290" s="45">
        <f t="shared" si="17"/>
        <v>600</v>
      </c>
      <c r="S290" s="65">
        <v>1</v>
      </c>
      <c r="T290" s="127">
        <v>1</v>
      </c>
      <c r="U290" s="132" t="s">
        <v>2242</v>
      </c>
    </row>
    <row r="291" spans="1:21" x14ac:dyDescent="0.25">
      <c r="A291" s="139"/>
      <c r="B291" s="47" t="s">
        <v>2011</v>
      </c>
      <c r="C291" s="47" t="s">
        <v>2012</v>
      </c>
      <c r="D291" s="46">
        <v>4540016</v>
      </c>
      <c r="E291" s="46">
        <v>4540016</v>
      </c>
      <c r="F291" s="52"/>
      <c r="G291" s="50"/>
      <c r="H291" s="49" t="s">
        <v>1554</v>
      </c>
      <c r="K291" s="61">
        <v>0</v>
      </c>
      <c r="L291" s="61">
        <v>0</v>
      </c>
      <c r="M291" s="61">
        <v>0</v>
      </c>
      <c r="N291" s="61">
        <v>0</v>
      </c>
      <c r="O291" s="61">
        <v>76.650000000000006</v>
      </c>
      <c r="P291" s="65">
        <f t="shared" si="19"/>
        <v>76650</v>
      </c>
      <c r="Q291" s="134">
        <f t="shared" si="15"/>
        <v>1</v>
      </c>
      <c r="R291" s="45">
        <f t="shared" si="17"/>
        <v>600</v>
      </c>
      <c r="S291" s="65">
        <v>1</v>
      </c>
      <c r="T291" s="127">
        <v>1</v>
      </c>
      <c r="U291" s="132" t="s">
        <v>2242</v>
      </c>
    </row>
    <row r="292" spans="1:21" x14ac:dyDescent="0.25">
      <c r="A292" s="139" t="s">
        <v>2013</v>
      </c>
      <c r="B292" s="47" t="s">
        <v>2014</v>
      </c>
      <c r="C292" s="47" t="s">
        <v>2015</v>
      </c>
      <c r="D292" s="46">
        <v>4540017</v>
      </c>
      <c r="E292" s="46">
        <v>4540017</v>
      </c>
      <c r="F292" s="52">
        <v>109</v>
      </c>
      <c r="G292" s="50"/>
      <c r="H292" s="49" t="s">
        <v>1554</v>
      </c>
      <c r="K292" s="61">
        <v>1</v>
      </c>
      <c r="L292" s="61">
        <v>1</v>
      </c>
      <c r="M292" s="61">
        <v>1</v>
      </c>
      <c r="N292" s="61">
        <v>1</v>
      </c>
      <c r="O292" s="61">
        <v>76.650000000000006</v>
      </c>
      <c r="P292" s="65">
        <f t="shared" si="19"/>
        <v>76650</v>
      </c>
      <c r="Q292" s="134">
        <f t="shared" si="15"/>
        <v>1</v>
      </c>
      <c r="R292" s="45">
        <f t="shared" si="17"/>
        <v>600</v>
      </c>
      <c r="S292" s="65">
        <v>1</v>
      </c>
    </row>
    <row r="293" spans="1:21" x14ac:dyDescent="0.25">
      <c r="A293" s="139" t="s">
        <v>2016</v>
      </c>
      <c r="B293" s="47" t="s">
        <v>2017</v>
      </c>
      <c r="C293" s="47" t="s">
        <v>2018</v>
      </c>
      <c r="D293" s="46">
        <v>4540020</v>
      </c>
      <c r="E293" s="46">
        <v>4540020</v>
      </c>
      <c r="F293" s="52">
        <v>110</v>
      </c>
      <c r="G293" s="50"/>
      <c r="H293" s="49" t="s">
        <v>1554</v>
      </c>
      <c r="K293" s="61">
        <v>29</v>
      </c>
      <c r="L293" s="61">
        <v>42</v>
      </c>
      <c r="M293" s="61">
        <v>22</v>
      </c>
      <c r="N293" s="61">
        <v>170</v>
      </c>
      <c r="O293" s="61">
        <v>263</v>
      </c>
      <c r="P293" s="65">
        <f t="shared" si="19"/>
        <v>263000</v>
      </c>
      <c r="Q293" s="134">
        <f t="shared" si="15"/>
        <v>3.4311806914546641</v>
      </c>
      <c r="R293" s="45">
        <f t="shared" si="17"/>
        <v>2058.7084148727986</v>
      </c>
      <c r="S293" s="65">
        <v>3.43</v>
      </c>
      <c r="T293" s="127">
        <v>2.02</v>
      </c>
      <c r="U293" s="132" t="s">
        <v>2243</v>
      </c>
    </row>
    <row r="294" spans="1:21" x14ac:dyDescent="0.25">
      <c r="A294" s="139" t="s">
        <v>2019</v>
      </c>
      <c r="B294" s="47" t="s">
        <v>2020</v>
      </c>
      <c r="C294" s="47" t="s">
        <v>2021</v>
      </c>
      <c r="D294" s="46">
        <v>4540021</v>
      </c>
      <c r="E294" s="46">
        <v>4540021</v>
      </c>
      <c r="F294" s="52">
        <v>111</v>
      </c>
      <c r="G294" s="50"/>
      <c r="H294" s="49" t="s">
        <v>1554</v>
      </c>
      <c r="K294" s="61">
        <v>16</v>
      </c>
      <c r="L294" s="61">
        <v>17</v>
      </c>
      <c r="M294" s="61">
        <v>13</v>
      </c>
      <c r="N294" s="61">
        <v>12</v>
      </c>
      <c r="O294" s="61">
        <v>76.650000000000006</v>
      </c>
      <c r="P294" s="65">
        <f t="shared" si="19"/>
        <v>76650</v>
      </c>
      <c r="Q294" s="134">
        <f t="shared" si="15"/>
        <v>1</v>
      </c>
      <c r="R294" s="45">
        <f t="shared" si="17"/>
        <v>600</v>
      </c>
      <c r="S294" s="65">
        <v>1</v>
      </c>
      <c r="T294" s="127">
        <v>1</v>
      </c>
      <c r="U294" s="132" t="s">
        <v>2242</v>
      </c>
    </row>
    <row r="295" spans="1:21" x14ac:dyDescent="0.25">
      <c r="A295" s="139" t="s">
        <v>2022</v>
      </c>
      <c r="B295" s="47" t="s">
        <v>2023</v>
      </c>
      <c r="C295" s="47" t="s">
        <v>2024</v>
      </c>
      <c r="D295" s="46">
        <v>4540026</v>
      </c>
      <c r="E295" s="46"/>
      <c r="F295" s="52"/>
      <c r="G295" s="50"/>
      <c r="H295" s="49" t="s">
        <v>1554</v>
      </c>
      <c r="K295" s="61">
        <v>296</v>
      </c>
      <c r="L295" s="61">
        <v>349</v>
      </c>
      <c r="M295" s="61">
        <v>339</v>
      </c>
      <c r="N295" s="61">
        <v>271</v>
      </c>
      <c r="O295" s="61">
        <v>1255</v>
      </c>
      <c r="Q295" s="134"/>
      <c r="R295" s="45"/>
    </row>
    <row r="296" spans="1:21" x14ac:dyDescent="0.25">
      <c r="A296" s="139" t="s">
        <v>2025</v>
      </c>
      <c r="B296" s="61" t="s">
        <v>750</v>
      </c>
      <c r="C296" s="47" t="s">
        <v>2024</v>
      </c>
      <c r="D296" s="46">
        <v>4540026</v>
      </c>
      <c r="E296" s="46"/>
      <c r="F296" s="52"/>
      <c r="G296" s="50"/>
      <c r="H296" s="49" t="s">
        <v>1554</v>
      </c>
      <c r="K296" s="61">
        <v>24</v>
      </c>
      <c r="L296" s="61">
        <v>278</v>
      </c>
      <c r="M296" s="61">
        <v>58</v>
      </c>
      <c r="N296" s="61">
        <v>18</v>
      </c>
      <c r="O296" s="61">
        <v>378</v>
      </c>
      <c r="Q296" s="134"/>
      <c r="R296" s="45"/>
    </row>
    <row r="297" spans="1:21" s="60" customFormat="1" x14ac:dyDescent="0.25">
      <c r="A297" s="139" t="s">
        <v>2026</v>
      </c>
      <c r="B297" s="60" t="s">
        <v>734</v>
      </c>
      <c r="C297" s="47" t="s">
        <v>2024</v>
      </c>
      <c r="D297" s="46">
        <v>4540026</v>
      </c>
      <c r="E297" s="46">
        <v>4540026</v>
      </c>
      <c r="F297" s="52">
        <v>112</v>
      </c>
      <c r="G297" s="50"/>
      <c r="H297" s="49" t="s">
        <v>1554</v>
      </c>
      <c r="K297" s="60">
        <v>2</v>
      </c>
      <c r="L297" s="60">
        <v>169</v>
      </c>
      <c r="M297" s="60">
        <v>30</v>
      </c>
      <c r="N297" s="60">
        <v>0</v>
      </c>
      <c r="O297" s="60">
        <v>201</v>
      </c>
      <c r="P297" s="72">
        <f>SUM(O296-O297+O295)*1000</f>
        <v>1432000</v>
      </c>
      <c r="Q297" s="134">
        <f t="shared" ref="Q297:Q361" si="20">SUM(P297/76650)</f>
        <v>18.68232224396608</v>
      </c>
      <c r="R297" s="45">
        <f t="shared" si="17"/>
        <v>11209.393346379647</v>
      </c>
      <c r="S297" s="72">
        <v>18.68</v>
      </c>
      <c r="T297" s="126">
        <v>17.53</v>
      </c>
      <c r="U297" s="132" t="s">
        <v>2243</v>
      </c>
    </row>
    <row r="298" spans="1:21" x14ac:dyDescent="0.25">
      <c r="A298" s="139" t="s">
        <v>2027</v>
      </c>
      <c r="B298" s="61" t="s">
        <v>1348</v>
      </c>
      <c r="C298" s="47" t="s">
        <v>2028</v>
      </c>
      <c r="D298" s="46">
        <v>4540029</v>
      </c>
      <c r="E298" s="46"/>
      <c r="F298" s="52"/>
      <c r="G298" s="50"/>
      <c r="H298" s="49" t="s">
        <v>1554</v>
      </c>
      <c r="K298" s="61">
        <v>0</v>
      </c>
      <c r="L298" s="61">
        <v>0</v>
      </c>
      <c r="M298" s="61">
        <v>0</v>
      </c>
      <c r="N298" s="61">
        <v>0</v>
      </c>
      <c r="O298" s="61">
        <v>0</v>
      </c>
      <c r="Q298" s="134"/>
      <c r="R298" s="45"/>
    </row>
    <row r="299" spans="1:21" x14ac:dyDescent="0.25">
      <c r="A299" s="139" t="s">
        <v>2029</v>
      </c>
      <c r="B299" s="61" t="s">
        <v>1350</v>
      </c>
      <c r="C299" s="47" t="s">
        <v>2030</v>
      </c>
      <c r="D299" s="46">
        <v>4540029</v>
      </c>
      <c r="E299" s="46"/>
      <c r="F299" s="52"/>
      <c r="G299" s="50"/>
      <c r="H299" s="49" t="s">
        <v>1554</v>
      </c>
      <c r="K299" s="61">
        <v>47</v>
      </c>
      <c r="L299" s="61">
        <v>42</v>
      </c>
      <c r="M299" s="61">
        <v>35</v>
      </c>
      <c r="N299" s="61">
        <v>50</v>
      </c>
      <c r="O299" s="61">
        <v>174</v>
      </c>
      <c r="Q299" s="134"/>
      <c r="R299" s="45"/>
    </row>
    <row r="300" spans="1:21" x14ac:dyDescent="0.25">
      <c r="A300" s="139" t="s">
        <v>2031</v>
      </c>
      <c r="B300" s="61" t="s">
        <v>1353</v>
      </c>
      <c r="C300" s="47" t="s">
        <v>2032</v>
      </c>
      <c r="D300" s="46">
        <v>4540029</v>
      </c>
      <c r="E300" s="46"/>
      <c r="F300" s="52"/>
      <c r="G300" s="50"/>
      <c r="H300" s="49" t="s">
        <v>1554</v>
      </c>
      <c r="K300" s="61">
        <v>0</v>
      </c>
      <c r="L300" s="61">
        <v>0</v>
      </c>
      <c r="M300" s="61">
        <v>0</v>
      </c>
      <c r="N300" s="61">
        <v>0</v>
      </c>
      <c r="O300" s="61">
        <v>0</v>
      </c>
      <c r="Q300" s="134"/>
      <c r="R300" s="45"/>
    </row>
    <row r="301" spans="1:21" x14ac:dyDescent="0.25">
      <c r="A301" s="139" t="s">
        <v>2033</v>
      </c>
      <c r="B301" s="61" t="s">
        <v>1355</v>
      </c>
      <c r="C301" s="47" t="s">
        <v>2034</v>
      </c>
      <c r="D301" s="46">
        <v>4540029</v>
      </c>
      <c r="E301" s="46">
        <v>4540029</v>
      </c>
      <c r="F301" s="52">
        <v>113</v>
      </c>
      <c r="G301" s="50"/>
      <c r="H301" s="49" t="s">
        <v>1554</v>
      </c>
      <c r="K301" s="61">
        <v>0</v>
      </c>
      <c r="L301" s="61">
        <v>0</v>
      </c>
      <c r="M301" s="61">
        <v>0</v>
      </c>
      <c r="N301" s="61">
        <v>0</v>
      </c>
      <c r="O301" s="61">
        <v>0</v>
      </c>
      <c r="P301" s="65">
        <v>174000</v>
      </c>
      <c r="Q301" s="134">
        <f t="shared" si="20"/>
        <v>2.2700587084148727</v>
      </c>
      <c r="R301" s="45">
        <f t="shared" si="17"/>
        <v>1362.0352250489236</v>
      </c>
      <c r="S301" s="65">
        <v>2.27</v>
      </c>
      <c r="T301" s="127">
        <v>1</v>
      </c>
      <c r="U301" s="132" t="s">
        <v>2243</v>
      </c>
    </row>
    <row r="302" spans="1:21" x14ac:dyDescent="0.25">
      <c r="A302" s="139" t="s">
        <v>2035</v>
      </c>
      <c r="B302" s="47" t="s">
        <v>2036</v>
      </c>
      <c r="C302" s="47" t="s">
        <v>2037</v>
      </c>
      <c r="D302" s="46">
        <v>4540037</v>
      </c>
      <c r="E302" s="46">
        <v>4540037</v>
      </c>
      <c r="F302" s="52">
        <v>114</v>
      </c>
      <c r="G302" s="50"/>
      <c r="H302" s="49" t="s">
        <v>1554</v>
      </c>
      <c r="K302" s="61">
        <v>21</v>
      </c>
      <c r="L302" s="61">
        <v>21</v>
      </c>
      <c r="M302" s="61">
        <v>19</v>
      </c>
      <c r="N302" s="61">
        <v>17</v>
      </c>
      <c r="O302" s="61">
        <v>78</v>
      </c>
      <c r="P302" s="65">
        <f>SUM(O302*1000)</f>
        <v>78000</v>
      </c>
      <c r="Q302" s="134">
        <f t="shared" si="20"/>
        <v>1.0176125244618395</v>
      </c>
      <c r="R302" s="45">
        <f t="shared" si="17"/>
        <v>610.56751467710365</v>
      </c>
      <c r="S302" s="65">
        <v>1.02</v>
      </c>
    </row>
    <row r="303" spans="1:21" s="71" customFormat="1" x14ac:dyDescent="0.25">
      <c r="A303" s="139" t="s">
        <v>2038</v>
      </c>
      <c r="B303" s="71" t="s">
        <v>746</v>
      </c>
      <c r="C303" s="71" t="s">
        <v>727</v>
      </c>
      <c r="D303" s="100">
        <v>4540043</v>
      </c>
      <c r="E303" s="100"/>
      <c r="F303" s="93"/>
      <c r="G303" s="101"/>
      <c r="H303" s="94" t="s">
        <v>1554</v>
      </c>
      <c r="K303" s="71">
        <v>9</v>
      </c>
      <c r="L303" s="71">
        <v>90</v>
      </c>
      <c r="M303" s="71">
        <v>14</v>
      </c>
      <c r="N303" s="71">
        <v>0</v>
      </c>
      <c r="O303" s="71">
        <v>113</v>
      </c>
      <c r="P303" s="79"/>
      <c r="Q303" s="134"/>
      <c r="R303" s="45"/>
      <c r="S303" s="79"/>
      <c r="T303" s="130"/>
    </row>
    <row r="304" spans="1:21" s="60" customFormat="1" x14ac:dyDescent="0.25">
      <c r="A304" s="139" t="s">
        <v>2039</v>
      </c>
      <c r="B304" s="60" t="s">
        <v>748</v>
      </c>
      <c r="C304" s="60" t="s">
        <v>727</v>
      </c>
      <c r="D304" s="46">
        <v>4540043</v>
      </c>
      <c r="E304" s="46">
        <v>4540043</v>
      </c>
      <c r="F304" s="52">
        <v>115</v>
      </c>
      <c r="G304" s="50"/>
      <c r="H304" s="49" t="s">
        <v>1554</v>
      </c>
      <c r="K304" s="60">
        <v>30</v>
      </c>
      <c r="L304" s="60">
        <v>142</v>
      </c>
      <c r="M304" s="60">
        <v>66</v>
      </c>
      <c r="N304" s="60">
        <v>58</v>
      </c>
      <c r="O304" s="60">
        <v>296</v>
      </c>
      <c r="P304" s="72">
        <f>SUM(O304-O303)*1000</f>
        <v>183000</v>
      </c>
      <c r="Q304" s="134">
        <f t="shared" si="20"/>
        <v>2.3874755381604698</v>
      </c>
      <c r="R304" s="45">
        <f t="shared" si="17"/>
        <v>1432.4853228962818</v>
      </c>
      <c r="S304" s="72">
        <v>2.39</v>
      </c>
      <c r="T304" s="126">
        <v>3.54</v>
      </c>
      <c r="U304" s="132" t="s">
        <v>2241</v>
      </c>
    </row>
    <row r="305" spans="1:21" x14ac:dyDescent="0.25">
      <c r="A305" s="139" t="s">
        <v>2040</v>
      </c>
      <c r="B305" s="47" t="s">
        <v>2041</v>
      </c>
      <c r="C305" s="47" t="s">
        <v>2042</v>
      </c>
      <c r="D305" s="46">
        <v>4540045</v>
      </c>
      <c r="E305" s="46">
        <v>4540045</v>
      </c>
      <c r="F305" s="52">
        <v>116</v>
      </c>
      <c r="G305" s="50"/>
      <c r="H305" s="49" t="s">
        <v>1554</v>
      </c>
      <c r="K305" s="61">
        <v>34</v>
      </c>
      <c r="L305" s="61">
        <v>42</v>
      </c>
      <c r="M305" s="61">
        <v>34</v>
      </c>
      <c r="N305" s="61">
        <v>32</v>
      </c>
      <c r="O305" s="61">
        <v>142</v>
      </c>
      <c r="P305" s="65">
        <v>142000</v>
      </c>
      <c r="Q305" s="134">
        <f t="shared" si="20"/>
        <v>1.8525766470971949</v>
      </c>
      <c r="R305" s="45">
        <f t="shared" si="17"/>
        <v>1111.545988258317</v>
      </c>
      <c r="S305" s="65">
        <v>1.85</v>
      </c>
      <c r="T305" s="127">
        <v>1</v>
      </c>
      <c r="U305" s="132" t="s">
        <v>2241</v>
      </c>
    </row>
    <row r="306" spans="1:21" x14ac:dyDescent="0.25">
      <c r="A306" s="139"/>
      <c r="B306" s="47" t="s">
        <v>2043</v>
      </c>
      <c r="C306" s="47" t="s">
        <v>2044</v>
      </c>
      <c r="D306" s="46">
        <v>4540047</v>
      </c>
      <c r="E306" s="46">
        <v>4540047</v>
      </c>
      <c r="F306" s="52">
        <v>117</v>
      </c>
      <c r="G306" s="50"/>
      <c r="H306" s="49" t="s">
        <v>1554</v>
      </c>
      <c r="K306" s="61">
        <v>21</v>
      </c>
      <c r="L306" s="61">
        <v>8</v>
      </c>
      <c r="M306" s="61">
        <v>5</v>
      </c>
      <c r="N306" s="61">
        <v>5</v>
      </c>
      <c r="O306" s="61">
        <v>76.650000000000006</v>
      </c>
      <c r="P306" s="65">
        <f>SUM(O306*1000)</f>
        <v>76650</v>
      </c>
      <c r="Q306" s="134">
        <f t="shared" si="20"/>
        <v>1</v>
      </c>
      <c r="R306" s="45">
        <f t="shared" si="17"/>
        <v>600</v>
      </c>
      <c r="S306" s="65">
        <v>1</v>
      </c>
      <c r="T306" s="127">
        <v>1</v>
      </c>
      <c r="U306" s="132" t="s">
        <v>2242</v>
      </c>
    </row>
    <row r="307" spans="1:21" x14ac:dyDescent="0.25">
      <c r="A307" s="139" t="s">
        <v>2045</v>
      </c>
      <c r="B307" s="47" t="s">
        <v>2046</v>
      </c>
      <c r="C307" s="47" t="s">
        <v>2047</v>
      </c>
      <c r="D307" s="46">
        <v>4540049</v>
      </c>
      <c r="E307" s="46">
        <v>4540049</v>
      </c>
      <c r="F307" s="52">
        <v>118</v>
      </c>
      <c r="G307" s="50"/>
      <c r="H307" s="49" t="s">
        <v>1554</v>
      </c>
      <c r="K307" s="61">
        <v>18</v>
      </c>
      <c r="L307" s="61">
        <v>13</v>
      </c>
      <c r="M307" s="61">
        <v>12</v>
      </c>
      <c r="N307" s="61">
        <v>18</v>
      </c>
      <c r="O307" s="61">
        <v>76.650000000000006</v>
      </c>
      <c r="P307" s="65">
        <f>SUM(O307*1000)</f>
        <v>76650</v>
      </c>
      <c r="Q307" s="134">
        <f t="shared" si="20"/>
        <v>1</v>
      </c>
      <c r="R307" s="45">
        <f t="shared" si="17"/>
        <v>600</v>
      </c>
      <c r="S307" s="65">
        <v>1</v>
      </c>
      <c r="T307" s="127">
        <v>1</v>
      </c>
      <c r="U307" s="132" t="s">
        <v>2242</v>
      </c>
    </row>
    <row r="308" spans="1:21" s="60" customFormat="1" x14ac:dyDescent="0.25">
      <c r="A308" s="139" t="s">
        <v>2052</v>
      </c>
      <c r="B308" s="47" t="s">
        <v>1863</v>
      </c>
      <c r="C308" s="47" t="s">
        <v>1565</v>
      </c>
      <c r="D308" s="52">
        <v>2210016</v>
      </c>
      <c r="E308" s="52"/>
      <c r="F308" s="52"/>
      <c r="G308" s="49"/>
      <c r="H308" s="49" t="s">
        <v>1554</v>
      </c>
      <c r="K308" s="60">
        <v>0</v>
      </c>
      <c r="L308" s="60">
        <v>0</v>
      </c>
      <c r="M308" s="60">
        <v>0</v>
      </c>
      <c r="N308" s="60">
        <v>0</v>
      </c>
      <c r="O308" s="60">
        <v>0</v>
      </c>
      <c r="P308" s="72"/>
      <c r="Q308" s="134"/>
      <c r="R308" s="45"/>
      <c r="S308" s="72"/>
      <c r="T308" s="126"/>
    </row>
    <row r="309" spans="1:21" x14ac:dyDescent="0.25">
      <c r="A309" s="139" t="s">
        <v>2053</v>
      </c>
      <c r="B309" s="47" t="s">
        <v>2054</v>
      </c>
      <c r="C309" s="47" t="s">
        <v>1565</v>
      </c>
      <c r="D309" s="52">
        <v>2210016</v>
      </c>
      <c r="E309" s="52"/>
      <c r="H309" s="49" t="s">
        <v>1554</v>
      </c>
      <c r="K309" s="61">
        <v>0</v>
      </c>
      <c r="L309" s="61">
        <v>2</v>
      </c>
      <c r="M309" s="61">
        <v>2</v>
      </c>
      <c r="N309" s="61">
        <v>1</v>
      </c>
      <c r="O309" s="61">
        <v>5</v>
      </c>
      <c r="Q309" s="134"/>
      <c r="R309" s="45"/>
    </row>
    <row r="310" spans="1:21" x14ac:dyDescent="0.25">
      <c r="A310" s="139" t="s">
        <v>2048</v>
      </c>
      <c r="B310" s="69" t="s">
        <v>1042</v>
      </c>
      <c r="C310" s="47" t="s">
        <v>1565</v>
      </c>
      <c r="D310" s="52">
        <v>2210016</v>
      </c>
      <c r="E310" s="52"/>
      <c r="H310" s="49" t="s">
        <v>1554</v>
      </c>
      <c r="K310" s="61">
        <v>10</v>
      </c>
      <c r="L310" s="61">
        <v>58</v>
      </c>
      <c r="M310" s="61">
        <v>17</v>
      </c>
      <c r="N310" s="61">
        <v>0</v>
      </c>
      <c r="O310" s="61">
        <v>85</v>
      </c>
      <c r="Q310" s="134"/>
      <c r="R310" s="45"/>
    </row>
    <row r="311" spans="1:21" s="60" customFormat="1" x14ac:dyDescent="0.25">
      <c r="A311" s="139" t="s">
        <v>2049</v>
      </c>
      <c r="B311" s="60" t="s">
        <v>1044</v>
      </c>
      <c r="C311" s="47" t="s">
        <v>1565</v>
      </c>
      <c r="D311" s="52">
        <v>2210016</v>
      </c>
      <c r="E311" s="52"/>
      <c r="F311" s="68"/>
      <c r="G311" s="66"/>
      <c r="H311" s="49" t="s">
        <v>1554</v>
      </c>
      <c r="K311" s="60">
        <v>26</v>
      </c>
      <c r="L311" s="60">
        <v>80</v>
      </c>
      <c r="M311" s="60">
        <v>25</v>
      </c>
      <c r="N311" s="60">
        <v>7</v>
      </c>
      <c r="O311" s="60">
        <v>138</v>
      </c>
      <c r="P311" s="72"/>
      <c r="Q311" s="134"/>
      <c r="R311" s="45"/>
      <c r="S311" s="72"/>
      <c r="T311" s="126"/>
    </row>
    <row r="312" spans="1:21" x14ac:dyDescent="0.25">
      <c r="A312" s="139" t="s">
        <v>2050</v>
      </c>
      <c r="B312" s="47" t="s">
        <v>2051</v>
      </c>
      <c r="C312" s="47" t="s">
        <v>1565</v>
      </c>
      <c r="D312" s="52">
        <v>2210016</v>
      </c>
      <c r="E312" s="52">
        <v>2210016</v>
      </c>
      <c r="H312" s="49" t="s">
        <v>1554</v>
      </c>
      <c r="K312" s="61">
        <v>1</v>
      </c>
      <c r="L312" s="61">
        <v>14</v>
      </c>
      <c r="M312" s="61">
        <v>27</v>
      </c>
      <c r="N312" s="61">
        <v>27</v>
      </c>
      <c r="O312" s="61">
        <v>69</v>
      </c>
      <c r="P312" s="65">
        <f>SUM(O308:O312)*1000</f>
        <v>297000</v>
      </c>
      <c r="Q312" s="134">
        <f t="shared" si="20"/>
        <v>3.8747553816046967</v>
      </c>
      <c r="R312" s="45">
        <f t="shared" si="17"/>
        <v>2324.8532289628179</v>
      </c>
      <c r="S312" s="65">
        <v>3.87</v>
      </c>
      <c r="T312" s="127">
        <v>3.71</v>
      </c>
      <c r="U312" s="132" t="s">
        <v>2243</v>
      </c>
    </row>
    <row r="313" spans="1:21" x14ac:dyDescent="0.25">
      <c r="A313" s="143"/>
      <c r="B313" t="s">
        <v>20</v>
      </c>
      <c r="C313" t="s">
        <v>16</v>
      </c>
      <c r="D313" s="76">
        <v>4540060</v>
      </c>
      <c r="H313" s="49" t="s">
        <v>1554</v>
      </c>
      <c r="K313">
        <v>0</v>
      </c>
      <c r="L313">
        <v>50</v>
      </c>
      <c r="M313">
        <v>14</v>
      </c>
      <c r="N313">
        <v>0</v>
      </c>
      <c r="O313">
        <v>64</v>
      </c>
      <c r="Q313" s="134"/>
      <c r="R313" s="45"/>
    </row>
    <row r="314" spans="1:21" s="71" customFormat="1" x14ac:dyDescent="0.25">
      <c r="A314" s="143"/>
      <c r="B314" s="78" t="s">
        <v>1506</v>
      </c>
      <c r="C314" s="78" t="s">
        <v>1505</v>
      </c>
      <c r="D314" s="76">
        <v>4540060</v>
      </c>
      <c r="F314" s="87"/>
      <c r="G314" s="86" t="s">
        <v>1570</v>
      </c>
      <c r="H314" s="49" t="s">
        <v>1554</v>
      </c>
      <c r="K314" s="78">
        <v>1</v>
      </c>
      <c r="L314" s="78">
        <v>132</v>
      </c>
      <c r="M314" s="78">
        <v>83</v>
      </c>
      <c r="N314" s="78">
        <v>0</v>
      </c>
      <c r="O314" s="78">
        <v>216</v>
      </c>
      <c r="P314" s="79"/>
      <c r="Q314" s="134"/>
      <c r="R314" s="45"/>
      <c r="S314" s="79"/>
      <c r="T314" s="130"/>
    </row>
    <row r="315" spans="1:21" x14ac:dyDescent="0.25">
      <c r="A315" s="143"/>
      <c r="B315" t="s">
        <v>1509</v>
      </c>
      <c r="C315" t="s">
        <v>1508</v>
      </c>
      <c r="D315" s="76">
        <v>4540060</v>
      </c>
      <c r="H315" s="49" t="s">
        <v>1554</v>
      </c>
      <c r="K315">
        <v>36</v>
      </c>
      <c r="L315">
        <v>17</v>
      </c>
      <c r="M315">
        <v>15</v>
      </c>
      <c r="N315">
        <v>17</v>
      </c>
      <c r="O315">
        <v>85</v>
      </c>
      <c r="Q315" s="134"/>
      <c r="R315" s="45"/>
    </row>
    <row r="316" spans="1:21" x14ac:dyDescent="0.25">
      <c r="A316" s="143"/>
      <c r="B316" t="s">
        <v>1512</v>
      </c>
      <c r="C316" t="s">
        <v>1511</v>
      </c>
      <c r="D316" s="76">
        <v>4540060</v>
      </c>
      <c r="H316" s="49" t="s">
        <v>1554</v>
      </c>
      <c r="K316">
        <v>3</v>
      </c>
      <c r="L316">
        <v>3</v>
      </c>
      <c r="M316">
        <v>4</v>
      </c>
      <c r="N316">
        <v>3</v>
      </c>
      <c r="O316">
        <v>13</v>
      </c>
      <c r="Q316" s="134"/>
      <c r="R316" s="45"/>
    </row>
    <row r="317" spans="1:21" x14ac:dyDescent="0.25">
      <c r="A317" s="143"/>
      <c r="B317" t="s">
        <v>1514</v>
      </c>
      <c r="C317" t="s">
        <v>1508</v>
      </c>
      <c r="D317" s="76">
        <v>4540060</v>
      </c>
      <c r="H317" s="49" t="s">
        <v>1554</v>
      </c>
      <c r="K317">
        <v>6</v>
      </c>
      <c r="L317">
        <v>7</v>
      </c>
      <c r="M317">
        <v>5</v>
      </c>
      <c r="N317">
        <v>5</v>
      </c>
      <c r="O317">
        <v>23</v>
      </c>
      <c r="Q317" s="134"/>
      <c r="R317" s="45"/>
    </row>
    <row r="318" spans="1:21" x14ac:dyDescent="0.25">
      <c r="A318" s="143"/>
      <c r="B318" t="s">
        <v>1516</v>
      </c>
      <c r="C318" t="s">
        <v>1508</v>
      </c>
      <c r="D318" s="76">
        <v>4540060</v>
      </c>
      <c r="H318" s="49" t="s">
        <v>1554</v>
      </c>
      <c r="K318">
        <v>31</v>
      </c>
      <c r="L318">
        <v>23</v>
      </c>
      <c r="M318">
        <v>20</v>
      </c>
      <c r="N318">
        <v>16</v>
      </c>
      <c r="O318">
        <v>90</v>
      </c>
      <c r="Q318" s="134"/>
      <c r="R318" s="45"/>
    </row>
    <row r="319" spans="1:21" x14ac:dyDescent="0.25">
      <c r="A319" s="143"/>
      <c r="B319" t="s">
        <v>1518</v>
      </c>
      <c r="C319" t="s">
        <v>16</v>
      </c>
      <c r="D319" s="76">
        <v>4540060</v>
      </c>
      <c r="E319" s="61">
        <v>4540060</v>
      </c>
      <c r="H319" s="49" t="s">
        <v>1554</v>
      </c>
      <c r="K319">
        <v>9</v>
      </c>
      <c r="L319">
        <v>57</v>
      </c>
      <c r="M319">
        <v>21</v>
      </c>
      <c r="N319">
        <v>5</v>
      </c>
      <c r="O319">
        <v>92</v>
      </c>
      <c r="P319" s="65">
        <f>SUM(O319+O318+O317+O316+O315+O313-O314)*1000</f>
        <v>151000</v>
      </c>
      <c r="Q319" s="134">
        <f t="shared" si="20"/>
        <v>1.9699934768427918</v>
      </c>
      <c r="R319" s="45">
        <f t="shared" ref="R319:R382" si="21">SUM(Q319*600)</f>
        <v>1181.996086105675</v>
      </c>
      <c r="S319" s="65">
        <v>2.04</v>
      </c>
      <c r="T319" s="127">
        <v>4.01</v>
      </c>
      <c r="U319" s="132" t="s">
        <v>2241</v>
      </c>
    </row>
    <row r="320" spans="1:21" x14ac:dyDescent="0.25">
      <c r="A320" s="146" t="s">
        <v>2058</v>
      </c>
      <c r="B320" s="29" t="s">
        <v>2059</v>
      </c>
      <c r="C320" s="29" t="s">
        <v>2060</v>
      </c>
      <c r="D320" s="24">
        <v>4540112</v>
      </c>
      <c r="E320" s="24">
        <v>4540112</v>
      </c>
      <c r="F320" s="31">
        <v>120</v>
      </c>
      <c r="G320" s="31"/>
      <c r="H320" s="32" t="s">
        <v>1554</v>
      </c>
      <c r="K320">
        <v>7</v>
      </c>
      <c r="L320">
        <v>5</v>
      </c>
      <c r="M320">
        <v>9</v>
      </c>
      <c r="N320">
        <v>7</v>
      </c>
      <c r="O320">
        <v>76.650000000000006</v>
      </c>
      <c r="P320" s="65">
        <f>SUM(O320*1000)</f>
        <v>76650</v>
      </c>
      <c r="Q320" s="134">
        <f t="shared" si="20"/>
        <v>1</v>
      </c>
      <c r="R320" s="45">
        <f t="shared" si="21"/>
        <v>600</v>
      </c>
      <c r="S320" s="65">
        <v>1</v>
      </c>
      <c r="T320" s="127">
        <v>1</v>
      </c>
      <c r="U320" s="132" t="s">
        <v>2242</v>
      </c>
    </row>
    <row r="321" spans="1:21" x14ac:dyDescent="0.25">
      <c r="A321" s="146" t="s">
        <v>2061</v>
      </c>
      <c r="B321" s="29" t="s">
        <v>2062</v>
      </c>
      <c r="C321" s="29" t="s">
        <v>2063</v>
      </c>
      <c r="D321" s="24">
        <v>4540166</v>
      </c>
      <c r="E321" s="24">
        <v>4540166</v>
      </c>
      <c r="F321" s="31"/>
      <c r="G321" s="31"/>
      <c r="H321" s="32" t="s">
        <v>1554</v>
      </c>
      <c r="K321">
        <v>3</v>
      </c>
      <c r="L321">
        <v>3</v>
      </c>
      <c r="M321">
        <v>3</v>
      </c>
      <c r="N321">
        <v>5</v>
      </c>
      <c r="O321">
        <v>76.650000000000006</v>
      </c>
      <c r="P321" s="65">
        <f t="shared" ref="P321:P332" si="22">SUM(O321*1000)</f>
        <v>76650</v>
      </c>
      <c r="Q321" s="134">
        <f t="shared" si="20"/>
        <v>1</v>
      </c>
      <c r="R321" s="45">
        <f t="shared" si="21"/>
        <v>600</v>
      </c>
      <c r="S321" s="65">
        <v>1</v>
      </c>
      <c r="T321" s="127">
        <v>1</v>
      </c>
      <c r="U321" s="132" t="s">
        <v>2242</v>
      </c>
    </row>
    <row r="322" spans="1:21" x14ac:dyDescent="0.25">
      <c r="A322" s="146" t="s">
        <v>2064</v>
      </c>
      <c r="B322" t="s">
        <v>527</v>
      </c>
      <c r="C322" s="29" t="s">
        <v>2065</v>
      </c>
      <c r="D322" s="24">
        <v>4540172</v>
      </c>
      <c r="E322" s="24"/>
      <c r="F322" s="31"/>
      <c r="G322" s="31"/>
      <c r="H322" s="32" t="s">
        <v>1554</v>
      </c>
      <c r="K322">
        <v>15</v>
      </c>
      <c r="L322">
        <v>71</v>
      </c>
      <c r="M322">
        <v>34</v>
      </c>
      <c r="N322">
        <v>13</v>
      </c>
      <c r="O322">
        <v>133</v>
      </c>
      <c r="Q322" s="134">
        <f t="shared" si="20"/>
        <v>0</v>
      </c>
      <c r="R322" s="45">
        <f t="shared" si="21"/>
        <v>0</v>
      </c>
      <c r="S322" s="65">
        <v>1.74</v>
      </c>
      <c r="T322" s="127">
        <v>3.31</v>
      </c>
      <c r="U322" s="132" t="s">
        <v>2241</v>
      </c>
    </row>
    <row r="323" spans="1:21" x14ac:dyDescent="0.25">
      <c r="A323" s="146" t="s">
        <v>2066</v>
      </c>
      <c r="B323" t="s">
        <v>737</v>
      </c>
      <c r="C323" s="73" t="s">
        <v>2067</v>
      </c>
      <c r="D323" s="88">
        <v>4540172</v>
      </c>
      <c r="E323" s="88">
        <v>4540172</v>
      </c>
      <c r="F323" s="74">
        <v>122</v>
      </c>
      <c r="G323" s="74" t="s">
        <v>1570</v>
      </c>
      <c r="H323" s="75" t="s">
        <v>1554</v>
      </c>
      <c r="K323">
        <v>5</v>
      </c>
      <c r="L323">
        <v>60</v>
      </c>
      <c r="M323">
        <v>21</v>
      </c>
      <c r="N323">
        <v>0</v>
      </c>
      <c r="O323">
        <v>86</v>
      </c>
      <c r="P323" s="65">
        <v>76650</v>
      </c>
      <c r="Q323" s="134">
        <f t="shared" si="20"/>
        <v>1</v>
      </c>
      <c r="R323" s="45">
        <f t="shared" si="21"/>
        <v>600</v>
      </c>
      <c r="S323" s="65">
        <v>1.1200000000000001</v>
      </c>
      <c r="T323" s="127">
        <v>1</v>
      </c>
      <c r="U323" s="132" t="s">
        <v>2243</v>
      </c>
    </row>
    <row r="324" spans="1:21" x14ac:dyDescent="0.25">
      <c r="A324" s="146" t="s">
        <v>2068</v>
      </c>
      <c r="B324" s="29" t="s">
        <v>2069</v>
      </c>
      <c r="C324" s="29" t="s">
        <v>2070</v>
      </c>
      <c r="D324" s="24">
        <v>4540177</v>
      </c>
      <c r="E324" s="24">
        <v>4540177</v>
      </c>
      <c r="F324" s="31">
        <v>123</v>
      </c>
      <c r="G324" s="31"/>
      <c r="H324" s="32" t="s">
        <v>1554</v>
      </c>
      <c r="K324">
        <v>3</v>
      </c>
      <c r="L324">
        <v>3</v>
      </c>
      <c r="M324">
        <v>5</v>
      </c>
      <c r="N324">
        <v>3</v>
      </c>
      <c r="O324">
        <v>76.650000000000006</v>
      </c>
      <c r="P324" s="65">
        <f t="shared" si="22"/>
        <v>76650</v>
      </c>
      <c r="Q324" s="134">
        <f t="shared" si="20"/>
        <v>1</v>
      </c>
      <c r="R324" s="45">
        <f t="shared" si="21"/>
        <v>600</v>
      </c>
      <c r="S324" s="65">
        <v>1</v>
      </c>
      <c r="T324" s="127">
        <v>1</v>
      </c>
      <c r="U324" s="132" t="s">
        <v>2242</v>
      </c>
    </row>
    <row r="325" spans="1:21" x14ac:dyDescent="0.25">
      <c r="A325" s="146" t="s">
        <v>2071</v>
      </c>
      <c r="B325" s="29" t="s">
        <v>2072</v>
      </c>
      <c r="C325" s="29" t="s">
        <v>2073</v>
      </c>
      <c r="D325" s="24">
        <v>4540183</v>
      </c>
      <c r="E325" s="24">
        <v>4540183</v>
      </c>
      <c r="F325" s="31"/>
      <c r="G325" s="31"/>
      <c r="H325" s="32" t="s">
        <v>1554</v>
      </c>
      <c r="O325" s="51">
        <v>76.650000000000006</v>
      </c>
      <c r="P325" s="65">
        <f t="shared" si="22"/>
        <v>76650</v>
      </c>
      <c r="Q325" s="134">
        <f t="shared" si="20"/>
        <v>1</v>
      </c>
      <c r="R325" s="45">
        <f t="shared" si="21"/>
        <v>600</v>
      </c>
      <c r="S325" s="65">
        <v>1</v>
      </c>
      <c r="T325" s="127">
        <v>1</v>
      </c>
      <c r="U325" s="132" t="s">
        <v>2242</v>
      </c>
    </row>
    <row r="326" spans="1:21" x14ac:dyDescent="0.25">
      <c r="A326" s="146" t="s">
        <v>2074</v>
      </c>
      <c r="B326" s="29" t="s">
        <v>2075</v>
      </c>
      <c r="C326" s="29" t="s">
        <v>2076</v>
      </c>
      <c r="D326" s="24">
        <v>4540192</v>
      </c>
      <c r="E326" s="24">
        <v>4540192</v>
      </c>
      <c r="F326" s="31">
        <v>124</v>
      </c>
      <c r="G326" s="31"/>
      <c r="H326" s="32" t="s">
        <v>1554</v>
      </c>
      <c r="K326">
        <v>32</v>
      </c>
      <c r="L326">
        <v>40</v>
      </c>
      <c r="M326">
        <v>17</v>
      </c>
      <c r="N326">
        <v>18</v>
      </c>
      <c r="O326">
        <v>107</v>
      </c>
      <c r="Q326" s="134"/>
      <c r="R326" s="45"/>
    </row>
    <row r="327" spans="1:21" x14ac:dyDescent="0.25">
      <c r="A327" s="146" t="s">
        <v>2077</v>
      </c>
      <c r="B327" s="29" t="s">
        <v>2075</v>
      </c>
      <c r="C327" s="29" t="s">
        <v>2078</v>
      </c>
      <c r="D327" s="24">
        <v>4540192</v>
      </c>
      <c r="E327" s="24"/>
      <c r="F327" s="31"/>
      <c r="G327" s="31"/>
      <c r="H327" s="32" t="s">
        <v>1554</v>
      </c>
      <c r="K327">
        <v>343</v>
      </c>
      <c r="L327">
        <v>347</v>
      </c>
      <c r="M327">
        <v>331</v>
      </c>
      <c r="N327">
        <v>276</v>
      </c>
      <c r="O327">
        <v>1297</v>
      </c>
      <c r="P327" s="65">
        <f>SUM(O326:O327)*1000</f>
        <v>1404000</v>
      </c>
      <c r="Q327" s="134">
        <f t="shared" si="20"/>
        <v>18.317025440313113</v>
      </c>
      <c r="R327" s="45">
        <f t="shared" si="21"/>
        <v>10990.215264187867</v>
      </c>
      <c r="S327" s="65">
        <v>18.32</v>
      </c>
      <c r="T327" s="127">
        <v>16.13</v>
      </c>
      <c r="U327" s="132" t="s">
        <v>2243</v>
      </c>
    </row>
    <row r="328" spans="1:21" x14ac:dyDescent="0.25">
      <c r="A328" s="146" t="s">
        <v>2079</v>
      </c>
      <c r="B328" s="29" t="s">
        <v>2080</v>
      </c>
      <c r="C328" s="29" t="s">
        <v>2081</v>
      </c>
      <c r="D328" s="24">
        <v>4540195</v>
      </c>
      <c r="E328" s="24">
        <v>4540195</v>
      </c>
      <c r="F328" s="31">
        <v>125</v>
      </c>
      <c r="G328" s="31"/>
      <c r="H328" s="32" t="s">
        <v>1554</v>
      </c>
      <c r="K328">
        <v>107</v>
      </c>
      <c r="L328">
        <v>75</v>
      </c>
      <c r="M328">
        <v>79</v>
      </c>
      <c r="N328">
        <v>46</v>
      </c>
      <c r="O328">
        <v>307</v>
      </c>
      <c r="P328" s="65">
        <f t="shared" si="22"/>
        <v>307000</v>
      </c>
      <c r="Q328" s="134">
        <f t="shared" si="20"/>
        <v>4.0052185257664714</v>
      </c>
      <c r="R328" s="45">
        <f t="shared" si="21"/>
        <v>2403.1311154598829</v>
      </c>
      <c r="S328" s="65">
        <v>4.01</v>
      </c>
      <c r="T328" s="127">
        <v>2.79</v>
      </c>
      <c r="U328" s="132" t="s">
        <v>2241</v>
      </c>
    </row>
    <row r="329" spans="1:21" x14ac:dyDescent="0.25">
      <c r="A329" s="146"/>
      <c r="B329" s="29" t="s">
        <v>2082</v>
      </c>
      <c r="C329" s="29" t="s">
        <v>2083</v>
      </c>
      <c r="D329" s="136">
        <v>4540200</v>
      </c>
      <c r="E329" s="24">
        <v>4540200</v>
      </c>
      <c r="F329" s="31">
        <v>126</v>
      </c>
      <c r="G329" s="31"/>
      <c r="H329" s="32" t="s">
        <v>1554</v>
      </c>
      <c r="K329">
        <v>17</v>
      </c>
      <c r="L329">
        <v>124</v>
      </c>
      <c r="M329">
        <v>34</v>
      </c>
      <c r="N329">
        <v>3</v>
      </c>
      <c r="O329">
        <v>178</v>
      </c>
      <c r="Q329" s="134"/>
      <c r="R329" s="45"/>
      <c r="U329" s="132"/>
    </row>
    <row r="330" spans="1:21" x14ac:dyDescent="0.25">
      <c r="A330" s="146" t="s">
        <v>2084</v>
      </c>
      <c r="B330" t="s">
        <v>758</v>
      </c>
      <c r="C330" s="29" t="s">
        <v>2085</v>
      </c>
      <c r="D330" s="136">
        <v>4540200</v>
      </c>
      <c r="E330" s="34"/>
      <c r="F330" s="31"/>
      <c r="G330" s="31"/>
      <c r="H330" s="32" t="s">
        <v>1554</v>
      </c>
      <c r="K330">
        <v>28</v>
      </c>
      <c r="L330">
        <v>31</v>
      </c>
      <c r="M330">
        <v>30</v>
      </c>
      <c r="N330">
        <v>28</v>
      </c>
      <c r="O330">
        <v>117</v>
      </c>
      <c r="P330" s="65">
        <f>SUM(O329:O330)*1000</f>
        <v>295000</v>
      </c>
      <c r="Q330" s="134">
        <f>SUM(P330/76650)</f>
        <v>3.8486627527723418</v>
      </c>
      <c r="R330" s="45">
        <f>SUM(Q330*600)</f>
        <v>2309.1976516634049</v>
      </c>
      <c r="S330" s="65">
        <v>3.85</v>
      </c>
      <c r="T330" s="127">
        <v>4.47</v>
      </c>
      <c r="U330" s="132" t="s">
        <v>2241</v>
      </c>
    </row>
    <row r="331" spans="1:21" x14ac:dyDescent="0.25">
      <c r="A331" s="146" t="s">
        <v>2086</v>
      </c>
      <c r="B331" s="29" t="s">
        <v>2087</v>
      </c>
      <c r="C331" s="28" t="s">
        <v>2088</v>
      </c>
      <c r="D331" s="24">
        <v>4540205</v>
      </c>
      <c r="E331" s="24">
        <v>4540205</v>
      </c>
      <c r="F331" s="31">
        <v>127</v>
      </c>
      <c r="G331" s="31"/>
      <c r="H331" s="32" t="s">
        <v>1554</v>
      </c>
      <c r="K331">
        <v>157</v>
      </c>
      <c r="L331">
        <v>238</v>
      </c>
      <c r="M331">
        <v>3</v>
      </c>
      <c r="N331">
        <v>4</v>
      </c>
      <c r="O331">
        <v>402</v>
      </c>
      <c r="P331" s="61">
        <f>SUM(O331*1000)</f>
        <v>402000</v>
      </c>
      <c r="Q331" s="134">
        <f>SUM(P331/76650)</f>
        <v>5.244618395303327</v>
      </c>
      <c r="R331" s="45">
        <f>SUM(Q331*600)</f>
        <v>3146.7710371819962</v>
      </c>
      <c r="S331" s="61">
        <v>5.24</v>
      </c>
      <c r="T331" s="61">
        <v>3.84</v>
      </c>
      <c r="U331" s="132" t="s">
        <v>2243</v>
      </c>
    </row>
    <row r="332" spans="1:21" x14ac:dyDescent="0.25">
      <c r="A332" s="146" t="s">
        <v>2089</v>
      </c>
      <c r="B332" s="29" t="s">
        <v>2090</v>
      </c>
      <c r="C332" s="29" t="s">
        <v>2091</v>
      </c>
      <c r="D332" s="24">
        <v>4540209</v>
      </c>
      <c r="E332" s="24">
        <v>4540209</v>
      </c>
      <c r="F332" s="31">
        <v>128</v>
      </c>
      <c r="G332" s="31"/>
      <c r="H332" s="32" t="s">
        <v>1554</v>
      </c>
      <c r="K332">
        <v>24</v>
      </c>
      <c r="L332">
        <v>23</v>
      </c>
      <c r="M332">
        <v>20</v>
      </c>
      <c r="N332">
        <v>14</v>
      </c>
      <c r="O332">
        <v>81</v>
      </c>
      <c r="P332" s="65">
        <f t="shared" si="22"/>
        <v>81000</v>
      </c>
      <c r="Q332" s="134">
        <f t="shared" si="20"/>
        <v>1.0567514677103718</v>
      </c>
      <c r="R332" s="45">
        <f t="shared" si="21"/>
        <v>634.05088062622303</v>
      </c>
      <c r="S332" s="65">
        <v>1.06</v>
      </c>
      <c r="T332" s="127">
        <v>1</v>
      </c>
      <c r="U332" s="132" t="s">
        <v>2243</v>
      </c>
    </row>
    <row r="333" spans="1:21" x14ac:dyDescent="0.25">
      <c r="A333" s="146" t="s">
        <v>2092</v>
      </c>
      <c r="B333" s="29" t="s">
        <v>2093</v>
      </c>
      <c r="C333" s="29" t="s">
        <v>2094</v>
      </c>
      <c r="D333" s="136">
        <v>4540210</v>
      </c>
      <c r="E333" s="61"/>
      <c r="F333" s="31">
        <v>129</v>
      </c>
      <c r="G333" s="31"/>
      <c r="H333" s="32" t="s">
        <v>1554</v>
      </c>
      <c r="K333" s="51">
        <v>0</v>
      </c>
      <c r="L333" s="51">
        <v>0</v>
      </c>
      <c r="M333" s="51">
        <v>0</v>
      </c>
      <c r="N333" s="51">
        <v>0</v>
      </c>
      <c r="O333" s="51">
        <v>0</v>
      </c>
      <c r="Q333" s="134"/>
      <c r="R333" s="45"/>
    </row>
    <row r="334" spans="1:21" x14ac:dyDescent="0.25">
      <c r="A334" s="146" t="s">
        <v>2095</v>
      </c>
      <c r="B334" s="29" t="s">
        <v>2093</v>
      </c>
      <c r="C334" s="29" t="s">
        <v>2096</v>
      </c>
      <c r="D334" s="136">
        <v>4540210</v>
      </c>
      <c r="E334" s="24"/>
      <c r="F334" s="31"/>
      <c r="G334" s="31"/>
      <c r="H334" s="32" t="s">
        <v>1554</v>
      </c>
      <c r="K334">
        <v>91</v>
      </c>
      <c r="L334">
        <v>105</v>
      </c>
      <c r="M334">
        <v>81</v>
      </c>
      <c r="N334">
        <v>77</v>
      </c>
      <c r="O334">
        <v>354</v>
      </c>
      <c r="Q334" s="134"/>
      <c r="R334" s="45"/>
    </row>
    <row r="335" spans="1:21" x14ac:dyDescent="0.25">
      <c r="A335" s="146" t="s">
        <v>2097</v>
      </c>
      <c r="B335" s="29" t="s">
        <v>2093</v>
      </c>
      <c r="C335" s="28" t="s">
        <v>806</v>
      </c>
      <c r="D335" s="136">
        <v>4540210</v>
      </c>
      <c r="E335" s="24">
        <v>4540210</v>
      </c>
      <c r="F335" s="31"/>
      <c r="G335" s="31"/>
      <c r="H335" s="32" t="s">
        <v>1554</v>
      </c>
      <c r="K335">
        <v>67</v>
      </c>
      <c r="L335">
        <v>62</v>
      </c>
      <c r="M335">
        <v>52</v>
      </c>
      <c r="N335">
        <v>47</v>
      </c>
      <c r="O335">
        <v>228</v>
      </c>
      <c r="P335" s="65">
        <f>SUM(O333:O335)*1000</f>
        <v>582000</v>
      </c>
      <c r="Q335" s="134">
        <f t="shared" si="20"/>
        <v>7.5929549902152642</v>
      </c>
      <c r="R335" s="45">
        <f t="shared" si="21"/>
        <v>4555.7729941291582</v>
      </c>
      <c r="S335" s="65">
        <v>7.59</v>
      </c>
      <c r="T335" s="127">
        <v>8.3800000000000008</v>
      </c>
      <c r="U335" s="132" t="s">
        <v>2241</v>
      </c>
    </row>
    <row r="336" spans="1:21" x14ac:dyDescent="0.25">
      <c r="A336" s="146" t="s">
        <v>2098</v>
      </c>
      <c r="B336" s="29" t="s">
        <v>2099</v>
      </c>
      <c r="C336" s="29" t="s">
        <v>2100</v>
      </c>
      <c r="D336" s="24">
        <v>4540213</v>
      </c>
      <c r="E336" s="24">
        <v>4540213</v>
      </c>
      <c r="F336" s="31">
        <v>130</v>
      </c>
      <c r="G336" s="31"/>
      <c r="H336" s="32" t="s">
        <v>1554</v>
      </c>
      <c r="K336">
        <v>3</v>
      </c>
      <c r="L336">
        <v>5</v>
      </c>
      <c r="M336">
        <v>14</v>
      </c>
      <c r="N336">
        <v>2</v>
      </c>
      <c r="O336">
        <v>76.650000000000006</v>
      </c>
      <c r="P336" s="65">
        <f>SUM(O336*1000)</f>
        <v>76650</v>
      </c>
      <c r="Q336" s="134">
        <f t="shared" si="20"/>
        <v>1</v>
      </c>
      <c r="R336" s="45">
        <f t="shared" si="21"/>
        <v>600</v>
      </c>
      <c r="S336" s="65">
        <v>1</v>
      </c>
      <c r="T336" s="127">
        <v>1</v>
      </c>
      <c r="U336" s="132" t="s">
        <v>2242</v>
      </c>
    </row>
    <row r="337" spans="1:21" x14ac:dyDescent="0.25">
      <c r="A337" s="146" t="s">
        <v>2101</v>
      </c>
      <c r="B337" s="29" t="s">
        <v>2102</v>
      </c>
      <c r="C337" s="29" t="s">
        <v>2103</v>
      </c>
      <c r="D337" s="24">
        <v>4540214</v>
      </c>
      <c r="E337" s="24">
        <v>4540214</v>
      </c>
      <c r="F337" s="31">
        <v>131</v>
      </c>
      <c r="G337" s="31"/>
      <c r="H337" s="32" t="s">
        <v>1554</v>
      </c>
      <c r="K337">
        <v>6</v>
      </c>
      <c r="L337">
        <v>9</v>
      </c>
      <c r="M337">
        <v>5</v>
      </c>
      <c r="N337">
        <v>6</v>
      </c>
      <c r="O337">
        <v>76.650000000000006</v>
      </c>
      <c r="P337" s="65">
        <f t="shared" ref="P337:P344" si="23">SUM(O337*1000)</f>
        <v>76650</v>
      </c>
      <c r="Q337" s="134">
        <f t="shared" si="20"/>
        <v>1</v>
      </c>
      <c r="R337" s="45">
        <f t="shared" si="21"/>
        <v>600</v>
      </c>
      <c r="S337" s="65">
        <v>1</v>
      </c>
      <c r="T337" s="127">
        <v>1</v>
      </c>
      <c r="U337" s="132" t="s">
        <v>2242</v>
      </c>
    </row>
    <row r="338" spans="1:21" x14ac:dyDescent="0.25">
      <c r="A338" s="146" t="s">
        <v>2104</v>
      </c>
      <c r="B338" s="29" t="s">
        <v>2105</v>
      </c>
      <c r="C338" s="29" t="s">
        <v>2106</v>
      </c>
      <c r="D338" s="24">
        <v>4540220</v>
      </c>
      <c r="E338" s="24">
        <v>4540220</v>
      </c>
      <c r="F338" s="31">
        <v>132</v>
      </c>
      <c r="G338" s="31"/>
      <c r="H338" s="32" t="s">
        <v>1554</v>
      </c>
      <c r="K338">
        <v>24</v>
      </c>
      <c r="L338">
        <v>44</v>
      </c>
      <c r="M338">
        <v>18</v>
      </c>
      <c r="N338">
        <v>15</v>
      </c>
      <c r="O338">
        <v>101</v>
      </c>
      <c r="P338" s="65">
        <f t="shared" si="23"/>
        <v>101000</v>
      </c>
      <c r="Q338" s="134">
        <f t="shared" si="20"/>
        <v>1.3176777560339203</v>
      </c>
      <c r="R338" s="45">
        <f t="shared" si="21"/>
        <v>790.60665362035218</v>
      </c>
      <c r="S338" s="65">
        <v>1.32</v>
      </c>
      <c r="T338" s="127">
        <v>1.49</v>
      </c>
      <c r="U338" s="132" t="s">
        <v>2241</v>
      </c>
    </row>
    <row r="339" spans="1:21" x14ac:dyDescent="0.25">
      <c r="A339" s="146" t="s">
        <v>2107</v>
      </c>
      <c r="B339" s="29" t="s">
        <v>2108</v>
      </c>
      <c r="C339" s="29" t="s">
        <v>2109</v>
      </c>
      <c r="D339" s="24">
        <v>4540221</v>
      </c>
      <c r="E339" s="24">
        <v>4540221</v>
      </c>
      <c r="F339" s="31">
        <v>133</v>
      </c>
      <c r="G339" s="31"/>
      <c r="H339" s="32" t="s">
        <v>1554</v>
      </c>
      <c r="O339" s="51">
        <v>76.650000000000006</v>
      </c>
      <c r="P339" s="65">
        <f t="shared" si="23"/>
        <v>76650</v>
      </c>
      <c r="Q339" s="134">
        <f t="shared" si="20"/>
        <v>1</v>
      </c>
      <c r="R339" s="45">
        <f t="shared" si="21"/>
        <v>600</v>
      </c>
      <c r="S339" s="65">
        <v>1</v>
      </c>
      <c r="T339" s="127">
        <v>1</v>
      </c>
      <c r="U339" s="132" t="s">
        <v>2242</v>
      </c>
    </row>
    <row r="340" spans="1:21" x14ac:dyDescent="0.25">
      <c r="A340" s="146" t="s">
        <v>2110</v>
      </c>
      <c r="B340" s="29" t="s">
        <v>2111</v>
      </c>
      <c r="C340" s="29" t="s">
        <v>2112</v>
      </c>
      <c r="D340" s="24">
        <v>4540224</v>
      </c>
      <c r="E340" s="24">
        <v>4540224</v>
      </c>
      <c r="F340" s="31">
        <v>134</v>
      </c>
      <c r="G340" s="31"/>
      <c r="H340" s="32" t="s">
        <v>1554</v>
      </c>
      <c r="K340">
        <v>5</v>
      </c>
      <c r="L340">
        <v>9</v>
      </c>
      <c r="M340">
        <v>10</v>
      </c>
      <c r="N340">
        <v>9</v>
      </c>
      <c r="O340">
        <v>76.650000000000006</v>
      </c>
      <c r="P340" s="65">
        <f t="shared" si="23"/>
        <v>76650</v>
      </c>
      <c r="Q340" s="134">
        <f t="shared" si="20"/>
        <v>1</v>
      </c>
      <c r="R340" s="45">
        <f t="shared" si="21"/>
        <v>600</v>
      </c>
      <c r="S340" s="65">
        <v>1</v>
      </c>
      <c r="T340" s="127">
        <v>1</v>
      </c>
      <c r="U340" s="132" t="s">
        <v>2242</v>
      </c>
    </row>
    <row r="341" spans="1:21" x14ac:dyDescent="0.25">
      <c r="A341" s="146"/>
      <c r="B341" s="29" t="s">
        <v>2113</v>
      </c>
      <c r="C341" s="29" t="s">
        <v>2114</v>
      </c>
      <c r="D341" s="24">
        <v>4540225</v>
      </c>
      <c r="E341" s="24">
        <v>4540225</v>
      </c>
      <c r="F341" s="31">
        <v>135</v>
      </c>
      <c r="G341" s="31"/>
      <c r="H341" s="32" t="s">
        <v>1554</v>
      </c>
      <c r="O341" s="51">
        <v>76.650000000000006</v>
      </c>
      <c r="P341" s="65">
        <f t="shared" si="23"/>
        <v>76650</v>
      </c>
      <c r="Q341" s="134">
        <f t="shared" si="20"/>
        <v>1</v>
      </c>
      <c r="R341" s="45">
        <f t="shared" si="21"/>
        <v>600</v>
      </c>
      <c r="S341" s="65">
        <v>1</v>
      </c>
      <c r="T341" s="127">
        <v>1</v>
      </c>
      <c r="U341" s="132" t="s">
        <v>2242</v>
      </c>
    </row>
    <row r="342" spans="1:21" x14ac:dyDescent="0.25">
      <c r="A342" s="146"/>
      <c r="B342" s="29" t="s">
        <v>2115</v>
      </c>
      <c r="C342" s="29" t="s">
        <v>2116</v>
      </c>
      <c r="D342" s="24">
        <v>4540232</v>
      </c>
      <c r="E342" s="24">
        <v>4540232</v>
      </c>
      <c r="F342" s="31">
        <v>136</v>
      </c>
      <c r="G342" s="31"/>
      <c r="H342" s="32" t="s">
        <v>1554</v>
      </c>
      <c r="K342">
        <v>2</v>
      </c>
      <c r="L342">
        <v>2</v>
      </c>
      <c r="M342">
        <v>2</v>
      </c>
      <c r="N342">
        <v>1</v>
      </c>
      <c r="O342" s="51">
        <v>76.650000000000006</v>
      </c>
      <c r="P342" s="65">
        <f t="shared" si="23"/>
        <v>76650</v>
      </c>
      <c r="Q342" s="134">
        <f t="shared" si="20"/>
        <v>1</v>
      </c>
      <c r="R342" s="45">
        <f t="shared" si="21"/>
        <v>600</v>
      </c>
      <c r="S342" s="65">
        <v>1</v>
      </c>
    </row>
    <row r="343" spans="1:21" x14ac:dyDescent="0.25">
      <c r="A343" s="146" t="s">
        <v>2117</v>
      </c>
      <c r="B343" s="29" t="s">
        <v>2118</v>
      </c>
      <c r="C343" s="29" t="s">
        <v>2119</v>
      </c>
      <c r="D343" s="24">
        <v>4540240</v>
      </c>
      <c r="E343" s="24">
        <v>4540240</v>
      </c>
      <c r="F343" s="31">
        <v>137</v>
      </c>
      <c r="G343" s="31"/>
      <c r="H343" s="32" t="s">
        <v>1554</v>
      </c>
      <c r="K343">
        <v>4</v>
      </c>
      <c r="L343">
        <v>5</v>
      </c>
      <c r="M343">
        <v>5</v>
      </c>
      <c r="N343">
        <v>7</v>
      </c>
      <c r="O343" s="51">
        <v>76.650000000000006</v>
      </c>
      <c r="P343" s="65">
        <f t="shared" si="23"/>
        <v>76650</v>
      </c>
      <c r="Q343" s="134">
        <f t="shared" si="20"/>
        <v>1</v>
      </c>
      <c r="R343" s="45">
        <f t="shared" si="21"/>
        <v>600</v>
      </c>
      <c r="S343" s="65">
        <v>1</v>
      </c>
    </row>
    <row r="344" spans="1:21" x14ac:dyDescent="0.25">
      <c r="A344" s="146" t="s">
        <v>2120</v>
      </c>
      <c r="B344" s="29" t="s">
        <v>2121</v>
      </c>
      <c r="C344" s="29" t="s">
        <v>2122</v>
      </c>
      <c r="D344" s="24">
        <v>4540248</v>
      </c>
      <c r="E344" s="24">
        <v>4540248</v>
      </c>
      <c r="F344" s="31">
        <v>138</v>
      </c>
      <c r="G344" s="31"/>
      <c r="H344" s="32" t="s">
        <v>1554</v>
      </c>
      <c r="K344">
        <v>7</v>
      </c>
      <c r="L344">
        <v>10</v>
      </c>
      <c r="M344">
        <v>6</v>
      </c>
      <c r="N344">
        <v>7</v>
      </c>
      <c r="O344" s="51">
        <v>76.650000000000006</v>
      </c>
      <c r="P344" s="65">
        <f t="shared" si="23"/>
        <v>76650</v>
      </c>
      <c r="Q344" s="134">
        <f t="shared" si="20"/>
        <v>1</v>
      </c>
      <c r="R344" s="45">
        <f t="shared" si="21"/>
        <v>600</v>
      </c>
      <c r="S344" s="65">
        <v>1</v>
      </c>
    </row>
    <row r="345" spans="1:21" x14ac:dyDescent="0.25">
      <c r="A345" s="146" t="s">
        <v>2123</v>
      </c>
      <c r="B345" t="s">
        <v>1162</v>
      </c>
      <c r="C345" t="s">
        <v>1158</v>
      </c>
      <c r="D345" s="136">
        <v>4540255</v>
      </c>
      <c r="E345" s="61"/>
      <c r="F345" s="31">
        <v>139</v>
      </c>
      <c r="G345" s="31"/>
      <c r="H345" s="32" t="s">
        <v>1554</v>
      </c>
      <c r="K345">
        <v>39</v>
      </c>
      <c r="L345">
        <v>285</v>
      </c>
      <c r="M345">
        <v>46</v>
      </c>
      <c r="N345">
        <v>0</v>
      </c>
      <c r="O345">
        <v>370</v>
      </c>
      <c r="Q345" s="134"/>
      <c r="R345" s="45"/>
    </row>
    <row r="346" spans="1:21" x14ac:dyDescent="0.25">
      <c r="A346" s="146" t="s">
        <v>2125</v>
      </c>
      <c r="B346" t="s">
        <v>1164</v>
      </c>
      <c r="C346" t="s">
        <v>1158</v>
      </c>
      <c r="D346" s="136">
        <v>4540255</v>
      </c>
      <c r="E346" s="24"/>
      <c r="F346" s="31"/>
      <c r="G346" s="31"/>
      <c r="H346" s="32" t="s">
        <v>1554</v>
      </c>
      <c r="K346">
        <v>107</v>
      </c>
      <c r="L346">
        <v>83</v>
      </c>
      <c r="M346">
        <v>96</v>
      </c>
      <c r="N346">
        <v>99</v>
      </c>
      <c r="O346">
        <v>385</v>
      </c>
      <c r="Q346" s="134"/>
      <c r="R346" s="45"/>
    </row>
    <row r="347" spans="1:21" x14ac:dyDescent="0.25">
      <c r="A347" s="146"/>
      <c r="B347" s="29" t="s">
        <v>2124</v>
      </c>
      <c r="C347" t="s">
        <v>978</v>
      </c>
      <c r="D347" s="136">
        <v>4540255</v>
      </c>
      <c r="E347" s="24"/>
      <c r="F347" s="31"/>
      <c r="G347" s="31"/>
      <c r="H347" s="32" t="s">
        <v>1554</v>
      </c>
      <c r="K347">
        <v>2</v>
      </c>
      <c r="L347">
        <v>2</v>
      </c>
      <c r="M347">
        <v>1</v>
      </c>
      <c r="N347">
        <v>2</v>
      </c>
      <c r="O347">
        <v>7</v>
      </c>
      <c r="Q347" s="134"/>
      <c r="R347" s="45"/>
    </row>
    <row r="348" spans="1:21" x14ac:dyDescent="0.25">
      <c r="A348" s="146" t="s">
        <v>2126</v>
      </c>
      <c r="B348" t="s">
        <v>741</v>
      </c>
      <c r="C348" s="29" t="s">
        <v>2127</v>
      </c>
      <c r="D348" s="136">
        <v>4540255</v>
      </c>
      <c r="E348" s="24"/>
      <c r="F348" s="31"/>
      <c r="G348" s="31"/>
      <c r="H348" s="32" t="s">
        <v>1554</v>
      </c>
      <c r="K348">
        <v>40</v>
      </c>
      <c r="L348">
        <v>70</v>
      </c>
      <c r="M348">
        <v>53</v>
      </c>
      <c r="N348">
        <v>47</v>
      </c>
      <c r="O348">
        <v>210</v>
      </c>
      <c r="Q348" s="134"/>
      <c r="R348" s="45"/>
    </row>
    <row r="349" spans="1:21" x14ac:dyDescent="0.25">
      <c r="A349" s="146" t="s">
        <v>2128</v>
      </c>
      <c r="B349" t="s">
        <v>982</v>
      </c>
      <c r="C349" t="s">
        <v>1073</v>
      </c>
      <c r="D349" s="136">
        <v>4540255</v>
      </c>
      <c r="E349" s="24"/>
      <c r="F349" s="31"/>
      <c r="G349" s="31"/>
      <c r="H349" s="32" t="s">
        <v>1554</v>
      </c>
      <c r="K349">
        <v>152</v>
      </c>
      <c r="L349">
        <v>128</v>
      </c>
      <c r="M349">
        <v>104</v>
      </c>
      <c r="N349">
        <v>92</v>
      </c>
      <c r="O349">
        <v>476</v>
      </c>
      <c r="Q349" s="134"/>
      <c r="R349" s="45"/>
    </row>
    <row r="350" spans="1:21" x14ac:dyDescent="0.25">
      <c r="A350" s="146" t="s">
        <v>2129</v>
      </c>
      <c r="B350" t="s">
        <v>741</v>
      </c>
      <c r="C350" s="29" t="s">
        <v>2130</v>
      </c>
      <c r="D350" s="136">
        <v>4540255</v>
      </c>
      <c r="E350" s="24"/>
      <c r="F350" s="31"/>
      <c r="G350" s="31"/>
      <c r="H350" s="32" t="s">
        <v>1554</v>
      </c>
      <c r="K350">
        <v>245</v>
      </c>
      <c r="L350">
        <v>475</v>
      </c>
      <c r="M350">
        <v>329</v>
      </c>
      <c r="N350">
        <v>204</v>
      </c>
      <c r="O350">
        <v>1253</v>
      </c>
      <c r="Q350" s="134"/>
      <c r="R350" s="45"/>
    </row>
    <row r="351" spans="1:21" s="60" customFormat="1" x14ac:dyDescent="0.25">
      <c r="A351" s="146" t="s">
        <v>2131</v>
      </c>
      <c r="B351" s="18" t="s">
        <v>1259</v>
      </c>
      <c r="C351" s="29" t="s">
        <v>2130</v>
      </c>
      <c r="D351" s="24">
        <v>4540255</v>
      </c>
      <c r="E351" s="24"/>
      <c r="F351" s="31"/>
      <c r="G351" s="31"/>
      <c r="H351" s="32" t="s">
        <v>1554</v>
      </c>
      <c r="K351" s="18">
        <v>453</v>
      </c>
      <c r="L351" s="18">
        <v>707</v>
      </c>
      <c r="M351" s="18">
        <v>544</v>
      </c>
      <c r="N351" s="18">
        <v>425</v>
      </c>
      <c r="O351" s="18">
        <v>2129</v>
      </c>
      <c r="P351" s="72"/>
      <c r="Q351" s="126"/>
      <c r="R351" s="45"/>
      <c r="S351" s="72"/>
      <c r="T351" s="126"/>
    </row>
    <row r="352" spans="1:21" x14ac:dyDescent="0.25">
      <c r="A352" s="146"/>
      <c r="B352" t="s">
        <v>741</v>
      </c>
      <c r="C352" s="28" t="s">
        <v>939</v>
      </c>
      <c r="D352" s="136">
        <v>4540255</v>
      </c>
      <c r="E352" s="24"/>
      <c r="F352" s="31"/>
      <c r="G352" s="31"/>
      <c r="H352" s="32" t="s">
        <v>1554</v>
      </c>
      <c r="K352">
        <v>7</v>
      </c>
      <c r="L352">
        <v>7</v>
      </c>
      <c r="M352">
        <v>8</v>
      </c>
      <c r="N352">
        <v>6</v>
      </c>
      <c r="O352">
        <v>28</v>
      </c>
      <c r="Q352" s="134"/>
      <c r="R352" s="45"/>
    </row>
    <row r="353" spans="1:21" x14ac:dyDescent="0.25">
      <c r="A353" s="143"/>
      <c r="B353" t="s">
        <v>741</v>
      </c>
      <c r="C353" t="s">
        <v>739</v>
      </c>
      <c r="D353" s="136">
        <v>4540255</v>
      </c>
      <c r="K353">
        <v>0</v>
      </c>
      <c r="L353">
        <v>0</v>
      </c>
      <c r="M353">
        <v>34</v>
      </c>
      <c r="N353">
        <v>46</v>
      </c>
      <c r="O353">
        <v>80</v>
      </c>
      <c r="Q353" s="134"/>
      <c r="R353" s="45"/>
    </row>
    <row r="354" spans="1:21" x14ac:dyDescent="0.25">
      <c r="A354" s="143"/>
      <c r="B354" t="s">
        <v>741</v>
      </c>
      <c r="C354" t="s">
        <v>744</v>
      </c>
      <c r="D354" s="136">
        <v>4540255</v>
      </c>
      <c r="E354" s="24">
        <v>4540255</v>
      </c>
      <c r="K354">
        <v>59</v>
      </c>
      <c r="L354">
        <v>4</v>
      </c>
      <c r="M354">
        <v>0</v>
      </c>
      <c r="N354">
        <v>0</v>
      </c>
      <c r="O354">
        <v>63</v>
      </c>
      <c r="P354" s="65">
        <f>SUM(O346+O347+O348+O349+O351-O350+O352+O353+O354)*1000</f>
        <v>2125000</v>
      </c>
      <c r="Q354" s="134">
        <f t="shared" si="20"/>
        <v>27.723418134377038</v>
      </c>
      <c r="R354" s="45">
        <f t="shared" si="21"/>
        <v>16634.050880626222</v>
      </c>
      <c r="S354" s="65">
        <v>27.72</v>
      </c>
      <c r="T354" s="127">
        <v>42.71</v>
      </c>
      <c r="U354" s="132" t="s">
        <v>2241</v>
      </c>
    </row>
    <row r="355" spans="1:21" x14ac:dyDescent="0.25">
      <c r="A355" s="146" t="s">
        <v>2132</v>
      </c>
      <c r="B355" s="29" t="s">
        <v>2133</v>
      </c>
      <c r="C355" s="29" t="s">
        <v>2134</v>
      </c>
      <c r="D355" s="24">
        <v>4540260</v>
      </c>
      <c r="E355" s="24">
        <v>4540260</v>
      </c>
      <c r="F355" s="31">
        <v>140</v>
      </c>
      <c r="G355" s="31"/>
      <c r="H355" s="32" t="s">
        <v>1554</v>
      </c>
      <c r="K355">
        <v>84</v>
      </c>
      <c r="L355">
        <v>35</v>
      </c>
      <c r="M355">
        <v>36</v>
      </c>
      <c r="N355">
        <v>20</v>
      </c>
      <c r="O355">
        <v>175</v>
      </c>
      <c r="P355" s="65">
        <f>SUM(O355*1000)</f>
        <v>175000</v>
      </c>
      <c r="Q355" s="134">
        <f t="shared" si="20"/>
        <v>2.2831050228310503</v>
      </c>
      <c r="R355" s="45">
        <f t="shared" si="21"/>
        <v>1369.8630136986301</v>
      </c>
      <c r="S355" s="65">
        <v>2.2799999999999998</v>
      </c>
      <c r="T355" s="127">
        <v>1</v>
      </c>
      <c r="U355" s="132" t="s">
        <v>2243</v>
      </c>
    </row>
    <row r="356" spans="1:21" x14ac:dyDescent="0.25">
      <c r="A356" s="146" t="s">
        <v>2135</v>
      </c>
      <c r="B356" t="s">
        <v>28</v>
      </c>
      <c r="C356" s="29" t="s">
        <v>2136</v>
      </c>
      <c r="D356" s="24">
        <v>4540265</v>
      </c>
      <c r="E356" s="24">
        <v>4540265</v>
      </c>
      <c r="F356" s="31">
        <v>141</v>
      </c>
      <c r="G356" s="31"/>
      <c r="H356" s="32" t="s">
        <v>1554</v>
      </c>
      <c r="K356">
        <v>144</v>
      </c>
      <c r="L356">
        <v>180</v>
      </c>
      <c r="M356">
        <v>151</v>
      </c>
      <c r="N356">
        <v>152</v>
      </c>
      <c r="O356">
        <v>627</v>
      </c>
      <c r="Q356" s="134"/>
      <c r="R356" s="45">
        <f t="shared" si="21"/>
        <v>0</v>
      </c>
    </row>
    <row r="357" spans="1:21" x14ac:dyDescent="0.25">
      <c r="A357" s="146" t="s">
        <v>2137</v>
      </c>
      <c r="B357" t="s">
        <v>31</v>
      </c>
      <c r="C357" s="29" t="s">
        <v>2136</v>
      </c>
      <c r="D357" s="24">
        <v>4540265</v>
      </c>
      <c r="E357" s="24">
        <v>4540265</v>
      </c>
      <c r="F357" s="31"/>
      <c r="G357" s="31"/>
      <c r="H357" s="32" t="s">
        <v>1554</v>
      </c>
      <c r="K357">
        <v>2009</v>
      </c>
      <c r="L357">
        <v>2289</v>
      </c>
      <c r="M357">
        <v>2413</v>
      </c>
      <c r="N357">
        <v>2117</v>
      </c>
      <c r="O357">
        <v>8828</v>
      </c>
      <c r="P357" s="65">
        <f>SUM(O357-O356)*1000</f>
        <v>8201000</v>
      </c>
      <c r="Q357" s="134">
        <f t="shared" si="20"/>
        <v>106.99282452707111</v>
      </c>
      <c r="R357" s="45">
        <f t="shared" si="21"/>
        <v>64195.694716242666</v>
      </c>
      <c r="S357" s="65">
        <v>106.99</v>
      </c>
      <c r="T357" s="127">
        <v>104.29</v>
      </c>
      <c r="U357" s="132" t="s">
        <v>2243</v>
      </c>
    </row>
    <row r="358" spans="1:21" x14ac:dyDescent="0.25">
      <c r="A358" s="146" t="s">
        <v>2138</v>
      </c>
      <c r="B358" s="24" t="s">
        <v>2139</v>
      </c>
      <c r="C358" s="29" t="s">
        <v>2140</v>
      </c>
      <c r="D358" s="123">
        <v>4540279</v>
      </c>
      <c r="E358" s="123">
        <v>4540279</v>
      </c>
      <c r="F358" s="31">
        <v>142</v>
      </c>
      <c r="G358" s="31"/>
      <c r="H358" s="32" t="s">
        <v>1554</v>
      </c>
      <c r="O358" s="51">
        <v>76.650000000000006</v>
      </c>
      <c r="P358" s="65">
        <f>SUM(O358*1000)</f>
        <v>76650</v>
      </c>
      <c r="Q358" s="134">
        <f t="shared" si="20"/>
        <v>1</v>
      </c>
      <c r="R358" s="45">
        <f t="shared" si="21"/>
        <v>600</v>
      </c>
      <c r="S358" s="65">
        <v>1</v>
      </c>
      <c r="T358" s="127">
        <v>1</v>
      </c>
      <c r="U358" s="132" t="s">
        <v>2242</v>
      </c>
    </row>
    <row r="359" spans="1:21" x14ac:dyDescent="0.25">
      <c r="A359" s="146" t="s">
        <v>2141</v>
      </c>
      <c r="B359" s="24" t="s">
        <v>2142</v>
      </c>
      <c r="C359" s="29" t="s">
        <v>2037</v>
      </c>
      <c r="D359" s="123">
        <v>4540282</v>
      </c>
      <c r="E359" s="123">
        <v>4540282</v>
      </c>
      <c r="F359" s="31">
        <v>143</v>
      </c>
      <c r="G359" s="31"/>
      <c r="H359" s="32" t="s">
        <v>1554</v>
      </c>
      <c r="O359" s="51">
        <v>76.650000000000006</v>
      </c>
      <c r="P359" s="65">
        <f>SUM(O359*1000)</f>
        <v>76650</v>
      </c>
      <c r="Q359" s="134">
        <f t="shared" si="20"/>
        <v>1</v>
      </c>
      <c r="R359" s="45">
        <f t="shared" si="21"/>
        <v>600</v>
      </c>
      <c r="S359" s="65">
        <v>1</v>
      </c>
      <c r="T359" s="127">
        <v>1</v>
      </c>
      <c r="U359" s="132" t="s">
        <v>2242</v>
      </c>
    </row>
    <row r="360" spans="1:21" x14ac:dyDescent="0.25">
      <c r="A360" s="146" t="s">
        <v>2143</v>
      </c>
      <c r="B360" s="29" t="s">
        <v>2144</v>
      </c>
      <c r="C360" s="29" t="s">
        <v>2145</v>
      </c>
      <c r="D360" s="24">
        <v>4540290</v>
      </c>
      <c r="E360" s="24">
        <v>4540290</v>
      </c>
      <c r="F360" s="31">
        <v>144</v>
      </c>
      <c r="G360" s="31"/>
      <c r="H360" s="32" t="s">
        <v>1554</v>
      </c>
      <c r="K360">
        <v>50</v>
      </c>
      <c r="L360">
        <v>110</v>
      </c>
      <c r="M360">
        <v>103</v>
      </c>
      <c r="N360">
        <v>36</v>
      </c>
      <c r="O360">
        <v>299</v>
      </c>
      <c r="P360" s="65">
        <f>SUM(O360*1000)</f>
        <v>299000</v>
      </c>
      <c r="Q360" s="134">
        <f t="shared" si="20"/>
        <v>3.9008480104370515</v>
      </c>
      <c r="R360" s="45">
        <f t="shared" si="21"/>
        <v>2340.5088062622308</v>
      </c>
      <c r="S360" s="65">
        <v>3.9</v>
      </c>
      <c r="T360" s="127">
        <v>1</v>
      </c>
      <c r="U360" s="132" t="s">
        <v>2243</v>
      </c>
    </row>
    <row r="361" spans="1:21" s="60" customFormat="1" x14ac:dyDescent="0.25">
      <c r="A361" s="146" t="s">
        <v>2146</v>
      </c>
      <c r="B361" s="18" t="s">
        <v>1194</v>
      </c>
      <c r="C361" s="29" t="s">
        <v>2147</v>
      </c>
      <c r="D361" s="24">
        <v>4540300</v>
      </c>
      <c r="E361" s="24"/>
      <c r="F361" s="31"/>
      <c r="G361" s="31"/>
      <c r="H361" s="32" t="s">
        <v>1554</v>
      </c>
      <c r="K361" s="18">
        <v>96</v>
      </c>
      <c r="L361" s="18">
        <v>103</v>
      </c>
      <c r="M361" s="18">
        <v>77</v>
      </c>
      <c r="N361" s="18">
        <v>68</v>
      </c>
      <c r="O361" s="18">
        <v>344</v>
      </c>
      <c r="P361" s="72">
        <f>SUM(O361*1000)</f>
        <v>344000</v>
      </c>
      <c r="Q361" s="126">
        <f t="shared" si="20"/>
        <v>4.4879321591650356</v>
      </c>
      <c r="R361" s="45">
        <f t="shared" si="21"/>
        <v>2692.7592954990214</v>
      </c>
      <c r="S361" s="72">
        <v>4.49</v>
      </c>
      <c r="T361" s="126">
        <v>2.82</v>
      </c>
      <c r="U361" s="131" t="s">
        <v>2243</v>
      </c>
    </row>
    <row r="362" spans="1:21" x14ac:dyDescent="0.25">
      <c r="A362" s="146"/>
      <c r="B362" t="s">
        <v>1197</v>
      </c>
      <c r="C362" s="73"/>
      <c r="D362" s="88"/>
      <c r="E362" s="88"/>
      <c r="F362" s="74"/>
      <c r="G362" s="74" t="s">
        <v>1570</v>
      </c>
      <c r="H362" s="75"/>
      <c r="K362">
        <v>0</v>
      </c>
      <c r="L362">
        <v>50</v>
      </c>
      <c r="M362">
        <v>45</v>
      </c>
      <c r="N362">
        <v>0</v>
      </c>
      <c r="O362">
        <v>95</v>
      </c>
      <c r="P362" s="72"/>
      <c r="Q362" s="126"/>
      <c r="R362" s="45"/>
      <c r="U362" s="132" t="s">
        <v>2243</v>
      </c>
    </row>
    <row r="363" spans="1:21" x14ac:dyDescent="0.25">
      <c r="A363" s="146"/>
      <c r="B363" s="29" t="s">
        <v>2148</v>
      </c>
      <c r="C363" s="29" t="s">
        <v>2149</v>
      </c>
      <c r="D363" s="24">
        <v>4540302</v>
      </c>
      <c r="E363" s="24">
        <v>4540302</v>
      </c>
      <c r="F363" s="31">
        <v>146</v>
      </c>
      <c r="G363" s="31"/>
      <c r="H363" s="32" t="s">
        <v>1554</v>
      </c>
      <c r="K363">
        <v>39</v>
      </c>
      <c r="L363">
        <v>98</v>
      </c>
      <c r="M363">
        <v>43</v>
      </c>
      <c r="N363">
        <v>31</v>
      </c>
      <c r="O363">
        <v>211</v>
      </c>
      <c r="P363" s="72">
        <f t="shared" ref="P363:P365" si="24">SUM(O363*1000)</f>
        <v>211000</v>
      </c>
      <c r="Q363" s="126">
        <f t="shared" ref="Q363:Q412" si="25">SUM(P363/76650)</f>
        <v>2.7527723418134378</v>
      </c>
      <c r="R363" s="45">
        <f t="shared" si="21"/>
        <v>1651.6634050880627</v>
      </c>
      <c r="S363" s="65">
        <v>2.75</v>
      </c>
      <c r="T363" s="127">
        <v>2.77</v>
      </c>
      <c r="U363" s="132" t="s">
        <v>2241</v>
      </c>
    </row>
    <row r="364" spans="1:21" x14ac:dyDescent="0.25">
      <c r="A364" s="146" t="s">
        <v>2150</v>
      </c>
      <c r="B364" s="29" t="s">
        <v>2151</v>
      </c>
      <c r="C364" s="29" t="s">
        <v>2152</v>
      </c>
      <c r="D364" s="24">
        <v>4540304</v>
      </c>
      <c r="E364" s="24">
        <v>4540304</v>
      </c>
      <c r="F364" s="31">
        <v>147</v>
      </c>
      <c r="G364" s="31"/>
      <c r="H364" s="32" t="s">
        <v>1554</v>
      </c>
      <c r="O364" s="51">
        <v>76.650000000000006</v>
      </c>
      <c r="P364" s="72">
        <f t="shared" si="24"/>
        <v>76650</v>
      </c>
      <c r="Q364" s="126">
        <f t="shared" si="25"/>
        <v>1</v>
      </c>
      <c r="R364" s="45">
        <f t="shared" si="21"/>
        <v>600</v>
      </c>
      <c r="S364" s="65">
        <v>1</v>
      </c>
      <c r="T364" s="127">
        <v>1</v>
      </c>
      <c r="U364" s="132" t="s">
        <v>2242</v>
      </c>
    </row>
    <row r="365" spans="1:21" x14ac:dyDescent="0.25">
      <c r="A365" s="146" t="s">
        <v>2153</v>
      </c>
      <c r="B365" s="29" t="s">
        <v>2154</v>
      </c>
      <c r="C365" s="29" t="s">
        <v>2155</v>
      </c>
      <c r="D365" s="24">
        <v>4540310</v>
      </c>
      <c r="E365" s="24">
        <v>4540310</v>
      </c>
      <c r="F365" s="31">
        <v>147</v>
      </c>
      <c r="G365" s="31"/>
      <c r="H365" s="32" t="s">
        <v>1554</v>
      </c>
      <c r="K365" s="15">
        <v>7</v>
      </c>
      <c r="L365" s="15">
        <v>87</v>
      </c>
      <c r="M365" s="15">
        <v>21</v>
      </c>
      <c r="N365" s="15">
        <v>4</v>
      </c>
      <c r="O365" s="15">
        <v>119</v>
      </c>
      <c r="P365" s="72">
        <f t="shared" si="24"/>
        <v>119000</v>
      </c>
      <c r="Q365" s="126">
        <f t="shared" si="25"/>
        <v>1.5525114155251141</v>
      </c>
      <c r="R365" s="45">
        <f t="shared" si="21"/>
        <v>931.50684931506839</v>
      </c>
      <c r="S365" s="65">
        <v>1.55</v>
      </c>
      <c r="T365" s="127">
        <v>3.34</v>
      </c>
      <c r="U365" s="132" t="s">
        <v>2241</v>
      </c>
    </row>
    <row r="366" spans="1:21" x14ac:dyDescent="0.25">
      <c r="A366" s="146" t="s">
        <v>2156</v>
      </c>
      <c r="B366" s="29" t="s">
        <v>2157</v>
      </c>
      <c r="C366" s="29" t="s">
        <v>2158</v>
      </c>
      <c r="D366" s="113">
        <v>4540315</v>
      </c>
      <c r="E366" s="24">
        <v>4540315</v>
      </c>
      <c r="F366" s="31">
        <v>148</v>
      </c>
      <c r="G366" s="31"/>
      <c r="H366" s="32" t="s">
        <v>1554</v>
      </c>
      <c r="K366">
        <v>0</v>
      </c>
      <c r="L366">
        <v>0</v>
      </c>
      <c r="M366">
        <v>1</v>
      </c>
      <c r="N366">
        <v>1</v>
      </c>
      <c r="O366">
        <v>2</v>
      </c>
      <c r="Q366" s="126"/>
      <c r="R366" s="45"/>
    </row>
    <row r="367" spans="1:21" x14ac:dyDescent="0.25">
      <c r="A367" s="146" t="s">
        <v>2159</v>
      </c>
      <c r="B367" s="29" t="s">
        <v>2157</v>
      </c>
      <c r="C367" s="29" t="s">
        <v>2160</v>
      </c>
      <c r="D367" s="113">
        <v>4540315</v>
      </c>
      <c r="E367" s="24"/>
      <c r="F367" s="24"/>
      <c r="G367" s="31"/>
      <c r="H367" s="32" t="s">
        <v>1554</v>
      </c>
      <c r="K367">
        <v>0</v>
      </c>
      <c r="L367">
        <v>1</v>
      </c>
      <c r="M367">
        <v>1</v>
      </c>
      <c r="N367">
        <v>1</v>
      </c>
      <c r="O367">
        <v>3</v>
      </c>
      <c r="Q367" s="126"/>
      <c r="R367" s="45"/>
    </row>
    <row r="368" spans="1:21" x14ac:dyDescent="0.25">
      <c r="A368" s="146" t="s">
        <v>2161</v>
      </c>
      <c r="B368" s="29" t="s">
        <v>2157</v>
      </c>
      <c r="C368" s="29" t="s">
        <v>2162</v>
      </c>
      <c r="D368" s="113">
        <v>4540315</v>
      </c>
      <c r="E368" s="24"/>
      <c r="F368" s="31"/>
      <c r="G368" s="31"/>
      <c r="H368" s="32" t="s">
        <v>1554</v>
      </c>
      <c r="K368">
        <v>14</v>
      </c>
      <c r="L368">
        <v>15</v>
      </c>
      <c r="M368">
        <v>14</v>
      </c>
      <c r="N368">
        <v>14</v>
      </c>
      <c r="O368">
        <v>57</v>
      </c>
      <c r="Q368" s="126"/>
      <c r="R368" s="45"/>
    </row>
    <row r="369" spans="1:21" x14ac:dyDescent="0.25">
      <c r="A369" s="146" t="s">
        <v>2163</v>
      </c>
      <c r="B369" s="29" t="s">
        <v>2157</v>
      </c>
      <c r="C369" s="29" t="s">
        <v>2164</v>
      </c>
      <c r="D369" s="113">
        <v>4540315</v>
      </c>
      <c r="E369" s="24"/>
      <c r="F369" s="31"/>
      <c r="G369" s="31"/>
      <c r="H369" s="32" t="s">
        <v>1554</v>
      </c>
      <c r="K369">
        <v>11</v>
      </c>
      <c r="L369">
        <v>18</v>
      </c>
      <c r="M369">
        <v>14</v>
      </c>
      <c r="N369">
        <v>8</v>
      </c>
      <c r="O369">
        <v>51</v>
      </c>
      <c r="Q369" s="126"/>
      <c r="R369" s="45"/>
    </row>
    <row r="370" spans="1:21" x14ac:dyDescent="0.25">
      <c r="A370" s="146" t="s">
        <v>2165</v>
      </c>
      <c r="B370" s="29" t="s">
        <v>2157</v>
      </c>
      <c r="C370" s="29" t="s">
        <v>2166</v>
      </c>
      <c r="D370" s="113">
        <v>4540315</v>
      </c>
      <c r="E370" s="24"/>
      <c r="F370" s="31"/>
      <c r="G370" s="31"/>
      <c r="H370" s="32" t="s">
        <v>1554</v>
      </c>
      <c r="K370" s="51">
        <v>0</v>
      </c>
      <c r="L370" s="51">
        <v>0</v>
      </c>
      <c r="M370" s="51">
        <v>0</v>
      </c>
      <c r="N370" s="51">
        <v>0</v>
      </c>
      <c r="O370" s="51">
        <v>0</v>
      </c>
      <c r="Q370" s="126"/>
      <c r="R370" s="45"/>
    </row>
    <row r="371" spans="1:21" x14ac:dyDescent="0.25">
      <c r="A371" s="146" t="s">
        <v>2167</v>
      </c>
      <c r="B371" s="29" t="s">
        <v>2157</v>
      </c>
      <c r="C371" s="29" t="s">
        <v>2168</v>
      </c>
      <c r="D371" s="113">
        <v>4540315</v>
      </c>
      <c r="E371" s="24"/>
      <c r="F371" s="31"/>
      <c r="G371" s="31"/>
      <c r="H371" s="32" t="s">
        <v>1554</v>
      </c>
      <c r="K371">
        <v>34</v>
      </c>
      <c r="L371">
        <v>171</v>
      </c>
      <c r="M371">
        <v>31</v>
      </c>
      <c r="N371">
        <v>45</v>
      </c>
      <c r="O371">
        <v>281</v>
      </c>
      <c r="Q371" s="126"/>
      <c r="R371" s="45"/>
    </row>
    <row r="372" spans="1:21" x14ac:dyDescent="0.25">
      <c r="A372" s="146" t="s">
        <v>2169</v>
      </c>
      <c r="B372" s="29" t="s">
        <v>2157</v>
      </c>
      <c r="C372" s="29" t="s">
        <v>2168</v>
      </c>
      <c r="D372" s="113">
        <v>4540315</v>
      </c>
      <c r="E372" s="24"/>
      <c r="F372" s="31"/>
      <c r="G372" s="31"/>
      <c r="H372" s="32" t="s">
        <v>1554</v>
      </c>
      <c r="K372">
        <v>67</v>
      </c>
      <c r="L372">
        <v>29</v>
      </c>
      <c r="M372">
        <v>17</v>
      </c>
      <c r="N372">
        <v>14</v>
      </c>
      <c r="O372">
        <v>127</v>
      </c>
      <c r="Q372" s="126"/>
      <c r="R372" s="45"/>
    </row>
    <row r="373" spans="1:21" x14ac:dyDescent="0.25">
      <c r="A373" s="146" t="s">
        <v>2170</v>
      </c>
      <c r="B373" s="29" t="s">
        <v>2157</v>
      </c>
      <c r="C373" s="29" t="s">
        <v>2171</v>
      </c>
      <c r="D373" s="113">
        <v>4540315</v>
      </c>
      <c r="E373" s="24"/>
      <c r="F373" s="31"/>
      <c r="G373" s="31"/>
      <c r="H373" s="32" t="s">
        <v>1554</v>
      </c>
      <c r="K373">
        <v>7</v>
      </c>
      <c r="L373">
        <v>14</v>
      </c>
      <c r="M373">
        <v>10</v>
      </c>
      <c r="N373">
        <v>15</v>
      </c>
      <c r="O373">
        <v>46</v>
      </c>
      <c r="Q373" s="126"/>
      <c r="R373" s="45"/>
    </row>
    <row r="374" spans="1:21" x14ac:dyDescent="0.25">
      <c r="A374" s="146" t="s">
        <v>2172</v>
      </c>
      <c r="B374" s="29" t="s">
        <v>2157</v>
      </c>
      <c r="C374" s="29" t="s">
        <v>2173</v>
      </c>
      <c r="D374" s="113">
        <v>4540315</v>
      </c>
      <c r="E374" s="24"/>
      <c r="F374" s="31"/>
      <c r="G374" s="31"/>
      <c r="H374" s="32" t="s">
        <v>1554</v>
      </c>
      <c r="K374" s="51">
        <v>0</v>
      </c>
      <c r="L374" s="51">
        <v>0</v>
      </c>
      <c r="M374" s="51">
        <v>0</v>
      </c>
      <c r="N374" s="51">
        <v>0</v>
      </c>
      <c r="O374" s="51">
        <v>0</v>
      </c>
      <c r="Q374" s="126"/>
      <c r="R374" s="45"/>
    </row>
    <row r="375" spans="1:21" x14ac:dyDescent="0.25">
      <c r="A375" s="146" t="s">
        <v>2174</v>
      </c>
      <c r="B375" s="29" t="s">
        <v>2157</v>
      </c>
      <c r="C375" s="29" t="s">
        <v>2175</v>
      </c>
      <c r="D375" s="113">
        <v>4540315</v>
      </c>
      <c r="E375" s="24"/>
      <c r="F375" s="31"/>
      <c r="G375" s="31"/>
      <c r="H375" s="32" t="s">
        <v>1554</v>
      </c>
      <c r="K375">
        <v>11</v>
      </c>
      <c r="L375">
        <v>9</v>
      </c>
      <c r="M375">
        <v>8</v>
      </c>
      <c r="N375">
        <v>7</v>
      </c>
      <c r="O375">
        <v>35</v>
      </c>
      <c r="Q375" s="126"/>
      <c r="R375" s="45"/>
    </row>
    <row r="376" spans="1:21" x14ac:dyDescent="0.25">
      <c r="A376" s="146" t="s">
        <v>2176</v>
      </c>
      <c r="B376" s="29" t="s">
        <v>2157</v>
      </c>
      <c r="C376" s="29" t="s">
        <v>2177</v>
      </c>
      <c r="D376" s="113">
        <v>4540315</v>
      </c>
      <c r="E376" s="34"/>
      <c r="F376" s="31"/>
      <c r="G376" s="31"/>
      <c r="H376" s="32" t="s">
        <v>1554</v>
      </c>
      <c r="K376" s="51">
        <v>0</v>
      </c>
      <c r="L376" s="51">
        <v>0</v>
      </c>
      <c r="M376" s="51">
        <v>0</v>
      </c>
      <c r="N376" s="51">
        <v>0</v>
      </c>
      <c r="O376" s="51">
        <v>0</v>
      </c>
      <c r="Q376" s="126"/>
      <c r="R376" s="45"/>
    </row>
    <row r="377" spans="1:21" x14ac:dyDescent="0.25">
      <c r="A377" s="146"/>
      <c r="B377" s="29" t="s">
        <v>2157</v>
      </c>
      <c r="C377" s="29" t="s">
        <v>2178</v>
      </c>
      <c r="D377" s="113">
        <v>4540315</v>
      </c>
      <c r="E377" s="34"/>
      <c r="F377" s="31"/>
      <c r="G377" s="31"/>
      <c r="H377" s="32" t="s">
        <v>1554</v>
      </c>
      <c r="K377">
        <v>2</v>
      </c>
      <c r="L377">
        <v>2</v>
      </c>
      <c r="M377">
        <v>2</v>
      </c>
      <c r="N377">
        <v>1</v>
      </c>
      <c r="O377">
        <v>7</v>
      </c>
      <c r="Q377" s="126"/>
      <c r="R377" s="45"/>
    </row>
    <row r="378" spans="1:21" x14ac:dyDescent="0.25">
      <c r="A378" s="146"/>
      <c r="B378" s="29" t="s">
        <v>2182</v>
      </c>
      <c r="C378" s="29" t="s">
        <v>2178</v>
      </c>
      <c r="D378" s="113">
        <v>4540315</v>
      </c>
      <c r="E378" s="34"/>
      <c r="F378" s="31"/>
      <c r="G378" s="31"/>
      <c r="H378" s="32"/>
      <c r="K378">
        <v>6</v>
      </c>
      <c r="L378">
        <v>7</v>
      </c>
      <c r="M378">
        <v>8</v>
      </c>
      <c r="N378">
        <v>8</v>
      </c>
      <c r="O378">
        <v>29</v>
      </c>
      <c r="Q378" s="126"/>
      <c r="R378" s="45"/>
    </row>
    <row r="379" spans="1:21" x14ac:dyDescent="0.25">
      <c r="A379" s="146" t="s">
        <v>2179</v>
      </c>
      <c r="B379" s="29" t="s">
        <v>2180</v>
      </c>
      <c r="C379" s="29" t="s">
        <v>2181</v>
      </c>
      <c r="D379" s="113">
        <v>4540315</v>
      </c>
      <c r="E379" s="24"/>
      <c r="F379" s="31"/>
      <c r="G379" s="31"/>
      <c r="H379" s="32" t="s">
        <v>1554</v>
      </c>
      <c r="K379">
        <v>165</v>
      </c>
      <c r="L379">
        <v>159</v>
      </c>
      <c r="M379">
        <v>157</v>
      </c>
      <c r="N379">
        <v>155</v>
      </c>
      <c r="O379">
        <v>636</v>
      </c>
      <c r="P379" s="65">
        <f>SUM(O366:O379)*1000</f>
        <v>1274000</v>
      </c>
      <c r="Q379" s="126">
        <f t="shared" si="25"/>
        <v>16.621004566210047</v>
      </c>
      <c r="R379" s="45">
        <f t="shared" si="21"/>
        <v>9972.6027397260277</v>
      </c>
      <c r="S379" s="65">
        <v>8.3000000000000007</v>
      </c>
      <c r="T379" s="127">
        <v>15.73</v>
      </c>
      <c r="U379" s="132" t="s">
        <v>2241</v>
      </c>
    </row>
    <row r="380" spans="1:21" x14ac:dyDescent="0.25">
      <c r="A380" s="146" t="s">
        <v>2183</v>
      </c>
      <c r="B380" s="29" t="s">
        <v>2184</v>
      </c>
      <c r="C380" s="29" t="s">
        <v>2185</v>
      </c>
      <c r="D380" s="24">
        <v>4540320</v>
      </c>
      <c r="E380" s="24"/>
      <c r="F380" s="31"/>
      <c r="G380" s="31"/>
      <c r="H380" s="32" t="s">
        <v>1554</v>
      </c>
      <c r="K380">
        <v>139</v>
      </c>
      <c r="L380">
        <v>209</v>
      </c>
      <c r="M380">
        <v>120</v>
      </c>
      <c r="N380">
        <v>86</v>
      </c>
      <c r="O380">
        <v>554</v>
      </c>
      <c r="P380" s="65">
        <f t="shared" ref="P380:P387" si="26">SUM(O367:O3800*1000)</f>
        <v>554000</v>
      </c>
      <c r="Q380" s="126">
        <f t="shared" si="25"/>
        <v>7.2276581865622962</v>
      </c>
      <c r="R380" s="45">
        <f t="shared" si="21"/>
        <v>4336.5949119373781</v>
      </c>
      <c r="S380" s="65">
        <v>7.23</v>
      </c>
      <c r="T380" s="127">
        <v>7.64</v>
      </c>
    </row>
    <row r="381" spans="1:21" x14ac:dyDescent="0.25">
      <c r="A381" s="146" t="s">
        <v>2186</v>
      </c>
      <c r="B381" s="29" t="s">
        <v>2187</v>
      </c>
      <c r="C381" s="29" t="s">
        <v>2188</v>
      </c>
      <c r="D381" s="124">
        <v>4540328</v>
      </c>
      <c r="E381" s="31">
        <v>4540328</v>
      </c>
      <c r="F381" s="31">
        <v>150</v>
      </c>
      <c r="G381" s="31"/>
      <c r="H381" s="32" t="s">
        <v>1554</v>
      </c>
      <c r="O381" s="51">
        <v>76.650000000000006</v>
      </c>
      <c r="P381" s="65">
        <f t="shared" si="26"/>
        <v>76650</v>
      </c>
      <c r="Q381" s="126">
        <f t="shared" si="25"/>
        <v>1</v>
      </c>
      <c r="R381" s="45">
        <f t="shared" si="21"/>
        <v>600</v>
      </c>
      <c r="S381" s="65">
        <v>1</v>
      </c>
      <c r="T381" s="127">
        <v>1</v>
      </c>
    </row>
    <row r="382" spans="1:21" x14ac:dyDescent="0.25">
      <c r="A382" s="146" t="s">
        <v>2189</v>
      </c>
      <c r="B382" s="29" t="s">
        <v>2190</v>
      </c>
      <c r="C382" s="29" t="s">
        <v>2191</v>
      </c>
      <c r="D382" s="24">
        <v>4540332</v>
      </c>
      <c r="E382" s="24">
        <v>4540332</v>
      </c>
      <c r="F382" s="31">
        <v>151</v>
      </c>
      <c r="G382" s="31"/>
      <c r="H382" s="32" t="s">
        <v>1554</v>
      </c>
      <c r="K382">
        <v>4</v>
      </c>
      <c r="L382">
        <v>6</v>
      </c>
      <c r="M382">
        <v>3</v>
      </c>
      <c r="N382">
        <v>4</v>
      </c>
      <c r="O382" s="51">
        <v>76.650000000000006</v>
      </c>
      <c r="P382" s="65">
        <f t="shared" si="26"/>
        <v>76650</v>
      </c>
      <c r="Q382" s="126">
        <f t="shared" si="25"/>
        <v>1</v>
      </c>
      <c r="R382" s="45">
        <f t="shared" si="21"/>
        <v>600</v>
      </c>
      <c r="S382" s="65">
        <v>1</v>
      </c>
      <c r="T382" s="127">
        <v>1</v>
      </c>
    </row>
    <row r="383" spans="1:21" x14ac:dyDescent="0.25">
      <c r="A383" s="146" t="s">
        <v>2192</v>
      </c>
      <c r="B383" s="29" t="s">
        <v>2193</v>
      </c>
      <c r="C383" s="29" t="s">
        <v>2194</v>
      </c>
      <c r="D383" s="24">
        <v>4540336</v>
      </c>
      <c r="E383" s="24">
        <v>4540336</v>
      </c>
      <c r="F383" s="31">
        <v>152</v>
      </c>
      <c r="G383" s="31"/>
      <c r="H383" s="32" t="s">
        <v>1554</v>
      </c>
      <c r="K383">
        <v>341</v>
      </c>
      <c r="L383">
        <v>453</v>
      </c>
      <c r="M383">
        <v>359</v>
      </c>
      <c r="N383">
        <v>206</v>
      </c>
      <c r="O383">
        <v>1359</v>
      </c>
      <c r="P383" s="65">
        <f t="shared" si="26"/>
        <v>1359000</v>
      </c>
      <c r="Q383" s="126">
        <f t="shared" si="25"/>
        <v>17.729941291585128</v>
      </c>
      <c r="R383" s="45">
        <f t="shared" ref="R383:R413" si="27">SUM(Q383*600)</f>
        <v>10637.964774951077</v>
      </c>
      <c r="S383" s="65">
        <v>17.73</v>
      </c>
      <c r="T383" s="127">
        <v>15.25</v>
      </c>
    </row>
    <row r="384" spans="1:21" x14ac:dyDescent="0.25">
      <c r="A384" s="146" t="s">
        <v>2195</v>
      </c>
      <c r="B384" s="29" t="s">
        <v>2196</v>
      </c>
      <c r="C384" s="29" t="s">
        <v>2185</v>
      </c>
      <c r="D384" s="24">
        <v>4540339</v>
      </c>
      <c r="E384" s="24">
        <v>4540339</v>
      </c>
      <c r="F384" s="31">
        <v>153</v>
      </c>
      <c r="G384" s="31"/>
      <c r="H384" s="32" t="s">
        <v>1554</v>
      </c>
      <c r="K384">
        <v>30</v>
      </c>
      <c r="L384">
        <v>284</v>
      </c>
      <c r="M384">
        <v>43</v>
      </c>
      <c r="N384">
        <v>18</v>
      </c>
      <c r="O384">
        <v>375</v>
      </c>
      <c r="P384" s="65">
        <f t="shared" si="26"/>
        <v>375000</v>
      </c>
      <c r="Q384" s="126">
        <f t="shared" si="25"/>
        <v>4.8923679060665366</v>
      </c>
      <c r="R384" s="45">
        <f t="shared" si="27"/>
        <v>2935.420743639922</v>
      </c>
      <c r="S384" s="65">
        <v>4.8899999999999997</v>
      </c>
      <c r="T384" s="127">
        <v>4.8099999999999996</v>
      </c>
    </row>
    <row r="385" spans="1:20" x14ac:dyDescent="0.25">
      <c r="A385" s="146" t="s">
        <v>2197</v>
      </c>
      <c r="B385" s="29" t="s">
        <v>2198</v>
      </c>
      <c r="C385" s="29" t="s">
        <v>2199</v>
      </c>
      <c r="D385" s="24">
        <v>4540347</v>
      </c>
      <c r="E385" s="24">
        <v>4540347</v>
      </c>
      <c r="F385" s="31">
        <v>154</v>
      </c>
      <c r="G385" s="31"/>
      <c r="H385" s="32" t="s">
        <v>1554</v>
      </c>
      <c r="K385">
        <v>128</v>
      </c>
      <c r="L385">
        <v>126</v>
      </c>
      <c r="M385">
        <v>117</v>
      </c>
      <c r="N385">
        <v>87</v>
      </c>
      <c r="O385">
        <v>458</v>
      </c>
      <c r="P385" s="65">
        <f t="shared" si="26"/>
        <v>458000</v>
      </c>
      <c r="Q385" s="126">
        <f t="shared" si="25"/>
        <v>5.975212002609263</v>
      </c>
      <c r="R385" s="45">
        <f t="shared" si="27"/>
        <v>3585.1272015655577</v>
      </c>
      <c r="S385" s="65">
        <v>5.98</v>
      </c>
      <c r="T385" s="127">
        <v>3.91</v>
      </c>
    </row>
    <row r="386" spans="1:20" x14ac:dyDescent="0.25">
      <c r="A386" s="146" t="s">
        <v>2200</v>
      </c>
      <c r="B386" s="29" t="s">
        <v>2201</v>
      </c>
      <c r="C386" s="29" t="s">
        <v>2202</v>
      </c>
      <c r="D386" s="24">
        <v>4540353</v>
      </c>
      <c r="E386" s="24">
        <v>4540353</v>
      </c>
      <c r="F386" s="31">
        <v>155</v>
      </c>
      <c r="G386" s="31"/>
      <c r="H386" s="32" t="s">
        <v>1554</v>
      </c>
      <c r="K386">
        <v>7</v>
      </c>
      <c r="L386">
        <v>7</v>
      </c>
      <c r="M386">
        <v>10</v>
      </c>
      <c r="N386">
        <v>5</v>
      </c>
      <c r="O386">
        <v>76.650000000000006</v>
      </c>
      <c r="P386" s="65">
        <f t="shared" si="26"/>
        <v>76650</v>
      </c>
      <c r="Q386" s="126">
        <f t="shared" si="25"/>
        <v>1</v>
      </c>
      <c r="R386" s="45">
        <f t="shared" si="27"/>
        <v>600</v>
      </c>
      <c r="S386" s="65">
        <v>1</v>
      </c>
      <c r="T386" s="127">
        <v>1</v>
      </c>
    </row>
    <row r="387" spans="1:20" x14ac:dyDescent="0.25">
      <c r="A387" s="146" t="s">
        <v>2203</v>
      </c>
      <c r="B387" s="29" t="s">
        <v>2204</v>
      </c>
      <c r="C387" s="29" t="s">
        <v>2205</v>
      </c>
      <c r="D387" s="24">
        <v>4540358</v>
      </c>
      <c r="E387" s="24">
        <v>4540358</v>
      </c>
      <c r="F387" s="31">
        <v>156</v>
      </c>
      <c r="G387" s="31"/>
      <c r="H387" s="32" t="s">
        <v>1554</v>
      </c>
      <c r="K387">
        <v>11</v>
      </c>
      <c r="L387">
        <v>12</v>
      </c>
      <c r="M387">
        <v>10</v>
      </c>
      <c r="N387">
        <v>11</v>
      </c>
      <c r="O387">
        <v>76.650000000000006</v>
      </c>
      <c r="P387" s="65">
        <f t="shared" si="26"/>
        <v>76650</v>
      </c>
      <c r="Q387" s="126">
        <f t="shared" si="25"/>
        <v>1</v>
      </c>
      <c r="R387" s="45">
        <f t="shared" si="27"/>
        <v>600</v>
      </c>
      <c r="S387" s="65">
        <v>1</v>
      </c>
      <c r="T387" s="127">
        <v>1</v>
      </c>
    </row>
    <row r="388" spans="1:20" x14ac:dyDescent="0.25">
      <c r="A388" s="146" t="s">
        <v>2206</v>
      </c>
      <c r="B388" s="73" t="s">
        <v>2204</v>
      </c>
      <c r="C388" s="73" t="s">
        <v>2207</v>
      </c>
      <c r="D388" s="88">
        <v>4540358</v>
      </c>
      <c r="E388" s="88"/>
      <c r="F388" s="74"/>
      <c r="G388" s="74" t="s">
        <v>1570</v>
      </c>
      <c r="H388" s="75" t="s">
        <v>1554</v>
      </c>
      <c r="K388">
        <v>0</v>
      </c>
      <c r="L388">
        <v>0</v>
      </c>
      <c r="M388">
        <v>0</v>
      </c>
      <c r="N388">
        <v>0</v>
      </c>
      <c r="O388">
        <v>0</v>
      </c>
      <c r="Q388" s="126"/>
      <c r="R388" s="45"/>
    </row>
    <row r="389" spans="1:20" x14ac:dyDescent="0.25">
      <c r="A389" s="29" t="s">
        <v>2208</v>
      </c>
      <c r="B389" t="s">
        <v>755</v>
      </c>
      <c r="C389" s="29" t="s">
        <v>2209</v>
      </c>
      <c r="D389" s="24">
        <v>4540369</v>
      </c>
      <c r="E389" s="24">
        <v>4540369</v>
      </c>
      <c r="F389" s="31">
        <v>157</v>
      </c>
      <c r="G389" s="31"/>
      <c r="H389" s="32" t="s">
        <v>1554</v>
      </c>
      <c r="K389">
        <v>394</v>
      </c>
      <c r="L389">
        <v>397</v>
      </c>
      <c r="M389">
        <v>359</v>
      </c>
      <c r="N389">
        <v>276</v>
      </c>
      <c r="O389">
        <v>1426</v>
      </c>
      <c r="P389" s="65">
        <f>SUM(O389-O390)*1000</f>
        <v>1359000</v>
      </c>
      <c r="Q389" s="126">
        <f t="shared" si="25"/>
        <v>17.729941291585128</v>
      </c>
      <c r="R389" s="45">
        <f t="shared" si="27"/>
        <v>10637.964774951077</v>
      </c>
      <c r="S389" s="65">
        <v>18.600000000000001</v>
      </c>
      <c r="T389" s="127">
        <v>16.73</v>
      </c>
    </row>
    <row r="390" spans="1:20" x14ac:dyDescent="0.25">
      <c r="A390" s="73" t="s">
        <v>2210</v>
      </c>
      <c r="B390" t="s">
        <v>1049</v>
      </c>
      <c r="C390" s="73" t="s">
        <v>2211</v>
      </c>
      <c r="D390" s="88">
        <v>4540369</v>
      </c>
      <c r="E390" s="88"/>
      <c r="F390" s="74"/>
      <c r="G390" s="74" t="s">
        <v>1570</v>
      </c>
      <c r="H390" s="75" t="s">
        <v>1554</v>
      </c>
      <c r="K390">
        <v>27</v>
      </c>
      <c r="L390">
        <v>21</v>
      </c>
      <c r="M390">
        <v>11</v>
      </c>
      <c r="N390">
        <v>8</v>
      </c>
      <c r="O390">
        <v>67</v>
      </c>
      <c r="Q390" s="126"/>
      <c r="R390" s="45"/>
    </row>
    <row r="391" spans="1:20" x14ac:dyDescent="0.25">
      <c r="A391" s="29" t="s">
        <v>2212</v>
      </c>
      <c r="B391" s="29" t="s">
        <v>2213</v>
      </c>
      <c r="C391" s="29" t="s">
        <v>2214</v>
      </c>
      <c r="D391" s="113">
        <v>4540380</v>
      </c>
      <c r="E391" s="24">
        <v>4540380</v>
      </c>
      <c r="F391" s="31">
        <v>158</v>
      </c>
      <c r="G391" s="31"/>
      <c r="H391" s="32" t="s">
        <v>1554</v>
      </c>
      <c r="K391">
        <v>145</v>
      </c>
      <c r="L391">
        <v>150</v>
      </c>
      <c r="M391">
        <v>149</v>
      </c>
      <c r="N391">
        <v>142</v>
      </c>
      <c r="O391">
        <v>586</v>
      </c>
      <c r="Q391" s="126"/>
      <c r="R391" s="45"/>
    </row>
    <row r="392" spans="1:20" x14ac:dyDescent="0.25">
      <c r="A392" s="29" t="s">
        <v>2215</v>
      </c>
      <c r="B392" s="29" t="s">
        <v>2213</v>
      </c>
      <c r="C392" s="29" t="s">
        <v>2216</v>
      </c>
      <c r="D392" s="113">
        <v>4540380</v>
      </c>
      <c r="E392" s="24">
        <v>4540380</v>
      </c>
      <c r="F392" s="24"/>
      <c r="G392" s="31"/>
      <c r="H392" s="32" t="s">
        <v>1554</v>
      </c>
      <c r="K392">
        <v>2</v>
      </c>
      <c r="L392">
        <v>3</v>
      </c>
      <c r="M392">
        <v>3</v>
      </c>
      <c r="N392">
        <v>2</v>
      </c>
      <c r="O392">
        <v>10</v>
      </c>
      <c r="Q392" s="126"/>
      <c r="R392" s="45"/>
    </row>
    <row r="393" spans="1:20" x14ac:dyDescent="0.25">
      <c r="A393" s="29" t="s">
        <v>2217</v>
      </c>
      <c r="B393" s="29" t="s">
        <v>2213</v>
      </c>
      <c r="C393" s="29" t="s">
        <v>2218</v>
      </c>
      <c r="D393" s="113">
        <v>4540380</v>
      </c>
      <c r="E393" s="24">
        <v>4540380</v>
      </c>
      <c r="F393" s="31"/>
      <c r="G393" s="31"/>
      <c r="H393" s="32" t="s">
        <v>1554</v>
      </c>
      <c r="K393">
        <v>79</v>
      </c>
      <c r="L393">
        <v>84</v>
      </c>
      <c r="M393">
        <v>74</v>
      </c>
      <c r="N393">
        <v>61</v>
      </c>
      <c r="O393">
        <v>298</v>
      </c>
      <c r="Q393" s="126"/>
      <c r="R393" s="45"/>
    </row>
    <row r="394" spans="1:20" x14ac:dyDescent="0.25">
      <c r="A394" s="29" t="s">
        <v>2219</v>
      </c>
      <c r="B394" s="29" t="s">
        <v>2213</v>
      </c>
      <c r="C394" s="29" t="s">
        <v>2220</v>
      </c>
      <c r="D394" s="113">
        <v>4540380</v>
      </c>
      <c r="E394" s="24">
        <v>4540380</v>
      </c>
      <c r="F394" s="31"/>
      <c r="G394" s="31"/>
      <c r="H394" s="32" t="s">
        <v>1554</v>
      </c>
      <c r="K394" s="51">
        <v>0</v>
      </c>
      <c r="L394" s="51">
        <v>0</v>
      </c>
      <c r="M394" s="51">
        <v>0</v>
      </c>
      <c r="N394" s="51">
        <v>0</v>
      </c>
      <c r="O394" s="51">
        <v>0</v>
      </c>
      <c r="Q394" s="126"/>
      <c r="R394" s="45"/>
    </row>
    <row r="395" spans="1:20" x14ac:dyDescent="0.25">
      <c r="A395" s="29" t="s">
        <v>2221</v>
      </c>
      <c r="B395" s="29" t="s">
        <v>2213</v>
      </c>
      <c r="C395" s="29" t="s">
        <v>2222</v>
      </c>
      <c r="D395" s="113">
        <v>4540380</v>
      </c>
      <c r="E395" s="24">
        <v>4540380</v>
      </c>
      <c r="F395" s="31"/>
      <c r="G395" s="31"/>
      <c r="H395" s="32" t="s">
        <v>1554</v>
      </c>
      <c r="K395">
        <v>19</v>
      </c>
      <c r="L395">
        <v>18</v>
      </c>
      <c r="M395">
        <v>18</v>
      </c>
      <c r="N395">
        <v>16</v>
      </c>
      <c r="O395">
        <v>71</v>
      </c>
      <c r="Q395" s="126"/>
      <c r="R395" s="45"/>
    </row>
    <row r="396" spans="1:20" x14ac:dyDescent="0.25">
      <c r="A396" s="73" t="s">
        <v>2223</v>
      </c>
      <c r="B396" s="73" t="s">
        <v>2213</v>
      </c>
      <c r="C396" s="73" t="s">
        <v>2220</v>
      </c>
      <c r="D396" s="113">
        <v>4540380</v>
      </c>
      <c r="E396" s="88"/>
      <c r="F396" s="74"/>
      <c r="G396" s="74"/>
      <c r="H396" s="75" t="s">
        <v>1554</v>
      </c>
      <c r="K396">
        <v>84</v>
      </c>
      <c r="L396">
        <v>85</v>
      </c>
      <c r="M396">
        <v>93</v>
      </c>
      <c r="N396">
        <v>87</v>
      </c>
      <c r="O396">
        <v>349</v>
      </c>
      <c r="Q396" s="126"/>
      <c r="R396" s="45"/>
    </row>
    <row r="397" spans="1:20" x14ac:dyDescent="0.25">
      <c r="A397" s="29" t="s">
        <v>2224</v>
      </c>
      <c r="B397" s="29" t="s">
        <v>2213</v>
      </c>
      <c r="C397" s="29" t="s">
        <v>2225</v>
      </c>
      <c r="D397" s="113">
        <v>4540380</v>
      </c>
      <c r="E397" s="24"/>
      <c r="F397" s="24"/>
      <c r="G397" s="31"/>
      <c r="H397" s="32" t="s">
        <v>1554</v>
      </c>
      <c r="K397">
        <v>3</v>
      </c>
      <c r="L397">
        <v>3</v>
      </c>
      <c r="M397">
        <v>3</v>
      </c>
      <c r="N397">
        <v>3</v>
      </c>
      <c r="O397">
        <v>12</v>
      </c>
      <c r="P397" s="65">
        <f>SUM(O391:O397)*1000</f>
        <v>1326000</v>
      </c>
      <c r="Q397" s="126">
        <f t="shared" si="25"/>
        <v>17.299412915851271</v>
      </c>
      <c r="R397" s="45">
        <f t="shared" si="27"/>
        <v>10379.647749510763</v>
      </c>
      <c r="S397" s="65">
        <v>17.3</v>
      </c>
      <c r="T397" s="127">
        <v>15.59</v>
      </c>
    </row>
    <row r="398" spans="1:20" x14ac:dyDescent="0.25">
      <c r="B398" t="s">
        <v>1367</v>
      </c>
      <c r="C398" t="s">
        <v>1363</v>
      </c>
      <c r="D398" s="113">
        <v>4540380</v>
      </c>
      <c r="G398" s="66" t="s">
        <v>1570</v>
      </c>
      <c r="H398" s="32" t="s">
        <v>1554</v>
      </c>
      <c r="K398">
        <v>0</v>
      </c>
      <c r="L398">
        <v>0</v>
      </c>
      <c r="M398">
        <v>1</v>
      </c>
      <c r="N398">
        <v>0</v>
      </c>
      <c r="O398">
        <v>1</v>
      </c>
      <c r="Q398" s="126"/>
      <c r="R398" s="45"/>
    </row>
    <row r="399" spans="1:20" x14ac:dyDescent="0.25">
      <c r="B399" s="29" t="s">
        <v>2226</v>
      </c>
      <c r="C399" s="29" t="s">
        <v>2233</v>
      </c>
      <c r="D399" s="113">
        <v>4540385</v>
      </c>
      <c r="E399" s="24"/>
      <c r="F399" s="24"/>
      <c r="G399" s="31"/>
      <c r="H399" s="32" t="s">
        <v>1554</v>
      </c>
      <c r="K399">
        <v>47</v>
      </c>
      <c r="L399">
        <v>349</v>
      </c>
      <c r="M399">
        <v>125</v>
      </c>
      <c r="N399">
        <v>0</v>
      </c>
      <c r="O399">
        <v>521</v>
      </c>
      <c r="Q399" s="126"/>
      <c r="R399" s="45"/>
    </row>
    <row r="400" spans="1:20" x14ac:dyDescent="0.25">
      <c r="B400" s="29" t="s">
        <v>2227</v>
      </c>
      <c r="C400" s="29" t="s">
        <v>2228</v>
      </c>
      <c r="D400" s="113">
        <v>4540385</v>
      </c>
      <c r="E400" s="24"/>
      <c r="F400" s="24"/>
      <c r="G400" s="31"/>
      <c r="H400" s="32" t="s">
        <v>1554</v>
      </c>
      <c r="K400">
        <v>7</v>
      </c>
      <c r="L400">
        <v>9</v>
      </c>
      <c r="M400">
        <v>7</v>
      </c>
      <c r="N400">
        <v>8</v>
      </c>
      <c r="O400">
        <v>31</v>
      </c>
      <c r="Q400" s="126"/>
      <c r="R400" s="45"/>
    </row>
    <row r="401" spans="2:20" x14ac:dyDescent="0.25">
      <c r="B401" s="29" t="s">
        <v>2229</v>
      </c>
      <c r="C401" s="29" t="s">
        <v>2228</v>
      </c>
      <c r="D401" s="113">
        <v>4540385</v>
      </c>
      <c r="E401" s="24"/>
      <c r="F401" s="24"/>
      <c r="G401" s="31"/>
      <c r="H401" s="32" t="s">
        <v>1554</v>
      </c>
      <c r="K401">
        <v>8</v>
      </c>
      <c r="L401">
        <v>10</v>
      </c>
      <c r="M401">
        <v>4</v>
      </c>
      <c r="N401">
        <v>0</v>
      </c>
      <c r="O401">
        <v>22</v>
      </c>
      <c r="Q401" s="126"/>
      <c r="R401" s="45"/>
    </row>
    <row r="402" spans="2:20" x14ac:dyDescent="0.25">
      <c r="B402" s="29" t="s">
        <v>2240</v>
      </c>
      <c r="C402" s="29" t="s">
        <v>2228</v>
      </c>
      <c r="D402" s="113">
        <v>4540385</v>
      </c>
      <c r="E402" s="24"/>
      <c r="F402" s="24"/>
      <c r="G402" s="31"/>
      <c r="H402" s="32" t="s">
        <v>1554</v>
      </c>
      <c r="K402">
        <v>0</v>
      </c>
      <c r="L402">
        <v>0</v>
      </c>
      <c r="M402">
        <v>0</v>
      </c>
      <c r="N402">
        <v>0</v>
      </c>
      <c r="O402">
        <v>0</v>
      </c>
      <c r="Q402" s="126"/>
      <c r="R402" s="45"/>
    </row>
    <row r="403" spans="2:20" x14ac:dyDescent="0.25">
      <c r="B403" s="29" t="s">
        <v>2229</v>
      </c>
      <c r="C403" s="29" t="s">
        <v>2230</v>
      </c>
      <c r="D403" s="113">
        <v>4540385</v>
      </c>
      <c r="E403" s="24"/>
      <c r="F403" s="24"/>
      <c r="G403" s="31"/>
      <c r="H403" s="32" t="s">
        <v>1554</v>
      </c>
      <c r="K403">
        <v>42</v>
      </c>
      <c r="L403">
        <v>44</v>
      </c>
      <c r="M403">
        <v>34</v>
      </c>
      <c r="N403">
        <v>38</v>
      </c>
      <c r="O403">
        <v>158</v>
      </c>
      <c r="Q403" s="126"/>
      <c r="R403" s="45"/>
    </row>
    <row r="404" spans="2:20" x14ac:dyDescent="0.25">
      <c r="B404" s="29" t="s">
        <v>2226</v>
      </c>
      <c r="C404" s="29" t="s">
        <v>2231</v>
      </c>
      <c r="D404" s="113">
        <v>4540385</v>
      </c>
      <c r="E404" s="24"/>
      <c r="F404" s="24"/>
      <c r="G404" s="31"/>
      <c r="H404" s="32" t="s">
        <v>1554</v>
      </c>
      <c r="K404">
        <v>12</v>
      </c>
      <c r="L404">
        <v>12</v>
      </c>
      <c r="M404">
        <v>10</v>
      </c>
      <c r="N404">
        <v>8</v>
      </c>
      <c r="O404">
        <v>42</v>
      </c>
      <c r="Q404" s="126"/>
      <c r="R404" s="45"/>
    </row>
    <row r="405" spans="2:20" x14ac:dyDescent="0.25">
      <c r="B405" s="29" t="s">
        <v>2226</v>
      </c>
      <c r="C405" s="29" t="s">
        <v>2232</v>
      </c>
      <c r="D405" s="113">
        <v>4540385</v>
      </c>
      <c r="E405" s="24"/>
      <c r="F405" s="31"/>
      <c r="G405" s="31"/>
      <c r="H405" s="32" t="s">
        <v>1554</v>
      </c>
      <c r="K405">
        <v>111</v>
      </c>
      <c r="L405">
        <v>108</v>
      </c>
      <c r="M405">
        <v>65</v>
      </c>
      <c r="N405">
        <v>62</v>
      </c>
      <c r="O405">
        <v>346</v>
      </c>
      <c r="Q405" s="126"/>
      <c r="R405" s="45"/>
    </row>
    <row r="406" spans="2:20" x14ac:dyDescent="0.25">
      <c r="B406" s="29" t="s">
        <v>2226</v>
      </c>
      <c r="C406" s="29" t="s">
        <v>2233</v>
      </c>
      <c r="D406" s="113">
        <v>4540385</v>
      </c>
      <c r="E406" s="24"/>
      <c r="F406" s="31"/>
      <c r="G406" s="31"/>
      <c r="H406" s="32" t="s">
        <v>1554</v>
      </c>
      <c r="K406">
        <v>0</v>
      </c>
      <c r="L406">
        <v>0</v>
      </c>
      <c r="M406">
        <v>0</v>
      </c>
      <c r="N406">
        <v>2</v>
      </c>
      <c r="O406">
        <v>2</v>
      </c>
      <c r="P406" s="65">
        <f>SUM(O399:O406)*1000</f>
        <v>1122000</v>
      </c>
      <c r="Q406" s="126">
        <f t="shared" si="25"/>
        <v>14.637964774951076</v>
      </c>
      <c r="R406" s="45">
        <f t="shared" si="27"/>
        <v>8782.7788649706454</v>
      </c>
      <c r="S406" s="65">
        <v>14.64</v>
      </c>
      <c r="T406" s="127">
        <v>12.21</v>
      </c>
    </row>
    <row r="407" spans="2:20" x14ac:dyDescent="0.25">
      <c r="B407" t="s">
        <v>1250</v>
      </c>
      <c r="C407" t="s">
        <v>1249</v>
      </c>
      <c r="D407" s="24">
        <v>4540392</v>
      </c>
      <c r="E407" s="24"/>
      <c r="F407" s="31"/>
      <c r="G407" s="31"/>
      <c r="H407" s="32" t="s">
        <v>1554</v>
      </c>
      <c r="K407">
        <v>2</v>
      </c>
      <c r="L407">
        <v>3</v>
      </c>
      <c r="M407">
        <v>3</v>
      </c>
      <c r="N407">
        <v>2</v>
      </c>
      <c r="O407">
        <v>76.650000000000006</v>
      </c>
      <c r="P407" s="65">
        <f>SUM(O407*1000)</f>
        <v>76650</v>
      </c>
      <c r="Q407" s="126">
        <f t="shared" si="25"/>
        <v>1</v>
      </c>
      <c r="R407" s="45">
        <f t="shared" si="27"/>
        <v>600</v>
      </c>
      <c r="S407" s="65">
        <v>1</v>
      </c>
      <c r="T407" s="127">
        <v>1</v>
      </c>
    </row>
    <row r="408" spans="2:20" x14ac:dyDescent="0.25">
      <c r="B408" t="s">
        <v>792</v>
      </c>
      <c r="C408" t="s">
        <v>788</v>
      </c>
      <c r="D408" s="24">
        <v>4540394</v>
      </c>
      <c r="E408" s="24"/>
      <c r="F408" s="31"/>
      <c r="G408" s="31"/>
      <c r="H408" s="32" t="s">
        <v>1554</v>
      </c>
      <c r="K408">
        <v>35</v>
      </c>
      <c r="L408">
        <v>52</v>
      </c>
      <c r="M408">
        <v>35</v>
      </c>
      <c r="N408">
        <v>30</v>
      </c>
      <c r="O408">
        <v>152</v>
      </c>
      <c r="P408" s="65">
        <f t="shared" ref="P408:P412" si="28">SUM(O408*1000)</f>
        <v>152000</v>
      </c>
      <c r="Q408" s="126">
        <f t="shared" si="25"/>
        <v>1.9830397912589692</v>
      </c>
      <c r="R408" s="45">
        <f t="shared" si="27"/>
        <v>1189.8238747553814</v>
      </c>
      <c r="S408" s="65">
        <v>1.98</v>
      </c>
    </row>
    <row r="409" spans="2:20" x14ac:dyDescent="0.25">
      <c r="B409" s="29" t="s">
        <v>2234</v>
      </c>
      <c r="C409" s="29" t="s">
        <v>2235</v>
      </c>
      <c r="D409" s="24">
        <v>4540395</v>
      </c>
      <c r="E409" s="24">
        <v>4540395</v>
      </c>
      <c r="F409" s="31">
        <v>161</v>
      </c>
      <c r="G409" s="31"/>
      <c r="H409" s="32" t="s">
        <v>1554</v>
      </c>
      <c r="K409">
        <v>62</v>
      </c>
      <c r="L409">
        <v>62</v>
      </c>
      <c r="M409">
        <v>63</v>
      </c>
      <c r="N409">
        <v>60</v>
      </c>
      <c r="O409">
        <v>247</v>
      </c>
      <c r="P409" s="65">
        <f t="shared" si="28"/>
        <v>247000</v>
      </c>
      <c r="Q409" s="126">
        <f t="shared" si="25"/>
        <v>3.2224396607958252</v>
      </c>
      <c r="R409" s="45">
        <f t="shared" si="27"/>
        <v>1933.4637964774952</v>
      </c>
      <c r="S409" s="65">
        <v>3.22</v>
      </c>
      <c r="T409" s="127">
        <v>3.39</v>
      </c>
    </row>
    <row r="410" spans="2:20" x14ac:dyDescent="0.25">
      <c r="B410" s="29" t="s">
        <v>2236</v>
      </c>
      <c r="C410" s="29" t="s">
        <v>2237</v>
      </c>
      <c r="D410" s="24">
        <v>4540401</v>
      </c>
      <c r="E410" s="24">
        <v>4540401</v>
      </c>
      <c r="F410" s="31">
        <v>162</v>
      </c>
      <c r="G410" s="31"/>
      <c r="H410" s="32" t="s">
        <v>1554</v>
      </c>
      <c r="K410">
        <v>405</v>
      </c>
      <c r="L410">
        <v>429</v>
      </c>
      <c r="M410">
        <v>318</v>
      </c>
      <c r="N410">
        <v>244</v>
      </c>
      <c r="O410">
        <v>1396</v>
      </c>
      <c r="P410" s="65">
        <f t="shared" si="28"/>
        <v>1396000</v>
      </c>
      <c r="Q410" s="126">
        <f t="shared" si="25"/>
        <v>18.212654924983692</v>
      </c>
      <c r="R410" s="45">
        <f t="shared" si="27"/>
        <v>10927.592954990216</v>
      </c>
      <c r="S410" s="65">
        <v>18.21</v>
      </c>
      <c r="T410" s="127">
        <v>17.45</v>
      </c>
    </row>
    <row r="411" spans="2:20" x14ac:dyDescent="0.25">
      <c r="B411" s="29" t="s">
        <v>2238</v>
      </c>
      <c r="C411" s="29" t="s">
        <v>2239</v>
      </c>
      <c r="D411" s="24">
        <v>4540411</v>
      </c>
      <c r="E411" s="24">
        <v>4540411</v>
      </c>
      <c r="F411" s="31"/>
      <c r="G411" s="31"/>
      <c r="H411" s="32" t="s">
        <v>1554</v>
      </c>
      <c r="K411">
        <v>7</v>
      </c>
      <c r="L411">
        <v>21</v>
      </c>
      <c r="M411">
        <v>36</v>
      </c>
      <c r="N411">
        <v>28</v>
      </c>
      <c r="O411">
        <v>92</v>
      </c>
      <c r="P411" s="65">
        <f t="shared" si="28"/>
        <v>92000</v>
      </c>
      <c r="Q411" s="126">
        <f t="shared" si="25"/>
        <v>1.2002609262883235</v>
      </c>
      <c r="R411" s="45">
        <f t="shared" si="27"/>
        <v>720.15655577299412</v>
      </c>
      <c r="S411" s="65">
        <v>1.2</v>
      </c>
      <c r="T411" s="127">
        <v>1.48</v>
      </c>
    </row>
    <row r="412" spans="2:20" x14ac:dyDescent="0.25">
      <c r="D412" s="61">
        <v>5980030</v>
      </c>
      <c r="H412" s="60" t="s">
        <v>1625</v>
      </c>
      <c r="O412" s="51">
        <v>76.650000000000006</v>
      </c>
      <c r="P412" s="65">
        <f t="shared" si="28"/>
        <v>76650</v>
      </c>
      <c r="Q412" s="127">
        <f t="shared" si="25"/>
        <v>1</v>
      </c>
      <c r="R412" s="45">
        <f t="shared" si="27"/>
        <v>600</v>
      </c>
      <c r="S412" s="65">
        <v>1</v>
      </c>
    </row>
    <row r="413" spans="2:20" x14ac:dyDescent="0.25">
      <c r="Q413" s="127">
        <f>SUM(Q3:Q412)</f>
        <v>1315.236138290933</v>
      </c>
      <c r="R413" s="45">
        <f t="shared" si="27"/>
        <v>789141.68297455984</v>
      </c>
      <c r="S413" s="65">
        <f>SUM(S3:S412)</f>
        <v>1311.1099999999997</v>
      </c>
    </row>
    <row r="414" spans="2:20" x14ac:dyDescent="0.25">
      <c r="R414" s="45"/>
    </row>
    <row r="415" spans="2:20" x14ac:dyDescent="0.25">
      <c r="R415" s="45"/>
    </row>
  </sheetData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"/>
  <sheetViews>
    <sheetView topLeftCell="A7" workbookViewId="0">
      <selection activeCell="I177" sqref="I177"/>
    </sheetView>
  </sheetViews>
  <sheetFormatPr defaultRowHeight="15" x14ac:dyDescent="0.25"/>
  <cols>
    <col min="1" max="1" width="21.28515625" style="18" customWidth="1"/>
    <col min="2" max="16384" width="9.140625" style="18"/>
  </cols>
  <sheetData>
    <row r="1" spans="1:7" x14ac:dyDescent="0.25">
      <c r="A1" s="18" t="s">
        <v>2251</v>
      </c>
    </row>
    <row r="2" spans="1:7" x14ac:dyDescent="0.25">
      <c r="A2" s="19"/>
      <c r="C2" s="39" t="s">
        <v>2248</v>
      </c>
      <c r="E2" s="41" t="s">
        <v>1535</v>
      </c>
      <c r="G2" s="60" t="s">
        <v>2249</v>
      </c>
    </row>
    <row r="3" spans="1:7" x14ac:dyDescent="0.25">
      <c r="A3" s="29"/>
      <c r="C3" s="52">
        <v>1090011</v>
      </c>
      <c r="E3" s="49" t="s">
        <v>1554</v>
      </c>
      <c r="G3" s="44">
        <v>4.1500000000000004</v>
      </c>
    </row>
    <row r="4" spans="1:7" x14ac:dyDescent="0.25">
      <c r="A4" s="29"/>
      <c r="C4" s="52">
        <v>2210021</v>
      </c>
      <c r="E4" s="49" t="s">
        <v>1554</v>
      </c>
      <c r="G4" s="72">
        <v>4.93</v>
      </c>
    </row>
    <row r="5" spans="1:7" x14ac:dyDescent="0.25">
      <c r="A5" s="29"/>
      <c r="C5" s="52">
        <v>1140025</v>
      </c>
      <c r="E5" s="49" t="s">
        <v>1554</v>
      </c>
      <c r="G5" s="44">
        <v>1</v>
      </c>
    </row>
    <row r="6" spans="1:7" x14ac:dyDescent="0.25">
      <c r="A6" s="29"/>
      <c r="C6" s="52">
        <v>1140027</v>
      </c>
      <c r="E6" s="49" t="s">
        <v>1554</v>
      </c>
      <c r="G6" s="44">
        <v>1.17</v>
      </c>
    </row>
    <row r="7" spans="1:7" x14ac:dyDescent="0.25">
      <c r="C7" s="52">
        <v>1161010</v>
      </c>
      <c r="E7" s="49" t="s">
        <v>1554</v>
      </c>
      <c r="G7" s="44">
        <v>1.97</v>
      </c>
    </row>
    <row r="8" spans="1:7" x14ac:dyDescent="0.25">
      <c r="C8" s="48">
        <v>1162020</v>
      </c>
      <c r="E8" s="49" t="s">
        <v>1554</v>
      </c>
      <c r="G8" s="44">
        <v>1</v>
      </c>
    </row>
    <row r="9" spans="1:7" x14ac:dyDescent="0.25">
      <c r="C9" s="48">
        <v>1160030</v>
      </c>
      <c r="E9" s="49" t="s">
        <v>1554</v>
      </c>
      <c r="G9" s="44">
        <v>1.38</v>
      </c>
    </row>
    <row r="10" spans="1:7" x14ac:dyDescent="0.25">
      <c r="C10" s="48">
        <v>1161040</v>
      </c>
      <c r="E10" s="49" t="s">
        <v>1554</v>
      </c>
      <c r="G10" s="44">
        <v>1</v>
      </c>
    </row>
    <row r="11" spans="1:7" x14ac:dyDescent="0.25">
      <c r="C11" s="48">
        <v>1161050</v>
      </c>
      <c r="E11" s="49" t="s">
        <v>1554</v>
      </c>
      <c r="G11" s="44">
        <v>1</v>
      </c>
    </row>
    <row r="12" spans="1:7" x14ac:dyDescent="0.25">
      <c r="C12" s="48">
        <v>1160060</v>
      </c>
      <c r="E12" s="49" t="s">
        <v>1554</v>
      </c>
      <c r="G12" s="44">
        <v>1</v>
      </c>
    </row>
    <row r="13" spans="1:7" x14ac:dyDescent="0.25">
      <c r="C13" s="48">
        <v>1162070</v>
      </c>
      <c r="E13" s="49" t="s">
        <v>1554</v>
      </c>
      <c r="G13" s="44">
        <v>1</v>
      </c>
    </row>
    <row r="14" spans="1:7" x14ac:dyDescent="0.25">
      <c r="C14" s="48">
        <v>1162090</v>
      </c>
      <c r="E14" s="49" t="s">
        <v>1554</v>
      </c>
      <c r="G14" s="44">
        <v>1</v>
      </c>
    </row>
    <row r="15" spans="1:7" x14ac:dyDescent="0.25">
      <c r="C15" s="48">
        <v>1160100</v>
      </c>
      <c r="E15" s="49" t="s">
        <v>1554</v>
      </c>
      <c r="G15" s="44">
        <v>1</v>
      </c>
    </row>
    <row r="16" spans="1:7" x14ac:dyDescent="0.25">
      <c r="C16" s="52">
        <v>1170279</v>
      </c>
      <c r="E16" s="49" t="s">
        <v>1554</v>
      </c>
      <c r="G16" s="72">
        <v>45.13</v>
      </c>
    </row>
    <row r="17" spans="3:7" x14ac:dyDescent="0.25">
      <c r="C17" s="52">
        <v>1170280</v>
      </c>
      <c r="E17" s="49" t="s">
        <v>1554</v>
      </c>
      <c r="G17" s="72">
        <v>7.66</v>
      </c>
    </row>
    <row r="18" spans="3:7" x14ac:dyDescent="0.25">
      <c r="C18" s="52">
        <v>1240004</v>
      </c>
      <c r="E18" s="49" t="s">
        <v>1554</v>
      </c>
      <c r="G18" s="72">
        <v>3.21</v>
      </c>
    </row>
    <row r="19" spans="3:7" x14ac:dyDescent="0.25">
      <c r="C19" s="52">
        <v>1300101</v>
      </c>
      <c r="E19" s="49" t="s">
        <v>1625</v>
      </c>
      <c r="G19" s="72">
        <v>58.76</v>
      </c>
    </row>
    <row r="20" spans="3:7" x14ac:dyDescent="0.25">
      <c r="C20" s="46">
        <v>5980030</v>
      </c>
      <c r="E20" s="49" t="s">
        <v>1554</v>
      </c>
      <c r="G20" s="72">
        <v>1</v>
      </c>
    </row>
    <row r="21" spans="3:7" x14ac:dyDescent="0.25">
      <c r="C21" s="46">
        <v>1610200</v>
      </c>
      <c r="E21" s="49" t="s">
        <v>1625</v>
      </c>
      <c r="G21" s="72">
        <v>14.06</v>
      </c>
    </row>
    <row r="22" spans="3:7" x14ac:dyDescent="0.25">
      <c r="C22" s="46">
        <v>1610150</v>
      </c>
      <c r="E22" s="49" t="s">
        <v>1625</v>
      </c>
      <c r="G22" s="72">
        <v>14.55</v>
      </c>
    </row>
    <row r="23" spans="3:7" x14ac:dyDescent="0.25">
      <c r="C23" s="34">
        <v>1780003</v>
      </c>
      <c r="E23" s="49" t="s">
        <v>1554</v>
      </c>
      <c r="G23" s="72">
        <v>5.22</v>
      </c>
    </row>
    <row r="24" spans="3:7" x14ac:dyDescent="0.25">
      <c r="C24" s="52">
        <v>1830005</v>
      </c>
      <c r="E24" s="49" t="s">
        <v>1554</v>
      </c>
      <c r="G24" s="72">
        <v>1</v>
      </c>
    </row>
    <row r="25" spans="3:7" x14ac:dyDescent="0.25">
      <c r="C25" s="60">
        <v>1830050</v>
      </c>
      <c r="E25" s="49" t="s">
        <v>1554</v>
      </c>
      <c r="G25" s="72">
        <v>38.5</v>
      </c>
    </row>
    <row r="26" spans="3:7" x14ac:dyDescent="0.25">
      <c r="C26" s="52">
        <v>1940160</v>
      </c>
      <c r="E26" s="49" t="s">
        <v>1554</v>
      </c>
      <c r="G26" s="72">
        <v>19.100000000000001</v>
      </c>
    </row>
    <row r="27" spans="3:7" x14ac:dyDescent="0.25">
      <c r="C27" s="52">
        <v>1940301</v>
      </c>
      <c r="E27" s="49" t="s">
        <v>1554</v>
      </c>
      <c r="G27" s="72">
        <v>7.45</v>
      </c>
    </row>
    <row r="28" spans="3:7" x14ac:dyDescent="0.25">
      <c r="C28" s="52">
        <v>2020022</v>
      </c>
      <c r="E28" s="49" t="s">
        <v>1554</v>
      </c>
      <c r="G28" s="72">
        <v>1</v>
      </c>
    </row>
    <row r="29" spans="3:7" x14ac:dyDescent="0.25">
      <c r="C29" s="52">
        <v>2020027</v>
      </c>
      <c r="E29" s="49" t="s">
        <v>1554</v>
      </c>
      <c r="G29" s="72">
        <v>2.82</v>
      </c>
    </row>
    <row r="30" spans="3:7" x14ac:dyDescent="0.25">
      <c r="C30" s="52">
        <v>2020034</v>
      </c>
      <c r="E30" s="49" t="s">
        <v>1554</v>
      </c>
      <c r="G30" s="72">
        <v>5.24</v>
      </c>
    </row>
    <row r="31" spans="3:7" x14ac:dyDescent="0.25">
      <c r="C31" s="52">
        <v>2020040</v>
      </c>
      <c r="E31" s="49" t="s">
        <v>1554</v>
      </c>
      <c r="G31" s="72">
        <v>4.74</v>
      </c>
    </row>
    <row r="32" spans="3:7" x14ac:dyDescent="0.25">
      <c r="C32" s="52">
        <v>2020044</v>
      </c>
      <c r="E32" s="49" t="s">
        <v>1554</v>
      </c>
      <c r="G32" s="72">
        <v>9.2100000000000009</v>
      </c>
    </row>
    <row r="33" spans="3:7" x14ac:dyDescent="0.25">
      <c r="C33" s="52">
        <v>2030055</v>
      </c>
      <c r="E33" s="49" t="s">
        <v>1554</v>
      </c>
      <c r="G33" s="72">
        <v>14.23</v>
      </c>
    </row>
    <row r="34" spans="3:7" x14ac:dyDescent="0.25">
      <c r="C34" s="52">
        <v>2030060</v>
      </c>
      <c r="E34" s="49" t="s">
        <v>1554</v>
      </c>
      <c r="G34" s="72">
        <v>1</v>
      </c>
    </row>
    <row r="35" spans="3:7" x14ac:dyDescent="0.25">
      <c r="C35" s="52">
        <v>2030080</v>
      </c>
      <c r="E35" s="49" t="s">
        <v>1554</v>
      </c>
      <c r="G35" s="72">
        <v>10.19</v>
      </c>
    </row>
    <row r="36" spans="3:7" x14ac:dyDescent="0.25">
      <c r="C36" s="52">
        <v>2030105</v>
      </c>
      <c r="E36" s="49" t="s">
        <v>1554</v>
      </c>
      <c r="G36" s="72">
        <v>2.1</v>
      </c>
    </row>
    <row r="37" spans="3:7" x14ac:dyDescent="0.25">
      <c r="C37" s="52">
        <v>2030120</v>
      </c>
      <c r="E37" s="49" t="s">
        <v>1554</v>
      </c>
      <c r="G37" s="72">
        <v>37.68</v>
      </c>
    </row>
    <row r="38" spans="3:7" x14ac:dyDescent="0.25">
      <c r="C38" s="52">
        <v>2030135</v>
      </c>
      <c r="E38" s="49" t="s">
        <v>1554</v>
      </c>
      <c r="G38" s="72">
        <v>1</v>
      </c>
    </row>
    <row r="39" spans="3:7" x14ac:dyDescent="0.25">
      <c r="C39" s="52">
        <v>2140001</v>
      </c>
      <c r="E39" s="49" t="s">
        <v>1554</v>
      </c>
      <c r="G39" s="72">
        <v>16.670000000000002</v>
      </c>
    </row>
    <row r="40" spans="3:7" x14ac:dyDescent="0.25">
      <c r="C40" s="52">
        <v>2140033</v>
      </c>
      <c r="E40" s="49" t="s">
        <v>1554</v>
      </c>
      <c r="G40" s="72">
        <v>15.25</v>
      </c>
    </row>
    <row r="41" spans="3:7" x14ac:dyDescent="0.25">
      <c r="C41" s="52">
        <v>2140051</v>
      </c>
      <c r="E41" s="49" t="s">
        <v>1554</v>
      </c>
      <c r="G41" s="72">
        <v>8.6999999999999993</v>
      </c>
    </row>
    <row r="42" spans="3:7" x14ac:dyDescent="0.25">
      <c r="C42" s="52">
        <v>2140085</v>
      </c>
      <c r="E42" s="49" t="s">
        <v>1554</v>
      </c>
      <c r="G42" s="72">
        <v>4.2</v>
      </c>
    </row>
    <row r="43" spans="3:7" x14ac:dyDescent="0.25">
      <c r="C43" s="52">
        <v>2140010</v>
      </c>
      <c r="E43" s="49" t="s">
        <v>1554</v>
      </c>
      <c r="G43" s="72">
        <v>1</v>
      </c>
    </row>
    <row r="44" spans="3:7" x14ac:dyDescent="0.25">
      <c r="C44" s="52">
        <v>2140020</v>
      </c>
      <c r="E44" s="49" t="s">
        <v>1554</v>
      </c>
      <c r="G44" s="72">
        <v>1</v>
      </c>
    </row>
    <row r="45" spans="3:7" x14ac:dyDescent="0.25">
      <c r="C45" s="52">
        <v>2140022</v>
      </c>
      <c r="E45" s="49" t="s">
        <v>1554</v>
      </c>
      <c r="G45" s="72">
        <v>1</v>
      </c>
    </row>
    <row r="46" spans="3:7" x14ac:dyDescent="0.25">
      <c r="C46" s="52">
        <v>2140024</v>
      </c>
      <c r="E46" s="49" t="s">
        <v>1554</v>
      </c>
      <c r="G46" s="72">
        <v>1</v>
      </c>
    </row>
    <row r="47" spans="3:7" x14ac:dyDescent="0.25">
      <c r="C47" s="52">
        <v>2140028</v>
      </c>
      <c r="E47" s="49" t="s">
        <v>1554</v>
      </c>
      <c r="G47" s="72">
        <v>1.05</v>
      </c>
    </row>
    <row r="48" spans="3:7" x14ac:dyDescent="0.25">
      <c r="C48" s="52"/>
      <c r="E48" s="49"/>
      <c r="G48" s="72"/>
    </row>
    <row r="49" spans="3:7" x14ac:dyDescent="0.25">
      <c r="C49" s="52">
        <v>2140030</v>
      </c>
      <c r="E49" s="49" t="s">
        <v>1554</v>
      </c>
      <c r="G49" s="72">
        <v>1.04</v>
      </c>
    </row>
    <row r="50" spans="3:7" x14ac:dyDescent="0.25">
      <c r="C50" s="52">
        <v>2140032</v>
      </c>
      <c r="E50" s="49" t="s">
        <v>1554</v>
      </c>
      <c r="G50" s="72">
        <v>3.46</v>
      </c>
    </row>
    <row r="51" spans="3:7" x14ac:dyDescent="0.25">
      <c r="C51" s="52">
        <v>2140034</v>
      </c>
      <c r="E51" s="49" t="s">
        <v>1554</v>
      </c>
      <c r="G51" s="72">
        <v>1</v>
      </c>
    </row>
    <row r="52" spans="3:7" x14ac:dyDescent="0.25">
      <c r="C52" s="52">
        <v>2140036</v>
      </c>
      <c r="E52" s="49" t="s">
        <v>1554</v>
      </c>
      <c r="G52" s="72">
        <v>1.81</v>
      </c>
    </row>
    <row r="53" spans="3:7" x14ac:dyDescent="0.25">
      <c r="C53" s="52">
        <v>2140056</v>
      </c>
      <c r="E53" s="49" t="s">
        <v>1554</v>
      </c>
      <c r="G53" s="72">
        <v>32.07</v>
      </c>
    </row>
    <row r="54" spans="3:7" x14ac:dyDescent="0.25">
      <c r="C54" s="52">
        <v>2140080</v>
      </c>
      <c r="E54" s="49" t="s">
        <v>1554</v>
      </c>
      <c r="G54" s="72">
        <v>3.25</v>
      </c>
    </row>
    <row r="55" spans="3:7" x14ac:dyDescent="0.25">
      <c r="C55" s="52">
        <v>2200015</v>
      </c>
      <c r="E55" s="49" t="s">
        <v>1554</v>
      </c>
      <c r="G55" s="72">
        <v>1.1200000000000001</v>
      </c>
    </row>
    <row r="56" spans="3:7" x14ac:dyDescent="0.25">
      <c r="C56" s="52">
        <v>2210016</v>
      </c>
      <c r="E56" s="49" t="s">
        <v>1554</v>
      </c>
      <c r="G56" s="72">
        <v>3.87</v>
      </c>
    </row>
    <row r="57" spans="3:7" x14ac:dyDescent="0.25">
      <c r="C57" s="52">
        <v>2280080</v>
      </c>
      <c r="E57" s="49" t="s">
        <v>1554</v>
      </c>
      <c r="G57" s="72">
        <v>1.5</v>
      </c>
    </row>
    <row r="58" spans="3:7" x14ac:dyDescent="0.25">
      <c r="C58" s="52">
        <v>2280100</v>
      </c>
      <c r="E58" s="49" t="s">
        <v>1554</v>
      </c>
      <c r="G58" s="72">
        <v>38.89</v>
      </c>
    </row>
    <row r="59" spans="3:7" x14ac:dyDescent="0.25">
      <c r="C59" s="52">
        <v>2280150</v>
      </c>
      <c r="E59" s="49" t="s">
        <v>1554</v>
      </c>
      <c r="G59" s="72">
        <v>2.91</v>
      </c>
    </row>
    <row r="60" spans="3:7" x14ac:dyDescent="0.25">
      <c r="C60" s="52">
        <v>2280200</v>
      </c>
      <c r="E60" s="49" t="s">
        <v>1554</v>
      </c>
      <c r="G60" s="72">
        <v>5.09</v>
      </c>
    </row>
    <row r="61" spans="3:7" x14ac:dyDescent="0.25">
      <c r="C61" s="91">
        <v>2810335</v>
      </c>
      <c r="E61" s="49" t="s">
        <v>1625</v>
      </c>
      <c r="G61" s="72">
        <v>1</v>
      </c>
    </row>
    <row r="62" spans="3:7" x14ac:dyDescent="0.25">
      <c r="C62" s="91">
        <v>2810365</v>
      </c>
      <c r="E62" s="49" t="s">
        <v>1625</v>
      </c>
      <c r="G62" s="72">
        <v>1</v>
      </c>
    </row>
    <row r="63" spans="3:7" x14ac:dyDescent="0.25">
      <c r="C63" s="52">
        <v>2840001</v>
      </c>
      <c r="E63" s="49" t="s">
        <v>1554</v>
      </c>
      <c r="G63" s="72">
        <v>2.4700000000000002</v>
      </c>
    </row>
    <row r="64" spans="3:7" x14ac:dyDescent="0.25">
      <c r="C64" s="52">
        <v>3060224</v>
      </c>
      <c r="E64" s="49" t="s">
        <v>1625</v>
      </c>
      <c r="G64" s="72">
        <v>1</v>
      </c>
    </row>
    <row r="65" spans="3:7" x14ac:dyDescent="0.25">
      <c r="C65" s="52">
        <v>3290027</v>
      </c>
      <c r="E65" s="49" t="s">
        <v>1554</v>
      </c>
      <c r="G65" s="72">
        <v>12.35</v>
      </c>
    </row>
    <row r="66" spans="3:7" x14ac:dyDescent="0.25">
      <c r="C66" s="52">
        <v>3290065</v>
      </c>
      <c r="E66" s="49" t="s">
        <v>1554</v>
      </c>
      <c r="G66" s="72">
        <v>1.92</v>
      </c>
    </row>
    <row r="67" spans="3:7" x14ac:dyDescent="0.25">
      <c r="C67" s="52">
        <v>3360151</v>
      </c>
      <c r="E67" s="49" t="s">
        <v>1554</v>
      </c>
      <c r="G67" s="72">
        <v>10.65</v>
      </c>
    </row>
    <row r="68" spans="3:7" x14ac:dyDescent="0.25">
      <c r="C68" s="52">
        <v>3360154</v>
      </c>
      <c r="E68" s="49" t="s">
        <v>1554</v>
      </c>
      <c r="G68" s="72">
        <v>2.04</v>
      </c>
    </row>
    <row r="69" spans="3:7" x14ac:dyDescent="0.25">
      <c r="C69" s="52">
        <v>3360174</v>
      </c>
      <c r="E69" s="49" t="s">
        <v>1554</v>
      </c>
      <c r="G69" s="72">
        <v>1</v>
      </c>
    </row>
    <row r="70" spans="3:7" x14ac:dyDescent="0.25">
      <c r="C70" s="52">
        <v>3360190</v>
      </c>
      <c r="E70" s="49" t="s">
        <v>1554</v>
      </c>
      <c r="G70" s="72">
        <v>1</v>
      </c>
    </row>
    <row r="71" spans="3:7" x14ac:dyDescent="0.25">
      <c r="C71" s="52">
        <v>3360205</v>
      </c>
      <c r="E71" s="49" t="s">
        <v>1554</v>
      </c>
      <c r="G71" s="72">
        <v>2.84</v>
      </c>
    </row>
    <row r="72" spans="3:7" x14ac:dyDescent="0.25">
      <c r="C72" s="52">
        <v>3360500</v>
      </c>
      <c r="E72" s="49" t="s">
        <v>1554</v>
      </c>
      <c r="G72" s="72">
        <v>120.53</v>
      </c>
    </row>
    <row r="73" spans="3:7" x14ac:dyDescent="0.25">
      <c r="C73" s="52">
        <v>3820018</v>
      </c>
      <c r="E73" s="49" t="s">
        <v>1554</v>
      </c>
      <c r="G73" s="72">
        <v>1</v>
      </c>
    </row>
    <row r="74" spans="3:7" x14ac:dyDescent="0.25">
      <c r="C74" s="98">
        <v>3890106</v>
      </c>
      <c r="E74" s="49" t="s">
        <v>1554</v>
      </c>
      <c r="G74" s="72">
        <v>1</v>
      </c>
    </row>
    <row r="75" spans="3:7" x14ac:dyDescent="0.25">
      <c r="C75" s="52">
        <v>3900020</v>
      </c>
      <c r="E75" s="49" t="s">
        <v>1554</v>
      </c>
      <c r="G75" s="72">
        <v>8.09</v>
      </c>
    </row>
    <row r="76" spans="3:7" x14ac:dyDescent="0.25">
      <c r="C76" s="52">
        <v>3900025</v>
      </c>
      <c r="E76" s="49" t="s">
        <v>1554</v>
      </c>
      <c r="G76" s="72">
        <v>4.8899999999999997</v>
      </c>
    </row>
    <row r="77" spans="3:7" x14ac:dyDescent="0.25">
      <c r="C77" s="46">
        <v>3410030</v>
      </c>
      <c r="E77" s="49" t="s">
        <v>1554</v>
      </c>
      <c r="G77" s="72">
        <v>1</v>
      </c>
    </row>
    <row r="78" spans="3:7" x14ac:dyDescent="0.25">
      <c r="C78" s="52">
        <v>3900038</v>
      </c>
      <c r="E78" s="49" t="s">
        <v>1554</v>
      </c>
      <c r="G78" s="72">
        <v>1</v>
      </c>
    </row>
    <row r="79" spans="3:7" x14ac:dyDescent="0.25">
      <c r="C79" s="52">
        <v>3900060</v>
      </c>
      <c r="E79" s="49" t="s">
        <v>1554</v>
      </c>
      <c r="G79" s="72">
        <v>4.16</v>
      </c>
    </row>
    <row r="80" spans="3:7" x14ac:dyDescent="0.25">
      <c r="C80" s="52">
        <v>3970034</v>
      </c>
      <c r="E80" s="49" t="s">
        <v>1554</v>
      </c>
      <c r="G80" s="72">
        <v>2.14</v>
      </c>
    </row>
    <row r="81" spans="3:7" x14ac:dyDescent="0.25">
      <c r="C81" s="52">
        <v>3970100</v>
      </c>
      <c r="E81" s="49" t="s">
        <v>1554</v>
      </c>
      <c r="G81" s="72">
        <v>32.520000000000003</v>
      </c>
    </row>
    <row r="82" spans="3:7" x14ac:dyDescent="0.25">
      <c r="C82" s="52">
        <v>3970101</v>
      </c>
      <c r="E82" s="49" t="s">
        <v>1554</v>
      </c>
      <c r="G82" s="72">
        <v>3.68</v>
      </c>
    </row>
    <row r="83" spans="3:7" x14ac:dyDescent="0.25">
      <c r="C83" s="52">
        <v>3971111</v>
      </c>
      <c r="E83" s="49" t="s">
        <v>1554</v>
      </c>
      <c r="G83" s="72">
        <v>3.05</v>
      </c>
    </row>
    <row r="84" spans="3:7" x14ac:dyDescent="0.25">
      <c r="C84" s="52">
        <v>3970117</v>
      </c>
      <c r="E84" s="49" t="s">
        <v>1554</v>
      </c>
      <c r="G84" s="72">
        <v>22.87</v>
      </c>
    </row>
    <row r="85" spans="3:7" x14ac:dyDescent="0.25">
      <c r="C85" s="52">
        <v>3970145</v>
      </c>
      <c r="E85" s="49" t="s">
        <v>1554</v>
      </c>
      <c r="G85" s="72">
        <v>1</v>
      </c>
    </row>
    <row r="86" spans="3:7" x14ac:dyDescent="0.25">
      <c r="C86" s="52">
        <v>3970147</v>
      </c>
      <c r="E86" s="49" t="s">
        <v>1554</v>
      </c>
      <c r="G86" s="72">
        <v>1</v>
      </c>
    </row>
    <row r="87" spans="3:7" x14ac:dyDescent="0.25">
      <c r="C87" s="52">
        <v>3970139</v>
      </c>
      <c r="E87" s="49" t="s">
        <v>1554</v>
      </c>
      <c r="G87" s="72">
        <v>1</v>
      </c>
    </row>
    <row r="88" spans="3:7" x14ac:dyDescent="0.25">
      <c r="C88" s="52">
        <v>3970124</v>
      </c>
      <c r="E88" s="49" t="s">
        <v>1554</v>
      </c>
      <c r="G88" s="72">
        <v>45.15</v>
      </c>
    </row>
    <row r="89" spans="3:7" x14ac:dyDescent="0.25">
      <c r="C89" s="52">
        <v>3970002</v>
      </c>
      <c r="E89" s="49" t="s">
        <v>1554</v>
      </c>
      <c r="G89" s="72">
        <v>1</v>
      </c>
    </row>
    <row r="90" spans="3:7" x14ac:dyDescent="0.25">
      <c r="C90" s="52">
        <v>3970055</v>
      </c>
      <c r="E90" s="49" t="s">
        <v>1554</v>
      </c>
      <c r="G90" s="72">
        <v>32.94</v>
      </c>
    </row>
    <row r="91" spans="3:7" x14ac:dyDescent="0.25">
      <c r="C91" s="60">
        <v>4370010</v>
      </c>
      <c r="E91" s="49" t="s">
        <v>1554</v>
      </c>
      <c r="G91" s="72">
        <v>2.1800000000000002</v>
      </c>
    </row>
    <row r="92" spans="3:7" x14ac:dyDescent="0.25">
      <c r="C92" s="60">
        <v>4370020</v>
      </c>
      <c r="E92" s="49" t="s">
        <v>1554</v>
      </c>
      <c r="G92" s="72">
        <v>2.5299999999999998</v>
      </c>
    </row>
    <row r="93" spans="3:7" x14ac:dyDescent="0.25">
      <c r="C93" s="60">
        <v>4370030</v>
      </c>
      <c r="E93" s="49" t="s">
        <v>1554</v>
      </c>
      <c r="G93" s="72">
        <v>1.3</v>
      </c>
    </row>
    <row r="94" spans="3:7" x14ac:dyDescent="0.25">
      <c r="C94" s="60"/>
      <c r="E94" s="49"/>
      <c r="G94" s="72"/>
    </row>
    <row r="95" spans="3:7" x14ac:dyDescent="0.25">
      <c r="C95" s="60"/>
      <c r="E95" s="49"/>
      <c r="G95" s="72"/>
    </row>
    <row r="96" spans="3:7" x14ac:dyDescent="0.25">
      <c r="C96" s="60">
        <v>4370040</v>
      </c>
      <c r="E96" s="49" t="s">
        <v>1554</v>
      </c>
      <c r="G96" s="72">
        <v>2.56</v>
      </c>
    </row>
    <row r="97" spans="3:7" x14ac:dyDescent="0.25">
      <c r="C97" s="52">
        <v>4370050</v>
      </c>
      <c r="E97" s="49" t="s">
        <v>1554</v>
      </c>
      <c r="G97" s="72">
        <v>1.59</v>
      </c>
    </row>
    <row r="98" spans="3:7" x14ac:dyDescent="0.25">
      <c r="C98" s="52">
        <v>4380007</v>
      </c>
      <c r="E98" s="49" t="s">
        <v>1554</v>
      </c>
      <c r="G98" s="72">
        <v>1</v>
      </c>
    </row>
    <row r="99" spans="3:7" x14ac:dyDescent="0.25">
      <c r="C99" s="52">
        <v>4320150</v>
      </c>
      <c r="E99" s="49" t="s">
        <v>1554</v>
      </c>
      <c r="G99" s="72">
        <v>8.35</v>
      </c>
    </row>
    <row r="100" spans="3:7" x14ac:dyDescent="0.25">
      <c r="C100" s="52">
        <v>4500009</v>
      </c>
      <c r="E100" s="49" t="s">
        <v>1554</v>
      </c>
      <c r="G100" s="72">
        <v>1.1399999999999999</v>
      </c>
    </row>
    <row r="101" spans="3:7" x14ac:dyDescent="0.25">
      <c r="C101" s="52">
        <v>4500021</v>
      </c>
      <c r="E101" s="49" t="s">
        <v>1554</v>
      </c>
      <c r="G101" s="72">
        <v>1.3</v>
      </c>
    </row>
    <row r="102" spans="3:7" x14ac:dyDescent="0.25">
      <c r="C102" s="52">
        <v>4500022</v>
      </c>
      <c r="E102" s="49" t="s">
        <v>1554</v>
      </c>
      <c r="G102" s="72">
        <v>1.77</v>
      </c>
    </row>
    <row r="103" spans="3:7" x14ac:dyDescent="0.25">
      <c r="C103" s="52">
        <v>4500029</v>
      </c>
      <c r="E103" s="49" t="s">
        <v>1554</v>
      </c>
      <c r="G103" s="72">
        <v>1.4</v>
      </c>
    </row>
    <row r="104" spans="3:7" x14ac:dyDescent="0.25">
      <c r="C104" s="52">
        <v>4500035</v>
      </c>
      <c r="E104" s="49" t="s">
        <v>1554</v>
      </c>
      <c r="G104" s="72">
        <v>1</v>
      </c>
    </row>
    <row r="105" spans="3:7" x14ac:dyDescent="0.25">
      <c r="C105" s="52">
        <v>4500040</v>
      </c>
      <c r="E105" s="49" t="s">
        <v>1554</v>
      </c>
      <c r="G105" s="72">
        <v>2</v>
      </c>
    </row>
    <row r="106" spans="3:7" x14ac:dyDescent="0.25">
      <c r="C106" s="52">
        <v>4500059</v>
      </c>
      <c r="E106" s="49" t="s">
        <v>1554</v>
      </c>
      <c r="G106" s="72">
        <v>7.45</v>
      </c>
    </row>
    <row r="107" spans="3:7" x14ac:dyDescent="0.25">
      <c r="C107" s="46">
        <v>4520015</v>
      </c>
      <c r="E107" s="49" t="s">
        <v>1554</v>
      </c>
      <c r="G107" s="72">
        <v>16.14</v>
      </c>
    </row>
    <row r="108" spans="3:7" x14ac:dyDescent="0.25">
      <c r="C108" s="46">
        <v>4520012</v>
      </c>
      <c r="E108" s="49" t="s">
        <v>1554</v>
      </c>
      <c r="G108" s="72">
        <v>1</v>
      </c>
    </row>
    <row r="109" spans="3:7" x14ac:dyDescent="0.25">
      <c r="C109" s="46">
        <v>4520018</v>
      </c>
      <c r="E109" s="49" t="s">
        <v>1554</v>
      </c>
      <c r="G109" s="72">
        <v>1.51</v>
      </c>
    </row>
    <row r="110" spans="3:7" x14ac:dyDescent="0.25">
      <c r="C110" s="46">
        <v>4520020</v>
      </c>
      <c r="E110" s="49" t="s">
        <v>1554</v>
      </c>
      <c r="G110" s="72">
        <v>3.43</v>
      </c>
    </row>
    <row r="111" spans="3:7" x14ac:dyDescent="0.25">
      <c r="C111" s="46">
        <v>4520046</v>
      </c>
      <c r="E111" s="49" t="s">
        <v>1554</v>
      </c>
      <c r="G111" s="72">
        <v>1</v>
      </c>
    </row>
    <row r="112" spans="3:7" x14ac:dyDescent="0.25">
      <c r="C112" s="46">
        <v>4520054</v>
      </c>
      <c r="E112" s="49" t="s">
        <v>1554</v>
      </c>
      <c r="G112" s="72">
        <v>14.44</v>
      </c>
    </row>
    <row r="113" spans="3:7" x14ac:dyDescent="0.25">
      <c r="C113" s="46">
        <v>4520395</v>
      </c>
      <c r="E113" s="49" t="s">
        <v>1554</v>
      </c>
      <c r="G113" s="72">
        <v>1.53</v>
      </c>
    </row>
    <row r="114" spans="3:7" x14ac:dyDescent="0.25">
      <c r="C114" s="46">
        <v>4520427</v>
      </c>
      <c r="E114" s="49" t="s">
        <v>1554</v>
      </c>
      <c r="G114" s="72">
        <v>2.97</v>
      </c>
    </row>
    <row r="115" spans="3:7" x14ac:dyDescent="0.25">
      <c r="C115" s="46">
        <v>4520590</v>
      </c>
      <c r="E115" s="49" t="s">
        <v>1554</v>
      </c>
      <c r="G115" s="72">
        <v>2.0499999999999998</v>
      </c>
    </row>
    <row r="116" spans="3:7" x14ac:dyDescent="0.25">
      <c r="C116" s="46">
        <v>4520652</v>
      </c>
      <c r="E116" s="49" t="s">
        <v>1554</v>
      </c>
      <c r="G116" s="72">
        <v>43.65</v>
      </c>
    </row>
    <row r="117" spans="3:7" x14ac:dyDescent="0.25">
      <c r="C117" s="46">
        <v>4520490</v>
      </c>
      <c r="E117" s="49" t="s">
        <v>1554</v>
      </c>
      <c r="G117" s="72">
        <v>1</v>
      </c>
    </row>
    <row r="118" spans="3:7" x14ac:dyDescent="0.25">
      <c r="C118" s="46">
        <v>4520510</v>
      </c>
      <c r="E118" s="49" t="s">
        <v>1554</v>
      </c>
      <c r="G118" s="72">
        <v>9.26</v>
      </c>
    </row>
    <row r="119" spans="3:7" x14ac:dyDescent="0.25">
      <c r="C119" s="46">
        <v>4540005</v>
      </c>
      <c r="E119" s="49" t="s">
        <v>1554</v>
      </c>
      <c r="G119" s="72">
        <v>2.06</v>
      </c>
    </row>
    <row r="120" spans="3:7" x14ac:dyDescent="0.25">
      <c r="C120" s="46">
        <v>4540006</v>
      </c>
      <c r="E120" s="49" t="s">
        <v>1554</v>
      </c>
      <c r="G120" s="72">
        <v>1</v>
      </c>
    </row>
    <row r="121" spans="3:7" x14ac:dyDescent="0.25">
      <c r="C121" s="46">
        <v>4540011</v>
      </c>
      <c r="E121" s="49" t="s">
        <v>1554</v>
      </c>
      <c r="G121" s="72">
        <v>1</v>
      </c>
    </row>
    <row r="122" spans="3:7" x14ac:dyDescent="0.25">
      <c r="C122" s="46">
        <v>4540012</v>
      </c>
      <c r="E122" s="49" t="s">
        <v>1554</v>
      </c>
      <c r="G122" s="72">
        <v>1.34</v>
      </c>
    </row>
    <row r="123" spans="3:7" x14ac:dyDescent="0.25">
      <c r="C123" s="46">
        <v>4540014</v>
      </c>
      <c r="E123" s="49" t="s">
        <v>1554</v>
      </c>
      <c r="G123" s="72">
        <v>1</v>
      </c>
    </row>
    <row r="124" spans="3:7" x14ac:dyDescent="0.25">
      <c r="C124" s="46">
        <v>4540016</v>
      </c>
      <c r="E124" s="49" t="s">
        <v>1554</v>
      </c>
      <c r="G124" s="72">
        <v>1</v>
      </c>
    </row>
    <row r="125" spans="3:7" x14ac:dyDescent="0.25">
      <c r="C125" s="46">
        <v>4540017</v>
      </c>
      <c r="E125" s="49" t="s">
        <v>1554</v>
      </c>
      <c r="G125" s="72">
        <v>1</v>
      </c>
    </row>
    <row r="126" spans="3:7" x14ac:dyDescent="0.25">
      <c r="C126" s="46">
        <v>4540020</v>
      </c>
      <c r="E126" s="49" t="s">
        <v>1554</v>
      </c>
      <c r="G126" s="72">
        <v>3.43</v>
      </c>
    </row>
    <row r="127" spans="3:7" x14ac:dyDescent="0.25">
      <c r="C127" s="46">
        <v>4540021</v>
      </c>
      <c r="E127" s="49" t="s">
        <v>1554</v>
      </c>
      <c r="G127" s="72">
        <v>1</v>
      </c>
    </row>
    <row r="128" spans="3:7" x14ac:dyDescent="0.25">
      <c r="C128" s="46">
        <v>4540026</v>
      </c>
      <c r="E128" s="49" t="s">
        <v>1554</v>
      </c>
      <c r="G128" s="72">
        <v>18.68</v>
      </c>
    </row>
    <row r="129" spans="3:7" x14ac:dyDescent="0.25">
      <c r="C129" s="46">
        <v>4540029</v>
      </c>
      <c r="E129" s="49" t="s">
        <v>1554</v>
      </c>
      <c r="G129" s="72">
        <v>2.27</v>
      </c>
    </row>
    <row r="130" spans="3:7" x14ac:dyDescent="0.25">
      <c r="C130" s="46">
        <v>4540037</v>
      </c>
      <c r="E130" s="49" t="s">
        <v>1554</v>
      </c>
      <c r="G130" s="72">
        <v>1.02</v>
      </c>
    </row>
    <row r="131" spans="3:7" x14ac:dyDescent="0.25">
      <c r="C131" s="46">
        <v>4540043</v>
      </c>
      <c r="E131" s="49" t="s">
        <v>1554</v>
      </c>
      <c r="G131" s="72">
        <v>2.39</v>
      </c>
    </row>
    <row r="132" spans="3:7" x14ac:dyDescent="0.25">
      <c r="C132" s="46">
        <v>4540045</v>
      </c>
      <c r="E132" s="49" t="s">
        <v>1554</v>
      </c>
      <c r="G132" s="72">
        <v>1.85</v>
      </c>
    </row>
    <row r="133" spans="3:7" x14ac:dyDescent="0.25">
      <c r="C133" s="46">
        <v>4540047</v>
      </c>
      <c r="E133" s="49" t="s">
        <v>1554</v>
      </c>
      <c r="G133" s="72">
        <v>1</v>
      </c>
    </row>
    <row r="134" spans="3:7" x14ac:dyDescent="0.25">
      <c r="C134" s="46">
        <v>4540049</v>
      </c>
      <c r="E134" s="49" t="s">
        <v>1554</v>
      </c>
      <c r="G134" s="72">
        <v>1</v>
      </c>
    </row>
    <row r="135" spans="3:7" x14ac:dyDescent="0.25">
      <c r="C135" s="52">
        <v>2210016</v>
      </c>
      <c r="E135" s="49" t="s">
        <v>1554</v>
      </c>
      <c r="G135" s="72">
        <v>3.87</v>
      </c>
    </row>
    <row r="136" spans="3:7" x14ac:dyDescent="0.25">
      <c r="C136" s="60">
        <v>4540060</v>
      </c>
      <c r="E136" s="49" t="s">
        <v>1554</v>
      </c>
      <c r="G136" s="72">
        <v>1.57</v>
      </c>
    </row>
    <row r="137" spans="3:7" x14ac:dyDescent="0.25">
      <c r="C137" s="24">
        <v>4540112</v>
      </c>
      <c r="E137" s="49" t="s">
        <v>1554</v>
      </c>
      <c r="G137" s="72">
        <v>1</v>
      </c>
    </row>
    <row r="138" spans="3:7" x14ac:dyDescent="0.25">
      <c r="C138" s="24">
        <v>4540166</v>
      </c>
      <c r="E138" s="49" t="s">
        <v>1554</v>
      </c>
      <c r="G138" s="72">
        <v>1</v>
      </c>
    </row>
    <row r="139" spans="3:7" x14ac:dyDescent="0.25">
      <c r="C139" s="24">
        <v>4540172</v>
      </c>
      <c r="E139" s="49" t="s">
        <v>1554</v>
      </c>
      <c r="G139" s="72">
        <v>1.74</v>
      </c>
    </row>
    <row r="140" spans="3:7" x14ac:dyDescent="0.25">
      <c r="C140" s="24">
        <v>4540177</v>
      </c>
      <c r="E140" s="49" t="s">
        <v>1554</v>
      </c>
      <c r="G140" s="72">
        <v>1</v>
      </c>
    </row>
    <row r="141" spans="3:7" x14ac:dyDescent="0.25">
      <c r="C141" s="24"/>
      <c r="E141" s="49"/>
      <c r="G141" s="72"/>
    </row>
    <row r="142" spans="3:7" x14ac:dyDescent="0.25">
      <c r="C142" s="24"/>
      <c r="E142" s="49"/>
      <c r="G142" s="72"/>
    </row>
    <row r="143" spans="3:7" x14ac:dyDescent="0.25">
      <c r="C143" s="24">
        <v>4540183</v>
      </c>
      <c r="E143" s="49" t="s">
        <v>1554</v>
      </c>
      <c r="G143" s="72">
        <v>1</v>
      </c>
    </row>
    <row r="144" spans="3:7" x14ac:dyDescent="0.25">
      <c r="C144" s="24">
        <v>4540192</v>
      </c>
      <c r="E144" s="49" t="s">
        <v>1554</v>
      </c>
      <c r="G144" s="72">
        <v>18.32</v>
      </c>
    </row>
    <row r="145" spans="3:7" x14ac:dyDescent="0.25">
      <c r="C145" s="24">
        <v>4540195</v>
      </c>
      <c r="E145" s="49" t="s">
        <v>1554</v>
      </c>
      <c r="G145" s="72">
        <v>4.01</v>
      </c>
    </row>
    <row r="146" spans="3:7" x14ac:dyDescent="0.25">
      <c r="C146" s="24">
        <v>4540200</v>
      </c>
      <c r="E146" s="49" t="s">
        <v>1554</v>
      </c>
      <c r="G146" s="72">
        <v>3.85</v>
      </c>
    </row>
    <row r="147" spans="3:7" x14ac:dyDescent="0.25">
      <c r="C147" s="24">
        <v>4540205</v>
      </c>
      <c r="E147" s="49" t="s">
        <v>1554</v>
      </c>
      <c r="G147" s="60">
        <v>5.24</v>
      </c>
    </row>
    <row r="148" spans="3:7" x14ac:dyDescent="0.25">
      <c r="C148" s="24">
        <v>4540209</v>
      </c>
      <c r="E148" s="49" t="s">
        <v>1554</v>
      </c>
      <c r="G148" s="72">
        <v>1.06</v>
      </c>
    </row>
    <row r="149" spans="3:7" x14ac:dyDescent="0.25">
      <c r="C149" s="24">
        <v>4540210</v>
      </c>
      <c r="E149" s="49" t="s">
        <v>1554</v>
      </c>
      <c r="G149" s="72">
        <v>7.59</v>
      </c>
    </row>
    <row r="150" spans="3:7" x14ac:dyDescent="0.25">
      <c r="C150" s="24">
        <v>4540213</v>
      </c>
      <c r="E150" s="49" t="s">
        <v>1554</v>
      </c>
      <c r="G150" s="72">
        <v>1</v>
      </c>
    </row>
    <row r="151" spans="3:7" x14ac:dyDescent="0.25">
      <c r="C151" s="24">
        <v>4540214</v>
      </c>
      <c r="E151" s="49" t="s">
        <v>1554</v>
      </c>
      <c r="G151" s="72">
        <v>1</v>
      </c>
    </row>
    <row r="152" spans="3:7" x14ac:dyDescent="0.25">
      <c r="C152" s="24">
        <v>4540220</v>
      </c>
      <c r="E152" s="49" t="s">
        <v>1554</v>
      </c>
      <c r="G152" s="72">
        <v>1.32</v>
      </c>
    </row>
    <row r="153" spans="3:7" x14ac:dyDescent="0.25">
      <c r="C153" s="24">
        <v>4540221</v>
      </c>
      <c r="E153" s="49" t="s">
        <v>1554</v>
      </c>
      <c r="G153" s="72">
        <v>1</v>
      </c>
    </row>
    <row r="154" spans="3:7" x14ac:dyDescent="0.25">
      <c r="C154" s="24">
        <v>4540224</v>
      </c>
      <c r="E154" s="49" t="s">
        <v>1554</v>
      </c>
      <c r="G154" s="72">
        <v>1</v>
      </c>
    </row>
    <row r="155" spans="3:7" x14ac:dyDescent="0.25">
      <c r="C155" s="24">
        <v>4540225</v>
      </c>
      <c r="E155" s="49" t="s">
        <v>1554</v>
      </c>
      <c r="G155" s="72">
        <v>1</v>
      </c>
    </row>
    <row r="156" spans="3:7" x14ac:dyDescent="0.25">
      <c r="C156" s="24">
        <v>4540232</v>
      </c>
      <c r="E156" s="49" t="s">
        <v>1554</v>
      </c>
      <c r="G156" s="72">
        <v>1</v>
      </c>
    </row>
    <row r="157" spans="3:7" x14ac:dyDescent="0.25">
      <c r="C157" s="24">
        <v>4540240</v>
      </c>
      <c r="E157" s="49" t="s">
        <v>1554</v>
      </c>
      <c r="G157" s="72">
        <v>1</v>
      </c>
    </row>
    <row r="158" spans="3:7" x14ac:dyDescent="0.25">
      <c r="C158" s="24">
        <v>4540248</v>
      </c>
      <c r="E158" s="49" t="s">
        <v>1554</v>
      </c>
      <c r="G158" s="72">
        <v>1</v>
      </c>
    </row>
    <row r="159" spans="3:7" x14ac:dyDescent="0.25">
      <c r="C159" s="24">
        <v>4540255</v>
      </c>
      <c r="E159" s="49" t="s">
        <v>1554</v>
      </c>
      <c r="G159" s="72">
        <v>27.72</v>
      </c>
    </row>
    <row r="160" spans="3:7" x14ac:dyDescent="0.25">
      <c r="C160" s="24">
        <v>4540260</v>
      </c>
      <c r="E160" s="49" t="s">
        <v>1554</v>
      </c>
      <c r="G160" s="72">
        <v>2.2799999999999998</v>
      </c>
    </row>
    <row r="161" spans="3:7" x14ac:dyDescent="0.25">
      <c r="C161" s="24">
        <v>4540265</v>
      </c>
      <c r="E161" s="49" t="s">
        <v>1554</v>
      </c>
      <c r="G161" s="72">
        <v>106.99</v>
      </c>
    </row>
    <row r="162" spans="3:7" x14ac:dyDescent="0.25">
      <c r="C162" s="123">
        <v>4540279</v>
      </c>
      <c r="E162" s="49" t="s">
        <v>1554</v>
      </c>
      <c r="G162" s="72">
        <v>1</v>
      </c>
    </row>
    <row r="163" spans="3:7" x14ac:dyDescent="0.25">
      <c r="C163" s="123">
        <v>4540282</v>
      </c>
      <c r="E163" s="49" t="s">
        <v>1554</v>
      </c>
      <c r="G163" s="72">
        <v>1</v>
      </c>
    </row>
    <row r="164" spans="3:7" x14ac:dyDescent="0.25">
      <c r="C164" s="24">
        <v>4540290</v>
      </c>
      <c r="E164" s="49" t="s">
        <v>1554</v>
      </c>
      <c r="G164" s="72">
        <v>3.9</v>
      </c>
    </row>
    <row r="165" spans="3:7" x14ac:dyDescent="0.25">
      <c r="C165" s="24">
        <v>4540300</v>
      </c>
      <c r="E165" s="49" t="s">
        <v>1554</v>
      </c>
      <c r="G165" s="72">
        <v>4.49</v>
      </c>
    </row>
    <row r="166" spans="3:7" x14ac:dyDescent="0.25">
      <c r="C166" s="24">
        <v>4540302</v>
      </c>
      <c r="E166" s="49" t="s">
        <v>1554</v>
      </c>
      <c r="G166" s="72">
        <v>2.75</v>
      </c>
    </row>
    <row r="167" spans="3:7" x14ac:dyDescent="0.25">
      <c r="C167" s="24">
        <v>4540304</v>
      </c>
      <c r="E167" s="49" t="s">
        <v>1554</v>
      </c>
      <c r="G167" s="72">
        <v>1</v>
      </c>
    </row>
    <row r="168" spans="3:7" x14ac:dyDescent="0.25">
      <c r="C168" s="24">
        <v>4540310</v>
      </c>
      <c r="E168" s="49" t="s">
        <v>1554</v>
      </c>
      <c r="G168" s="72">
        <v>1.55</v>
      </c>
    </row>
    <row r="169" spans="3:7" x14ac:dyDescent="0.25">
      <c r="C169" s="24">
        <v>4540315</v>
      </c>
      <c r="E169" s="49" t="s">
        <v>1554</v>
      </c>
      <c r="G169" s="72">
        <v>8.3000000000000007</v>
      </c>
    </row>
    <row r="170" spans="3:7" x14ac:dyDescent="0.25">
      <c r="C170" s="24">
        <v>4540320</v>
      </c>
      <c r="E170" s="49" t="s">
        <v>1554</v>
      </c>
      <c r="G170" s="72">
        <v>7.23</v>
      </c>
    </row>
    <row r="171" spans="3:7" x14ac:dyDescent="0.25">
      <c r="C171" s="124">
        <v>4540328</v>
      </c>
      <c r="E171" s="49" t="s">
        <v>1554</v>
      </c>
      <c r="G171" s="72">
        <v>1</v>
      </c>
    </row>
    <row r="172" spans="3:7" x14ac:dyDescent="0.25">
      <c r="C172" s="24">
        <v>4540332</v>
      </c>
      <c r="E172" s="49" t="s">
        <v>1554</v>
      </c>
      <c r="G172" s="72">
        <v>1</v>
      </c>
    </row>
    <row r="173" spans="3:7" x14ac:dyDescent="0.25">
      <c r="C173" s="24">
        <v>4540336</v>
      </c>
      <c r="E173" s="49" t="s">
        <v>1554</v>
      </c>
      <c r="G173" s="72">
        <v>17.73</v>
      </c>
    </row>
    <row r="174" spans="3:7" x14ac:dyDescent="0.25">
      <c r="C174" s="24">
        <v>4540339</v>
      </c>
      <c r="E174" s="49" t="s">
        <v>1554</v>
      </c>
      <c r="G174" s="72">
        <v>4.8899999999999997</v>
      </c>
    </row>
    <row r="175" spans="3:7" x14ac:dyDescent="0.25">
      <c r="C175" s="24">
        <v>4540347</v>
      </c>
      <c r="E175" s="49" t="s">
        <v>1554</v>
      </c>
      <c r="G175" s="72">
        <v>5.98</v>
      </c>
    </row>
    <row r="176" spans="3:7" x14ac:dyDescent="0.25">
      <c r="C176" s="24">
        <v>4540353</v>
      </c>
      <c r="E176" s="49" t="s">
        <v>1554</v>
      </c>
      <c r="G176" s="72">
        <v>1</v>
      </c>
    </row>
    <row r="177" spans="3:8" x14ac:dyDescent="0.25">
      <c r="C177" s="24">
        <v>4540358</v>
      </c>
      <c r="E177" s="49" t="s">
        <v>1554</v>
      </c>
      <c r="G177" s="72">
        <v>1</v>
      </c>
    </row>
    <row r="178" spans="3:8" x14ac:dyDescent="0.25">
      <c r="C178" s="24">
        <v>4540369</v>
      </c>
      <c r="E178" s="49" t="s">
        <v>1554</v>
      </c>
      <c r="G178" s="72">
        <v>17.73</v>
      </c>
    </row>
    <row r="179" spans="3:8" x14ac:dyDescent="0.25">
      <c r="C179" s="24">
        <v>4540380</v>
      </c>
      <c r="E179" s="49" t="s">
        <v>1554</v>
      </c>
      <c r="G179" s="72">
        <v>17.3</v>
      </c>
    </row>
    <row r="180" spans="3:8" x14ac:dyDescent="0.25">
      <c r="C180" s="24">
        <v>4540385</v>
      </c>
      <c r="E180" s="49" t="s">
        <v>1554</v>
      </c>
      <c r="G180" s="72">
        <v>14.64</v>
      </c>
    </row>
    <row r="181" spans="3:8" x14ac:dyDescent="0.25">
      <c r="C181" s="24">
        <v>4540392</v>
      </c>
      <c r="E181" s="49" t="s">
        <v>1554</v>
      </c>
      <c r="G181" s="72">
        <v>1</v>
      </c>
    </row>
    <row r="182" spans="3:8" x14ac:dyDescent="0.25">
      <c r="C182" s="24">
        <v>4540394</v>
      </c>
      <c r="E182" s="49" t="s">
        <v>1554</v>
      </c>
      <c r="G182" s="72">
        <v>1.98</v>
      </c>
    </row>
    <row r="183" spans="3:8" x14ac:dyDescent="0.25">
      <c r="C183" s="24">
        <v>4540395</v>
      </c>
      <c r="E183" s="49" t="s">
        <v>1554</v>
      </c>
      <c r="G183" s="72">
        <v>3.22</v>
      </c>
    </row>
    <row r="184" spans="3:8" x14ac:dyDescent="0.25">
      <c r="C184" s="24">
        <v>4540401</v>
      </c>
      <c r="E184" s="49" t="s">
        <v>1554</v>
      </c>
      <c r="G184" s="72">
        <v>18.21</v>
      </c>
    </row>
    <row r="185" spans="3:8" x14ac:dyDescent="0.25">
      <c r="C185" s="24">
        <v>4540411</v>
      </c>
      <c r="E185" s="49" t="s">
        <v>1554</v>
      </c>
      <c r="G185" s="72">
        <v>1.2</v>
      </c>
    </row>
    <row r="186" spans="3:8" x14ac:dyDescent="0.25">
      <c r="C186" s="24"/>
      <c r="E186" s="49"/>
      <c r="G186" s="137"/>
    </row>
    <row r="187" spans="3:8" x14ac:dyDescent="0.25">
      <c r="G187" s="37">
        <f>SUM(G3:G186)</f>
        <v>1308.8699999999999</v>
      </c>
      <c r="H187" s="18">
        <f>SUM(G187*600)</f>
        <v>785321.99999999988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CWC2022-A</vt:lpstr>
      <vt:lpstr>Sheet4</vt:lpstr>
      <vt:lpstr>Sheet1</vt:lpstr>
      <vt:lpstr>CWC2020comm</vt:lpstr>
      <vt:lpstr>2020manualTDF</vt:lpstr>
      <vt:lpstr>final_comm_EBU's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Larry Baril</dc:creator>
  <cp:lastModifiedBy>Tim Foster</cp:lastModifiedBy>
  <cp:lastPrinted>2022-03-07T15:03:02Z</cp:lastPrinted>
  <dcterms:created xsi:type="dcterms:W3CDTF">2022-01-07T18:35:42Z</dcterms:created>
  <dcterms:modified xsi:type="dcterms:W3CDTF">2022-03-07T15:15:03Z</dcterms:modified>
</cp:coreProperties>
</file>