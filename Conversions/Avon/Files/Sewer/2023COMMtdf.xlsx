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foster\Desktop\"/>
    </mc:Choice>
  </mc:AlternateContent>
  <xr:revisionPtr revIDLastSave="0" documentId="8_{0732FA86-E030-4806-8056-F23ED431D413}" xr6:coauthVersionLast="47" xr6:coauthVersionMax="47" xr10:uidLastSave="{00000000-0000-0000-0000-000000000000}"/>
  <bookViews>
    <workbookView xWindow="-28920" yWindow="-120" windowWidth="29040" windowHeight="15840" xr2:uid="{F9898F56-D3B8-4C52-AADE-3A95489A58FF}"/>
  </bookViews>
  <sheets>
    <sheet name="MANUAL 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1" l="1"/>
  <c r="J46" i="1"/>
  <c r="L235" i="1"/>
  <c r="L400" i="1"/>
  <c r="L514" i="1"/>
  <c r="L516" i="1"/>
  <c r="L488" i="1"/>
  <c r="L497" i="1"/>
  <c r="L506" i="1"/>
  <c r="L509" i="1"/>
  <c r="L512" i="1"/>
  <c r="L475" i="1"/>
  <c r="L477" i="1"/>
  <c r="L479" i="1"/>
  <c r="L480" i="1"/>
  <c r="L481" i="1"/>
  <c r="L451" i="1"/>
  <c r="L453" i="1"/>
  <c r="L455" i="1"/>
  <c r="L458" i="1"/>
  <c r="L460" i="1"/>
  <c r="L428" i="1"/>
  <c r="L434" i="1"/>
  <c r="L448" i="1"/>
  <c r="L411" i="1"/>
  <c r="L413" i="1"/>
  <c r="L416" i="1"/>
  <c r="L418" i="1"/>
  <c r="L422" i="1"/>
  <c r="L388" i="1"/>
  <c r="L390" i="1"/>
  <c r="L362" i="1"/>
  <c r="L365" i="1"/>
  <c r="L367" i="1"/>
  <c r="L369" i="1"/>
  <c r="L373" i="1"/>
  <c r="L378" i="1"/>
  <c r="L381" i="1"/>
  <c r="L385" i="1"/>
  <c r="L339" i="1"/>
  <c r="L346" i="1"/>
  <c r="L353" i="1"/>
  <c r="L354" i="1"/>
  <c r="L359" i="1"/>
  <c r="L325" i="1"/>
  <c r="L327" i="1"/>
  <c r="L328" i="1"/>
  <c r="L296" i="1"/>
  <c r="L300" i="1"/>
  <c r="L302" i="1"/>
  <c r="L303" i="1"/>
  <c r="L304" i="1"/>
  <c r="L305" i="1"/>
  <c r="L306" i="1"/>
  <c r="L311" i="1"/>
  <c r="L314" i="1"/>
  <c r="L316" i="1"/>
  <c r="L318" i="1"/>
  <c r="L319" i="1"/>
  <c r="L292" i="1"/>
  <c r="L245" i="1"/>
  <c r="L233" i="1"/>
  <c r="L238" i="1"/>
  <c r="L224" i="1"/>
  <c r="L229" i="1"/>
  <c r="L212" i="1"/>
  <c r="L215" i="1"/>
  <c r="L199" i="1"/>
  <c r="L203" i="1"/>
  <c r="L182" i="1"/>
  <c r="L185" i="1"/>
  <c r="L187" i="1"/>
  <c r="L189" i="1"/>
  <c r="L173" i="1"/>
  <c r="L155" i="1"/>
  <c r="L158" i="1"/>
  <c r="L161" i="1"/>
  <c r="L164" i="1"/>
  <c r="L166" i="1"/>
  <c r="L138" i="1"/>
  <c r="L145" i="1"/>
  <c r="L147" i="1"/>
  <c r="L149" i="1"/>
  <c r="L125" i="1"/>
  <c r="L127" i="1"/>
  <c r="L135" i="1"/>
  <c r="L121" i="1"/>
  <c r="L94" i="1"/>
  <c r="L96" i="1"/>
  <c r="L98" i="1"/>
  <c r="L101" i="1"/>
  <c r="L112" i="1"/>
  <c r="L72" i="1"/>
  <c r="L75" i="1"/>
  <c r="L84" i="1"/>
  <c r="L86" i="1"/>
  <c r="L88" i="1"/>
  <c r="L90" i="1"/>
  <c r="L44" i="1"/>
  <c r="L46" i="1"/>
  <c r="L50" i="1"/>
  <c r="L61" i="1"/>
  <c r="L70" i="1"/>
  <c r="L24" i="1"/>
  <c r="L26" i="1"/>
  <c r="L40" i="1"/>
  <c r="L42" i="1"/>
  <c r="L21" i="1"/>
  <c r="L4" i="1"/>
  <c r="J509" i="1"/>
  <c r="J292" i="1"/>
  <c r="J229" i="1"/>
  <c r="J235" i="1"/>
  <c r="J245" i="1"/>
  <c r="J224" i="1"/>
  <c r="J187" i="1"/>
  <c r="J189" i="1"/>
  <c r="J199" i="1"/>
  <c r="J166" i="1"/>
  <c r="J182" i="1"/>
  <c r="J145" i="1"/>
  <c r="J149" i="1"/>
  <c r="J127" i="1"/>
  <c r="J135" i="1"/>
  <c r="J137" i="1"/>
  <c r="J138" i="1"/>
  <c r="J86" i="1"/>
  <c r="J88" i="1"/>
  <c r="J90" i="1"/>
  <c r="J96" i="1"/>
  <c r="J98" i="1"/>
  <c r="J72" i="1"/>
  <c r="J78" i="1"/>
  <c r="J50" i="1"/>
  <c r="J61" i="1"/>
  <c r="J24" i="1"/>
  <c r="J26" i="1"/>
  <c r="J28" i="1"/>
  <c r="J42" i="1"/>
  <c r="J44" i="1"/>
  <c r="J302" i="1"/>
  <c r="J303" i="1"/>
  <c r="J304" i="1"/>
  <c r="J305" i="1"/>
  <c r="J306" i="1"/>
  <c r="J311" i="1"/>
  <c r="J316" i="1"/>
  <c r="J318" i="1"/>
  <c r="J319" i="1"/>
  <c r="J327" i="1"/>
  <c r="J328" i="1"/>
  <c r="J339" i="1"/>
  <c r="J362" i="1"/>
  <c r="J367" i="1"/>
  <c r="J369" i="1"/>
  <c r="J370" i="1"/>
  <c r="J373" i="1"/>
  <c r="J378" i="1"/>
  <c r="J385" i="1"/>
  <c r="J381" i="1"/>
  <c r="J388" i="1"/>
  <c r="J392" i="1"/>
  <c r="J402" i="1"/>
  <c r="J413" i="1"/>
  <c r="J418" i="1"/>
  <c r="J422" i="1"/>
  <c r="J428" i="1"/>
  <c r="J434" i="1"/>
  <c r="J453" i="1"/>
  <c r="J455" i="1"/>
  <c r="J458" i="1"/>
  <c r="J460" i="1"/>
  <c r="J488" i="1"/>
  <c r="J512" i="1"/>
  <c r="J514" i="1"/>
  <c r="H513" i="1"/>
  <c r="H514" i="1"/>
  <c r="H515" i="1"/>
  <c r="H516" i="1"/>
  <c r="H506" i="1"/>
  <c r="H507" i="1"/>
  <c r="H512" i="1"/>
  <c r="H497" i="1"/>
  <c r="H498" i="1"/>
  <c r="H499" i="1"/>
  <c r="H500" i="1"/>
  <c r="H501" i="1"/>
  <c r="H502" i="1"/>
  <c r="H503" i="1"/>
  <c r="H504" i="1"/>
  <c r="H505" i="1"/>
  <c r="H489" i="1"/>
  <c r="H490" i="1"/>
  <c r="H491" i="1"/>
  <c r="H492" i="1"/>
  <c r="H493" i="1"/>
  <c r="H494" i="1"/>
  <c r="H495" i="1"/>
  <c r="H496" i="1"/>
  <c r="H485" i="1"/>
  <c r="H486" i="1"/>
  <c r="H487" i="1"/>
  <c r="H488" i="1"/>
  <c r="H483" i="1"/>
  <c r="H484" i="1"/>
  <c r="H475" i="1"/>
  <c r="H476" i="1"/>
  <c r="H477" i="1"/>
  <c r="H478" i="1"/>
  <c r="H479" i="1"/>
  <c r="H480" i="1"/>
  <c r="H481" i="1"/>
  <c r="H482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54" i="1"/>
  <c r="H455" i="1"/>
  <c r="H456" i="1"/>
  <c r="H457" i="1"/>
  <c r="H458" i="1"/>
  <c r="H459" i="1"/>
  <c r="H460" i="1"/>
  <c r="H448" i="1"/>
  <c r="H449" i="1"/>
  <c r="H450" i="1"/>
  <c r="H451" i="1"/>
  <c r="H453" i="1"/>
  <c r="H442" i="1"/>
  <c r="H441" i="1"/>
  <c r="H435" i="1"/>
  <c r="H436" i="1"/>
  <c r="H437" i="1"/>
  <c r="H439" i="1"/>
  <c r="H440" i="1"/>
  <c r="I440" i="1" s="1"/>
  <c r="H443" i="1"/>
  <c r="H444" i="1"/>
  <c r="H446" i="1"/>
  <c r="H447" i="1"/>
  <c r="H433" i="1"/>
  <c r="H434" i="1"/>
  <c r="H419" i="1"/>
  <c r="H420" i="1"/>
  <c r="H421" i="1"/>
  <c r="H422" i="1"/>
  <c r="H424" i="1"/>
  <c r="H425" i="1"/>
  <c r="H426" i="1"/>
  <c r="H428" i="1"/>
  <c r="H429" i="1"/>
  <c r="H430" i="1"/>
  <c r="H431" i="1"/>
  <c r="H432" i="1"/>
  <c r="H417" i="1"/>
  <c r="H418" i="1"/>
  <c r="H414" i="1"/>
  <c r="H415" i="1"/>
  <c r="H416" i="1"/>
  <c r="H407" i="1"/>
  <c r="H408" i="1"/>
  <c r="H410" i="1"/>
  <c r="H411" i="1"/>
  <c r="H413" i="1"/>
  <c r="H404" i="1"/>
  <c r="H405" i="1"/>
  <c r="H406" i="1"/>
  <c r="H401" i="1"/>
  <c r="H402" i="1"/>
  <c r="H403" i="1"/>
  <c r="H393" i="1"/>
  <c r="H394" i="1"/>
  <c r="H395" i="1"/>
  <c r="H396" i="1"/>
  <c r="H397" i="1"/>
  <c r="H398" i="1"/>
  <c r="H399" i="1"/>
  <c r="H400" i="1"/>
  <c r="H389" i="1"/>
  <c r="H390" i="1"/>
  <c r="H391" i="1"/>
  <c r="H392" i="1"/>
  <c r="H386" i="1"/>
  <c r="H387" i="1"/>
  <c r="H388" i="1"/>
  <c r="H378" i="1"/>
  <c r="H379" i="1"/>
  <c r="H380" i="1"/>
  <c r="H381" i="1"/>
  <c r="H382" i="1"/>
  <c r="H383" i="1"/>
  <c r="H385" i="1"/>
  <c r="H375" i="1"/>
  <c r="H376" i="1"/>
  <c r="H377" i="1"/>
  <c r="H366" i="1"/>
  <c r="H367" i="1"/>
  <c r="H368" i="1"/>
  <c r="H369" i="1"/>
  <c r="H370" i="1"/>
  <c r="H371" i="1"/>
  <c r="H372" i="1"/>
  <c r="H373" i="1"/>
  <c r="H374" i="1"/>
  <c r="H363" i="1"/>
  <c r="H364" i="1"/>
  <c r="H365" i="1"/>
  <c r="H360" i="1"/>
  <c r="H361" i="1"/>
  <c r="H362" i="1"/>
  <c r="H356" i="1"/>
  <c r="H357" i="1"/>
  <c r="H358" i="1"/>
  <c r="H359" i="1"/>
  <c r="H354" i="1"/>
  <c r="H355" i="1"/>
  <c r="H347" i="1"/>
  <c r="H348" i="1"/>
  <c r="H349" i="1"/>
  <c r="H350" i="1"/>
  <c r="H351" i="1"/>
  <c r="H352" i="1"/>
  <c r="H353" i="1"/>
  <c r="H343" i="1"/>
  <c r="H344" i="1"/>
  <c r="H345" i="1"/>
  <c r="H346" i="1"/>
  <c r="H333" i="1"/>
  <c r="H334" i="1"/>
  <c r="H335" i="1"/>
  <c r="H336" i="1"/>
  <c r="H337" i="1"/>
  <c r="H338" i="1"/>
  <c r="H339" i="1"/>
  <c r="H340" i="1"/>
  <c r="H341" i="1"/>
  <c r="H342" i="1"/>
  <c r="H329" i="1"/>
  <c r="H330" i="1"/>
  <c r="H331" i="1"/>
  <c r="H332" i="1"/>
  <c r="H326" i="1"/>
  <c r="H327" i="1"/>
  <c r="H328" i="1"/>
  <c r="H322" i="1"/>
  <c r="H323" i="1"/>
  <c r="H324" i="1"/>
  <c r="H325" i="1"/>
  <c r="H320" i="1"/>
  <c r="H321" i="1"/>
  <c r="H315" i="1"/>
  <c r="H316" i="1"/>
  <c r="H317" i="1"/>
  <c r="H318" i="1"/>
  <c r="H319" i="1"/>
  <c r="H312" i="1"/>
  <c r="H313" i="1"/>
  <c r="H314" i="1"/>
  <c r="H307" i="1"/>
  <c r="H308" i="1"/>
  <c r="H309" i="1"/>
  <c r="H301" i="1"/>
  <c r="H302" i="1"/>
  <c r="H303" i="1"/>
  <c r="H304" i="1"/>
  <c r="H305" i="1"/>
  <c r="H306" i="1"/>
  <c r="H297" i="1"/>
  <c r="H298" i="1"/>
  <c r="H299" i="1"/>
  <c r="H300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44" i="1"/>
  <c r="H245" i="1"/>
  <c r="H239" i="1"/>
  <c r="H240" i="1"/>
  <c r="H241" i="1"/>
  <c r="H242" i="1"/>
  <c r="H243" i="1"/>
  <c r="H236" i="1"/>
  <c r="H237" i="1"/>
  <c r="H238" i="1"/>
  <c r="H234" i="1"/>
  <c r="H235" i="1"/>
  <c r="H230" i="1"/>
  <c r="H231" i="1"/>
  <c r="H232" i="1"/>
  <c r="H233" i="1"/>
  <c r="H227" i="1"/>
  <c r="H228" i="1"/>
  <c r="H229" i="1"/>
  <c r="H222" i="1"/>
  <c r="H226" i="1"/>
  <c r="H220" i="1"/>
  <c r="H221" i="1"/>
  <c r="H217" i="1"/>
  <c r="H218" i="1"/>
  <c r="H214" i="1"/>
  <c r="H215" i="1"/>
  <c r="H204" i="1"/>
  <c r="H205" i="1"/>
  <c r="H207" i="1"/>
  <c r="H209" i="1"/>
  <c r="H210" i="1"/>
  <c r="H211" i="1"/>
  <c r="H212" i="1"/>
  <c r="H195" i="1"/>
  <c r="H196" i="1"/>
  <c r="H197" i="1"/>
  <c r="H198" i="1"/>
  <c r="H199" i="1"/>
  <c r="H200" i="1"/>
  <c r="H201" i="1"/>
  <c r="H202" i="1"/>
  <c r="H203" i="1"/>
  <c r="H190" i="1"/>
  <c r="H191" i="1"/>
  <c r="H192" i="1"/>
  <c r="H194" i="1"/>
  <c r="H186" i="1"/>
  <c r="H187" i="1"/>
  <c r="H188" i="1"/>
  <c r="H189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67" i="1"/>
  <c r="H169" i="1"/>
  <c r="H170" i="1"/>
  <c r="H172" i="1"/>
  <c r="H173" i="1"/>
  <c r="H162" i="1"/>
  <c r="H163" i="1"/>
  <c r="H164" i="1"/>
  <c r="H166" i="1"/>
  <c r="H159" i="1"/>
  <c r="H160" i="1"/>
  <c r="H161" i="1"/>
  <c r="H156" i="1"/>
  <c r="H157" i="1"/>
  <c r="I158" i="1" s="1"/>
  <c r="J158" i="1" s="1"/>
  <c r="H158" i="1"/>
  <c r="H150" i="1"/>
  <c r="H151" i="1"/>
  <c r="H152" i="1"/>
  <c r="H153" i="1"/>
  <c r="H154" i="1"/>
  <c r="H155" i="1"/>
  <c r="H148" i="1"/>
  <c r="H149" i="1"/>
  <c r="H139" i="1"/>
  <c r="H140" i="1"/>
  <c r="H141" i="1"/>
  <c r="H142" i="1"/>
  <c r="H143" i="1"/>
  <c r="H144" i="1"/>
  <c r="H145" i="1"/>
  <c r="H146" i="1"/>
  <c r="H147" i="1"/>
  <c r="H136" i="1"/>
  <c r="H137" i="1"/>
  <c r="H138" i="1"/>
  <c r="H126" i="1"/>
  <c r="H127" i="1"/>
  <c r="H122" i="1"/>
  <c r="H123" i="1"/>
  <c r="H124" i="1"/>
  <c r="H125" i="1"/>
  <c r="H113" i="1"/>
  <c r="H114" i="1"/>
  <c r="H115" i="1"/>
  <c r="H116" i="1"/>
  <c r="H117" i="1"/>
  <c r="H118" i="1"/>
  <c r="H119" i="1"/>
  <c r="H120" i="1"/>
  <c r="H121" i="1"/>
  <c r="H128" i="1"/>
  <c r="H129" i="1"/>
  <c r="H130" i="1"/>
  <c r="H131" i="1"/>
  <c r="H132" i="1"/>
  <c r="H133" i="1"/>
  <c r="H134" i="1"/>
  <c r="H135" i="1"/>
  <c r="H106" i="1"/>
  <c r="H107" i="1"/>
  <c r="H108" i="1"/>
  <c r="H109" i="1"/>
  <c r="H110" i="1"/>
  <c r="H111" i="1"/>
  <c r="H112" i="1"/>
  <c r="H103" i="1"/>
  <c r="H104" i="1"/>
  <c r="H99" i="1"/>
  <c r="H100" i="1"/>
  <c r="H101" i="1"/>
  <c r="H102" i="1"/>
  <c r="H97" i="1"/>
  <c r="H98" i="1"/>
  <c r="H95" i="1"/>
  <c r="H96" i="1"/>
  <c r="H91" i="1"/>
  <c r="H92" i="1"/>
  <c r="H93" i="1"/>
  <c r="H94" i="1"/>
  <c r="H89" i="1"/>
  <c r="H90" i="1"/>
  <c r="H87" i="1"/>
  <c r="H88" i="1"/>
  <c r="H85" i="1"/>
  <c r="H86" i="1"/>
  <c r="H76" i="1"/>
  <c r="H77" i="1"/>
  <c r="H78" i="1"/>
  <c r="H79" i="1"/>
  <c r="H80" i="1"/>
  <c r="H81" i="1"/>
  <c r="H82" i="1"/>
  <c r="H83" i="1"/>
  <c r="H84" i="1"/>
  <c r="H73" i="1"/>
  <c r="H74" i="1"/>
  <c r="H75" i="1"/>
  <c r="H71" i="1"/>
  <c r="H72" i="1"/>
  <c r="H64" i="1"/>
  <c r="H65" i="1"/>
  <c r="H66" i="1"/>
  <c r="H67" i="1"/>
  <c r="H68" i="1"/>
  <c r="H69" i="1"/>
  <c r="H70" i="1"/>
  <c r="H51" i="1"/>
  <c r="H52" i="1"/>
  <c r="H53" i="1"/>
  <c r="H54" i="1"/>
  <c r="H55" i="1"/>
  <c r="H56" i="1"/>
  <c r="H57" i="1"/>
  <c r="H58" i="1"/>
  <c r="H59" i="1"/>
  <c r="H60" i="1"/>
  <c r="H61" i="1"/>
  <c r="H63" i="1"/>
  <c r="H47" i="1"/>
  <c r="H48" i="1"/>
  <c r="H49" i="1"/>
  <c r="H50" i="1"/>
  <c r="H45" i="1"/>
  <c r="H46" i="1"/>
  <c r="H43" i="1"/>
  <c r="H44" i="1"/>
  <c r="H41" i="1"/>
  <c r="H42" i="1"/>
  <c r="H37" i="1"/>
  <c r="I40" i="1" s="1"/>
  <c r="J40" i="1" s="1"/>
  <c r="H38" i="1"/>
  <c r="H39" i="1"/>
  <c r="H40" i="1"/>
  <c r="H26" i="1"/>
  <c r="H27" i="1"/>
  <c r="H28" i="1"/>
  <c r="H29" i="1"/>
  <c r="H30" i="1"/>
  <c r="H31" i="1"/>
  <c r="H32" i="1"/>
  <c r="H33" i="1"/>
  <c r="H34" i="1"/>
  <c r="H35" i="1"/>
  <c r="H23" i="1"/>
  <c r="H24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5" i="1"/>
  <c r="H6" i="1"/>
  <c r="H3" i="1"/>
  <c r="H4" i="1"/>
  <c r="H2" i="1"/>
  <c r="L518" i="1" l="1"/>
  <c r="L520" i="1" s="1"/>
  <c r="I451" i="1"/>
  <c r="J451" i="1" s="1"/>
  <c r="I506" i="1"/>
  <c r="J506" i="1" s="1"/>
  <c r="I475" i="1"/>
  <c r="J475" i="1" s="1"/>
  <c r="I497" i="1"/>
  <c r="J497" i="1" s="1"/>
  <c r="I448" i="1"/>
  <c r="I416" i="1"/>
  <c r="J416" i="1" s="1"/>
  <c r="I411" i="1"/>
  <c r="J411" i="1" s="1"/>
  <c r="I359" i="1"/>
  <c r="J359" i="1" s="1"/>
  <c r="I365" i="1"/>
  <c r="J365" i="1" s="1"/>
  <c r="I400" i="1"/>
  <c r="J400" i="1" s="1"/>
  <c r="I296" i="1"/>
  <c r="J296" i="1" s="1"/>
  <c r="I346" i="1"/>
  <c r="J346" i="1" s="1"/>
  <c r="I332" i="1"/>
  <c r="J332" i="1" s="1"/>
  <c r="I325" i="1"/>
  <c r="J325" i="1" s="1"/>
  <c r="I353" i="1"/>
  <c r="J353" i="1" s="1"/>
  <c r="I314" i="1"/>
  <c r="J314" i="1" s="1"/>
  <c r="I238" i="1"/>
  <c r="J238" i="1" s="1"/>
  <c r="I300" i="1"/>
  <c r="J300" i="1" s="1"/>
  <c r="I233" i="1"/>
  <c r="J233" i="1" s="1"/>
  <c r="I215" i="1"/>
  <c r="J215" i="1" s="1"/>
  <c r="I185" i="1"/>
  <c r="J185" i="1" s="1"/>
  <c r="I218" i="1"/>
  <c r="J218" i="1" s="1"/>
  <c r="I173" i="1"/>
  <c r="J173" i="1" s="1"/>
  <c r="I203" i="1"/>
  <c r="J203" i="1" s="1"/>
  <c r="I161" i="1"/>
  <c r="J161" i="1" s="1"/>
  <c r="I101" i="1" a="1"/>
  <c r="I101" i="1" s="1"/>
  <c r="J101" i="1" s="1"/>
  <c r="I155" i="1"/>
  <c r="J155" i="1" s="1"/>
  <c r="I164" i="1"/>
  <c r="J164" i="1" s="1"/>
  <c r="I21" i="1"/>
  <c r="J21" i="1" s="1"/>
  <c r="I125" i="1"/>
  <c r="J125" i="1" s="1"/>
  <c r="I94" i="1"/>
  <c r="J94" i="1" s="1"/>
  <c r="I121" i="1"/>
  <c r="J121" i="1" s="1"/>
  <c r="I112" i="1"/>
  <c r="J112" i="1" s="1"/>
  <c r="I75" i="1"/>
  <c r="J75" i="1" s="1"/>
  <c r="I70" i="1"/>
  <c r="J70" i="1" s="1"/>
  <c r="I4" i="1"/>
  <c r="J4" i="1" s="1"/>
  <c r="J448" i="1" l="1"/>
  <c r="J518" i="1" s="1"/>
  <c r="J5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<sst xmlns="http://schemas.openxmlformats.org/spreadsheetml/2006/main" count="732" uniqueCount="561">
  <si>
    <t>Town Of Avon (Dog)</t>
  </si>
  <si>
    <t>11 Arch Rd</t>
  </si>
  <si>
    <t>Town Of Avon Garage</t>
  </si>
  <si>
    <t>Town Of Avon TWS</t>
  </si>
  <si>
    <t>21 Arch Rd Assoc Inc</t>
  </si>
  <si>
    <t>21 Arch Rd</t>
  </si>
  <si>
    <t>Farmington Valley Arts Center</t>
  </si>
  <si>
    <t>25 Arts Center Lane</t>
  </si>
  <si>
    <t>Farm.valley Arts Center</t>
  </si>
  <si>
    <t>27 Arts Center Lane</t>
  </si>
  <si>
    <t>Avon Town Center LLC</t>
  </si>
  <si>
    <t>23 Arts Center Ct</t>
  </si>
  <si>
    <t>21 Arts Center Lane</t>
  </si>
  <si>
    <t>Avon Town Center Llc</t>
  </si>
  <si>
    <t>19 Brookside Ct</t>
  </si>
  <si>
    <t>19 Brookside Ct - IRR</t>
  </si>
  <si>
    <t>11 Canal Ct</t>
  </si>
  <si>
    <t>8 Canal Ct</t>
  </si>
  <si>
    <t>31 Ensign Dr</t>
  </si>
  <si>
    <t>5 Ensign Dr</t>
  </si>
  <si>
    <t>12 Waterside Ct</t>
  </si>
  <si>
    <t>7 Waterside Ct</t>
  </si>
  <si>
    <t>9 Waterside Ct</t>
  </si>
  <si>
    <t>Avon Town Center LLC - Irrig</t>
  </si>
  <si>
    <t>23 Arts Center Ct - IR</t>
  </si>
  <si>
    <t>Avon Town Center LLC - Irrig.</t>
  </si>
  <si>
    <t>Donna A Finn</t>
  </si>
  <si>
    <t>ADN Properties, LLC</t>
  </si>
  <si>
    <t>30 Avon Meadow Lane</t>
  </si>
  <si>
    <t>Carbray Properties LLC</t>
  </si>
  <si>
    <t>60 Avon Meadow Lane</t>
  </si>
  <si>
    <t>Const Billing &amp; Financial Sv</t>
  </si>
  <si>
    <t>100 Avon Meadow Lane</t>
  </si>
  <si>
    <t>Robert Hensley &amp; Assoc</t>
  </si>
  <si>
    <t>10 Avon Meadow Lane</t>
  </si>
  <si>
    <t>Paul Cryan</t>
  </si>
  <si>
    <t>40 Avon Meadow Lane</t>
  </si>
  <si>
    <t>Redfoot Reaty Holdings LLC</t>
  </si>
  <si>
    <t>50 Avon Meadow Lane</t>
  </si>
  <si>
    <t>Avon Meadow Condo Assoc</t>
  </si>
  <si>
    <t>10 Avon Meadow Lane Ir</t>
  </si>
  <si>
    <t>Corridor Property Mgmt, LLC</t>
  </si>
  <si>
    <t>20 Avon Meadow Lane</t>
  </si>
  <si>
    <t>JBill LLC</t>
  </si>
  <si>
    <t>70/80 Avon Meadow Lane</t>
  </si>
  <si>
    <t>Amtec</t>
  </si>
  <si>
    <t>90 Avon Meadow Lane</t>
  </si>
  <si>
    <t>N</t>
  </si>
  <si>
    <t>Avon Old Farms Hotel</t>
  </si>
  <si>
    <t>279 Avon Mountain Rd</t>
  </si>
  <si>
    <t>279 Avon Mountain Rd -</t>
  </si>
  <si>
    <t>279 Avon Mountain Rd P</t>
  </si>
  <si>
    <t>North House Realty LLC</t>
  </si>
  <si>
    <t>280 Avon Mountain Rd</t>
  </si>
  <si>
    <t>John D'arcangelo</t>
  </si>
  <si>
    <t>4 Bailey Rd</t>
  </si>
  <si>
    <t>Benchmark Gpt Avon, Site#:RRA</t>
  </si>
  <si>
    <t>101 Bickford Dr</t>
  </si>
  <si>
    <t>Heritage at Buckingham</t>
  </si>
  <si>
    <t>30 Buckingham - Clubho</t>
  </si>
  <si>
    <t>Farmington Woods District</t>
  </si>
  <si>
    <t>200 Byron Dr Master As</t>
  </si>
  <si>
    <t>43 Heritage Dr -Clubho</t>
  </si>
  <si>
    <t>Farmington Woods Master Assoc</t>
  </si>
  <si>
    <t>46 Heritage Dr</t>
  </si>
  <si>
    <t>Farmwoods District</t>
  </si>
  <si>
    <t>West Avon Rd -Guard Ho</t>
  </si>
  <si>
    <t>CT DOT</t>
  </si>
  <si>
    <t>3 CHIDSEY</t>
  </si>
  <si>
    <t>Griffin, Guild Llc</t>
  </si>
  <si>
    <t>5 Climax Rd</t>
  </si>
  <si>
    <t>Avon Village Center</t>
  </si>
  <si>
    <t>55 Climax Rd Bldg R1</t>
  </si>
  <si>
    <t>25 Climax Rd Bldg R2</t>
  </si>
  <si>
    <t>60 Market St Bldg R5 M</t>
  </si>
  <si>
    <t>30 Market St Bldg R8</t>
  </si>
  <si>
    <t>Whole Foods Market Group Inc</t>
  </si>
  <si>
    <t>50 Climax Rd Bldg R4</t>
  </si>
  <si>
    <t>Golf Club Of Avon</t>
  </si>
  <si>
    <t>160 Country Club Rd</t>
  </si>
  <si>
    <t>Carmon &amp; Company LLC</t>
  </si>
  <si>
    <t>301 Country Club Rd -</t>
  </si>
  <si>
    <t>412 West Avon Rd Hair</t>
  </si>
  <si>
    <t>Carmon &amp; Company Llc -irr</t>
  </si>
  <si>
    <t>301 Country Club Rd  -</t>
  </si>
  <si>
    <t>Clinton Jambor</t>
  </si>
  <si>
    <t>22 Dale Rd</t>
  </si>
  <si>
    <t>Dr Nicholas Labbadia</t>
  </si>
  <si>
    <t>33 Dale Rd - IRR</t>
  </si>
  <si>
    <t>Dr. Colleen Jambor</t>
  </si>
  <si>
    <t>33 Dale Rd</t>
  </si>
  <si>
    <t>Dr. Sioban Stephen</t>
  </si>
  <si>
    <t>Liberty Bank</t>
  </si>
  <si>
    <t>27 Dale Rd - Deduct Mt</t>
  </si>
  <si>
    <t>27 Dale Rd - Primary M</t>
  </si>
  <si>
    <t>TC&amp;F LLC</t>
  </si>
  <si>
    <t>34 Dale Rd</t>
  </si>
  <si>
    <t>40 Dale Rd LLC</t>
  </si>
  <si>
    <t>40 Dale Rd</t>
  </si>
  <si>
    <t>44 Dale Rd LLC</t>
  </si>
  <si>
    <t>44 Dale Rd</t>
  </si>
  <si>
    <t>OFS Fitel, LLC</t>
  </si>
  <si>
    <t>55 Darling Dr - Deduct</t>
  </si>
  <si>
    <t>55 Darling Dr Cooling</t>
  </si>
  <si>
    <t>55 Darling Dr- Primary</t>
  </si>
  <si>
    <t>Legere Woodworking</t>
  </si>
  <si>
    <t>80 Darling Dr</t>
  </si>
  <si>
    <t>Connecticut On-Line Computer C</t>
  </si>
  <si>
    <t>105 Darling Dr</t>
  </si>
  <si>
    <t>Orafol Americas Inc.</t>
  </si>
  <si>
    <t>120 Darling Dr - Prima</t>
  </si>
  <si>
    <t>Orafol Americas, Inc</t>
  </si>
  <si>
    <t>120 Darling Dr</t>
  </si>
  <si>
    <t>Orafol Americas, Inc. - IRR</t>
  </si>
  <si>
    <t>120 Darling Dr - Deduc</t>
  </si>
  <si>
    <t>135 Darling Dr LLC</t>
  </si>
  <si>
    <t>135 Darling Dr</t>
  </si>
  <si>
    <t>Avon Village Marketplace LLC</t>
  </si>
  <si>
    <t>11 East Main St</t>
  </si>
  <si>
    <t>17 East Main St</t>
  </si>
  <si>
    <t>19 East Main St</t>
  </si>
  <si>
    <t>25 East Main St</t>
  </si>
  <si>
    <t>27 East Main St</t>
  </si>
  <si>
    <t>Decapo Brick Oven Pizza</t>
  </si>
  <si>
    <t>1 East Main St</t>
  </si>
  <si>
    <t>10 E Main St Avon, LLC</t>
  </si>
  <si>
    <t>10 East Main St</t>
  </si>
  <si>
    <t>Cherryfield Properties LLC</t>
  </si>
  <si>
    <t>20 East Main St</t>
  </si>
  <si>
    <t>Flagman Of America</t>
  </si>
  <si>
    <t>22 East Main St</t>
  </si>
  <si>
    <t>Owl Hollow Realty</t>
  </si>
  <si>
    <t>24 East Main St</t>
  </si>
  <si>
    <t>BAS Real Estate Holdings LLC</t>
  </si>
  <si>
    <t>28 East Main St</t>
  </si>
  <si>
    <t>30 East Main LLC</t>
  </si>
  <si>
    <t>30 East Main St</t>
  </si>
  <si>
    <t>32 East Main LLC</t>
  </si>
  <si>
    <t>32 East Main St</t>
  </si>
  <si>
    <t>29 East Main St</t>
  </si>
  <si>
    <t>31 East Main St</t>
  </si>
  <si>
    <t>33 East Main St</t>
  </si>
  <si>
    <t>35 East Main St</t>
  </si>
  <si>
    <t>37 East Main St</t>
  </si>
  <si>
    <t>39 East Main St</t>
  </si>
  <si>
    <t>41 East Main St</t>
  </si>
  <si>
    <t>45 East Main St</t>
  </si>
  <si>
    <t>Applewoods Llc</t>
  </si>
  <si>
    <t>51 East Main St</t>
  </si>
  <si>
    <t>51 East Main St - Dedu</t>
  </si>
  <si>
    <t>51 East Main St - Prim</t>
  </si>
  <si>
    <t>The Elephant Trail Rest.</t>
  </si>
  <si>
    <t>85 East Main St</t>
  </si>
  <si>
    <t>Gifts Of Love</t>
  </si>
  <si>
    <t>34 East Main St</t>
  </si>
  <si>
    <t>Avon Medical Professionals LLC</t>
  </si>
  <si>
    <t>36 East Main St</t>
  </si>
  <si>
    <t>Avon Properties LLC</t>
  </si>
  <si>
    <t>56 East Main St</t>
  </si>
  <si>
    <t>Avon Properties, LLC</t>
  </si>
  <si>
    <t>60 East Main St</t>
  </si>
  <si>
    <t>80 East Main Store, LLC</t>
  </si>
  <si>
    <t>80 East Main St</t>
  </si>
  <si>
    <t>United States Postal Service</t>
  </si>
  <si>
    <t>15 Enford St</t>
  </si>
  <si>
    <t>16 Ensign Dr</t>
  </si>
  <si>
    <t>44 West Main St</t>
  </si>
  <si>
    <t>38 West Main St  - Ded</t>
  </si>
  <si>
    <t>38 West Main St  - Pri</t>
  </si>
  <si>
    <t>Avon Town Center, LLC</t>
  </si>
  <si>
    <t>32 West Main St</t>
  </si>
  <si>
    <t>HTA-80 Fisher, LLC #150416</t>
  </si>
  <si>
    <t>80 Fischer Dr - Primar</t>
  </si>
  <si>
    <t>80 Fisher Dr -Medical</t>
  </si>
  <si>
    <t>HCR Manorcare Prop LLC, Site</t>
  </si>
  <si>
    <t>100 Fisher Dr</t>
  </si>
  <si>
    <t>HCR Manorcare Prop LLC, Site 6</t>
  </si>
  <si>
    <t>Farmington Academy Inc</t>
  </si>
  <si>
    <t>150 Fisher Dr  - Deduc</t>
  </si>
  <si>
    <t>150 Fisher Dr - Primar</t>
  </si>
  <si>
    <t>Apn Associates</t>
  </si>
  <si>
    <t>200 Fisher Dr</t>
  </si>
  <si>
    <t>Avon Volunteer Fire Dept.</t>
  </si>
  <si>
    <t>365 Huckleberry Hill R</t>
  </si>
  <si>
    <t>Hunters Run Tax District</t>
  </si>
  <si>
    <t>Hunters Run Gate House</t>
  </si>
  <si>
    <t>1 Huntington Glen Club</t>
  </si>
  <si>
    <t>Connemara Court Alsop</t>
  </si>
  <si>
    <t>27 Nod Rd</t>
  </si>
  <si>
    <t>Connemara Court, LLC</t>
  </si>
  <si>
    <t>35 Nod Rd</t>
  </si>
  <si>
    <t>Nod Properties Llc</t>
  </si>
  <si>
    <t>55 Nod Rd - Primary Mt</t>
  </si>
  <si>
    <t>Blue Fox Run - Clubhouse</t>
  </si>
  <si>
    <t>65 Nod Rd - Deduct Mtr</t>
  </si>
  <si>
    <t>Blue Fox Run - Maint Barn</t>
  </si>
  <si>
    <t>65 Nod Rd -Primary Mtr</t>
  </si>
  <si>
    <t>Oldcastle Precast Inc.</t>
  </si>
  <si>
    <t>151 Old Farms Rd</t>
  </si>
  <si>
    <t>Oldcastle Precast Inc</t>
  </si>
  <si>
    <t>154 Old Farms Rd</t>
  </si>
  <si>
    <t>Extra Space Management Inc</t>
  </si>
  <si>
    <t>174 Old Farms Rd Emplo</t>
  </si>
  <si>
    <t>Jennifer Centofanti</t>
  </si>
  <si>
    <t>190 Old Farms Rd</t>
  </si>
  <si>
    <t>Cornerstone Landing</t>
  </si>
  <si>
    <t>205 Old Farms Rd A Hou</t>
  </si>
  <si>
    <t>205 Old Farms Rd B</t>
  </si>
  <si>
    <t>Small State Provisions</t>
  </si>
  <si>
    <t>Avon Old Farms School</t>
  </si>
  <si>
    <t>500 Old Farms Rd</t>
  </si>
  <si>
    <t>My Dog's Daycare Llc</t>
  </si>
  <si>
    <t>18 Sandscreen Rd</t>
  </si>
  <si>
    <t>AVON FIRE</t>
  </si>
  <si>
    <t>20 Security Dr Avon LLC</t>
  </si>
  <si>
    <t>20 Security Dr</t>
  </si>
  <si>
    <t>CREC Academy of the Arts</t>
  </si>
  <si>
    <t>Pmp Corp</t>
  </si>
  <si>
    <t>25 Security Dr - Deduc</t>
  </si>
  <si>
    <t>25 Security Dr - Prima</t>
  </si>
  <si>
    <t>Board Of Education</t>
  </si>
  <si>
    <t>30 Old Wheeler Lane</t>
  </si>
  <si>
    <t>Norwich Commercial Group Inc</t>
  </si>
  <si>
    <t>38 Security Dr - Prima</t>
  </si>
  <si>
    <t>Norwich Commercial Grp Inc</t>
  </si>
  <si>
    <t>38 Security Dr - Deduc</t>
  </si>
  <si>
    <t>JKY LLC</t>
  </si>
  <si>
    <t>2 Simsbury Rd</t>
  </si>
  <si>
    <t>TREND OFFSET PRINTING</t>
  </si>
  <si>
    <t>0Mittera Group Inc</t>
  </si>
  <si>
    <t>Avon Public Works</t>
  </si>
  <si>
    <t>34 Simsbury Rd</t>
  </si>
  <si>
    <t>Brighenti Family Wellness</t>
  </si>
  <si>
    <t>100 Simsbury Rd - Prim</t>
  </si>
  <si>
    <t>Commercial Prop Adv Llc</t>
  </si>
  <si>
    <t>100 Simsbury Rd - Dedu</t>
  </si>
  <si>
    <t>Healthtrax - Avon</t>
  </si>
  <si>
    <t>100 Simsbury Rd</t>
  </si>
  <si>
    <t>Northwest Community Bank</t>
  </si>
  <si>
    <t>101 Simsbury Rd</t>
  </si>
  <si>
    <t>The Residence At Brookside</t>
  </si>
  <si>
    <t>117 Simsbury Rd - Dedu</t>
  </si>
  <si>
    <t>117 Simsbury Rd - prim</t>
  </si>
  <si>
    <t>DH 139 Simsbury Rd LLC</t>
  </si>
  <si>
    <t>139 Simsbury Rd</t>
  </si>
  <si>
    <t>Avon Office Commons Assoc.</t>
  </si>
  <si>
    <t>111 Simsbury Rd</t>
  </si>
  <si>
    <t>Avon Clock &amp; Lighting</t>
  </si>
  <si>
    <t>144 Simsbury Rd</t>
  </si>
  <si>
    <t>146 Simsbury Rd</t>
  </si>
  <si>
    <t>Avon Wines &amp; Spirits</t>
  </si>
  <si>
    <t>BAM PT and Wellness Center</t>
  </si>
  <si>
    <t>152 Simsbury Rd</t>
  </si>
  <si>
    <t>Body Over Bike</t>
  </si>
  <si>
    <t>136 Simsbury Rd Bld 16</t>
  </si>
  <si>
    <t>Bounom Limited Liability Co</t>
  </si>
  <si>
    <t>136 Simsbury Rd bldg 1</t>
  </si>
  <si>
    <t>Brownbear And Owl Holistic LLC</t>
  </si>
  <si>
    <t>136 Simsbury Rd (2A)</t>
  </si>
  <si>
    <t>120 Simsbury Rd</t>
  </si>
  <si>
    <t>Creative Development LLC</t>
  </si>
  <si>
    <t>136 Simsbury Rd 5B</t>
  </si>
  <si>
    <t>Educational Playcare</t>
  </si>
  <si>
    <t>140 Simsbury Rd</t>
  </si>
  <si>
    <t>Educational Playcare  #7</t>
  </si>
  <si>
    <t>Educational Playcare #19</t>
  </si>
  <si>
    <t>Educational Playcare #7</t>
  </si>
  <si>
    <t>Educational Playcare #8</t>
  </si>
  <si>
    <t>Raimie H Weber LLC</t>
  </si>
  <si>
    <t>136 Simsbury Rd</t>
  </si>
  <si>
    <t>Riverdale Farms</t>
  </si>
  <si>
    <t>146 Simsbury Rd - #7 I</t>
  </si>
  <si>
    <t>136 Simsbury Rd Bldg 1</t>
  </si>
  <si>
    <t>136 Simsbury Rd Bldg 4</t>
  </si>
  <si>
    <t>Riverdale Farms (#19 Irr)</t>
  </si>
  <si>
    <t>152 Simsbury Rd - #19</t>
  </si>
  <si>
    <t>Riverdale Farms -(#9 Irr)</t>
  </si>
  <si>
    <t>152 Simsbury Rd - #9 -</t>
  </si>
  <si>
    <t>Riverdale Farms (Bakery)</t>
  </si>
  <si>
    <t>Riverdale Farms (bld 14 Apt.)</t>
  </si>
  <si>
    <t>Riverdale Farms (bld 5A)</t>
  </si>
  <si>
    <t>136 Simsbury Rd Ste 2B</t>
  </si>
  <si>
    <t>Riverdale Farms (Foresight)</t>
  </si>
  <si>
    <t>Riverdale Farms (irr#3)</t>
  </si>
  <si>
    <t>140 Simsbury Rd - #3 -</t>
  </si>
  <si>
    <t>Riverdale Farms (offices)</t>
  </si>
  <si>
    <t>Riverdale Farms IR #6</t>
  </si>
  <si>
    <t>136 Simsbury Rd - IRR</t>
  </si>
  <si>
    <t>Riverdale Farms Irr 14</t>
  </si>
  <si>
    <t>136 Simsbury Rd - Bld</t>
  </si>
  <si>
    <t>RSB78 LLC</t>
  </si>
  <si>
    <t>Simply Eventful LLC</t>
  </si>
  <si>
    <t>136 Simsbury Rd  Hairl</t>
  </si>
  <si>
    <t>Somewhere in Bangkok</t>
  </si>
  <si>
    <t>Toshi Japanese Restaurant</t>
  </si>
  <si>
    <t>0Ekkalak Thai Cuisine</t>
  </si>
  <si>
    <t>0Little City Pizza</t>
  </si>
  <si>
    <t>0The Lime Bar</t>
  </si>
  <si>
    <t>152 Simsbury Rd Bathro</t>
  </si>
  <si>
    <t>0Lux Hair Co.</t>
  </si>
  <si>
    <t>0Koster Family Chiropractic</t>
  </si>
  <si>
    <t>0Avon Country Deli LLC</t>
  </si>
  <si>
    <t>0Raimie H Weber LLC</t>
  </si>
  <si>
    <t>0Be.Yoga In Avon LLC</t>
  </si>
  <si>
    <t>0Elizabeth Nicole Wake Studio</t>
  </si>
  <si>
    <t>AD1 Avon Hotels, LLC</t>
  </si>
  <si>
    <t>55 Simsbury Rd</t>
  </si>
  <si>
    <t>55 Simsbury Rd - Deduc</t>
  </si>
  <si>
    <t>55 Simsbury Rd - Prima</t>
  </si>
  <si>
    <t>Board Of Ed.(5/6 School)</t>
  </si>
  <si>
    <t>150 Thompson Rd</t>
  </si>
  <si>
    <t>Thompson Brook School BOE</t>
  </si>
  <si>
    <t>ENE Realty Assoc</t>
  </si>
  <si>
    <t>10 Tower Lane The Offi</t>
  </si>
  <si>
    <t>ENE Realty Assoc., Llc</t>
  </si>
  <si>
    <t>20 Tower Lane CGFM Tow</t>
  </si>
  <si>
    <t>ENE Realty Assoc LLC</t>
  </si>
  <si>
    <t>30 Tower Lane The Offi</t>
  </si>
  <si>
    <t>40 Tower Lane, LLC</t>
  </si>
  <si>
    <t>40 Tower Lane Prim</t>
  </si>
  <si>
    <t>50 Tower, LLC</t>
  </si>
  <si>
    <t>50 Tower Lane</t>
  </si>
  <si>
    <t>Secure Financial Properties,</t>
  </si>
  <si>
    <t>7 Towpath Lane</t>
  </si>
  <si>
    <t>Botanicals Day Spa</t>
  </si>
  <si>
    <t>9 Waterville Rd</t>
  </si>
  <si>
    <t>Connemara Court LLC</t>
  </si>
  <si>
    <t>45 Nod Rd - Primary Mt</t>
  </si>
  <si>
    <t>Waterville Rd LLC</t>
  </si>
  <si>
    <t>22 Waterville Rd - Ded</t>
  </si>
  <si>
    <t>22 Waterville Rd - Pri</t>
  </si>
  <si>
    <t>Twenty Nine Waterville LLC</t>
  </si>
  <si>
    <t>29 Waterville Rd</t>
  </si>
  <si>
    <t>Connecticut Eye Center</t>
  </si>
  <si>
    <t>35 Waterville Rd</t>
  </si>
  <si>
    <t>Path LLC</t>
  </si>
  <si>
    <t>40 Waterville Rd</t>
  </si>
  <si>
    <t>Capitol Reg Educ Council</t>
  </si>
  <si>
    <t>59 Waterville Rd</t>
  </si>
  <si>
    <t>Dr.Timothy Owens, LLC</t>
  </si>
  <si>
    <t>12 West Avon Rd</t>
  </si>
  <si>
    <t>Petco Animal Supply #1813</t>
  </si>
  <si>
    <t>9 West Avon Rd</t>
  </si>
  <si>
    <t>Puerto Vallarta Resturant</t>
  </si>
  <si>
    <t>15 West Avon Rd - Prim</t>
  </si>
  <si>
    <t>Simsbury Turnpike Realty, LLC</t>
  </si>
  <si>
    <t>15 West Avon Rd - Dedu</t>
  </si>
  <si>
    <t>MyEyeDr Optometry of Ct LLC</t>
  </si>
  <si>
    <t>18 West Avon Rd</t>
  </si>
  <si>
    <t>Avon Dental Group</t>
  </si>
  <si>
    <t>20 West Avon Rd</t>
  </si>
  <si>
    <t>Alex Agatep</t>
  </si>
  <si>
    <t>46 West Avon Rd</t>
  </si>
  <si>
    <t>Dr. Nicholas Labbadia</t>
  </si>
  <si>
    <t>Holdings DAC, LLC</t>
  </si>
  <si>
    <t>Dialysis Clinic</t>
  </si>
  <si>
    <t>54 West Avon Rd 101 Mt</t>
  </si>
  <si>
    <t>Brighenti Enterprises</t>
  </si>
  <si>
    <t>395 West Avon Rd</t>
  </si>
  <si>
    <t>Luke's Donut Shop</t>
  </si>
  <si>
    <t>Your Corner Store, LLC</t>
  </si>
  <si>
    <t>American Eagle Financial Credi</t>
  </si>
  <si>
    <t>427 West Avon Rd Unit</t>
  </si>
  <si>
    <t>Cheers2u</t>
  </si>
  <si>
    <t>Icon Salon</t>
  </si>
  <si>
    <t>Lovely Nails &amp;Spa LLC</t>
  </si>
  <si>
    <t>Pizzeria Davinci LLC</t>
  </si>
  <si>
    <t>West Avon LLC</t>
  </si>
  <si>
    <t>427 West Avon Rd - IRR</t>
  </si>
  <si>
    <t>West Avon Fire House #3</t>
  </si>
  <si>
    <t>490 West Avon Rd</t>
  </si>
  <si>
    <t>Avon High School BOE</t>
  </si>
  <si>
    <t>510 West Avon Rd</t>
  </si>
  <si>
    <t>510 West Avon Rd - IRR</t>
  </si>
  <si>
    <t>Town of Avon Athl Flds BOE</t>
  </si>
  <si>
    <t>Valley Com. Baptist Church</t>
  </si>
  <si>
    <t>590 West Avon Rd</t>
  </si>
  <si>
    <t>Valley Community Baptist Churc</t>
  </si>
  <si>
    <t>Avon Convalescent Home</t>
  </si>
  <si>
    <t>652 West Avon Rd - Pri</t>
  </si>
  <si>
    <t>Avon Convalescent Home Irrigat</t>
  </si>
  <si>
    <t>652 West Avon Rd - Ded</t>
  </si>
  <si>
    <t>O'Neill's Chevy &amp; Buick Inc</t>
  </si>
  <si>
    <t>5 West Main St</t>
  </si>
  <si>
    <t>The Masters Corp</t>
  </si>
  <si>
    <t>11 West Main St</t>
  </si>
  <si>
    <t>Avon Cong Church</t>
  </si>
  <si>
    <t>12 West Main St</t>
  </si>
  <si>
    <t>Dom's Coffee, LLC</t>
  </si>
  <si>
    <t>16 West Main St</t>
  </si>
  <si>
    <t>Mgn Co LLC</t>
  </si>
  <si>
    <t>17 W Main St Assoc LLC</t>
  </si>
  <si>
    <t>17 West Main St</t>
  </si>
  <si>
    <t>MAG LLC</t>
  </si>
  <si>
    <t>20 West Main St</t>
  </si>
  <si>
    <t>The Coffee Trade Inc</t>
  </si>
  <si>
    <t>21 West Main St</t>
  </si>
  <si>
    <t>First &amp; Last Tavern, Avon</t>
  </si>
  <si>
    <t>24 West Main St</t>
  </si>
  <si>
    <t>24 West Main St - Prim</t>
  </si>
  <si>
    <t>Lorenzo Diclemente</t>
  </si>
  <si>
    <t>29 West Main St Bld 1</t>
  </si>
  <si>
    <t>29 West Main St Bld 2</t>
  </si>
  <si>
    <t>29 West Main St Bld. 3</t>
  </si>
  <si>
    <t>29 West Main St Bldg 1</t>
  </si>
  <si>
    <t>37 West Main St</t>
  </si>
  <si>
    <t>JOSEPH &amp; IRENE GENTILE #2</t>
  </si>
  <si>
    <t>Avon Central LLC</t>
  </si>
  <si>
    <t>43 West Main St - IRR</t>
  </si>
  <si>
    <t>43 West Main St - Prim</t>
  </si>
  <si>
    <t>Avon Allies</t>
  </si>
  <si>
    <t>45 West Main St</t>
  </si>
  <si>
    <t>Drew &amp; Cohen</t>
  </si>
  <si>
    <t>47 West Main St</t>
  </si>
  <si>
    <t>49 West Main St</t>
  </si>
  <si>
    <t>Public Works (green)</t>
  </si>
  <si>
    <t>60 West Main St</t>
  </si>
  <si>
    <t>Town of Avon</t>
  </si>
  <si>
    <t>60 West Main St  Bldg</t>
  </si>
  <si>
    <t>Town Of Avon</t>
  </si>
  <si>
    <t>60 West Main St - Poli</t>
  </si>
  <si>
    <t>60 West Main St Bldg 6</t>
  </si>
  <si>
    <t>60 West Main St Bldg 8</t>
  </si>
  <si>
    <t>60 West Main St Bldg1</t>
  </si>
  <si>
    <t>Town Of Avon (Bld 5)</t>
  </si>
  <si>
    <t>60 West Main St Bldg 5</t>
  </si>
  <si>
    <t>Marlene Jung Assoc</t>
  </si>
  <si>
    <t>112 West Main St</t>
  </si>
  <si>
    <t>F &amp; L Associates</t>
  </si>
  <si>
    <t>166 West Main St</t>
  </si>
  <si>
    <t>172 West Main LLC</t>
  </si>
  <si>
    <t>172 W Main St Prud Bld</t>
  </si>
  <si>
    <t>172 West Main St - Ded</t>
  </si>
  <si>
    <t>Stephan Brothers Realty</t>
  </si>
  <si>
    <t>177 West Main St</t>
  </si>
  <si>
    <t>Leibert Family Ltd Part</t>
  </si>
  <si>
    <t>192 West Main St</t>
  </si>
  <si>
    <t>Rosie's Laundry</t>
  </si>
  <si>
    <t>Four Square Associates</t>
  </si>
  <si>
    <t>195 West Main St</t>
  </si>
  <si>
    <t>DP1 LLC</t>
  </si>
  <si>
    <t>200 West Main St</t>
  </si>
  <si>
    <t>E &amp; D Pizza Co LLC</t>
  </si>
  <si>
    <t>200 West Main St B</t>
  </si>
  <si>
    <t>David Kelly LLC</t>
  </si>
  <si>
    <t>209 West Main St</t>
  </si>
  <si>
    <t>Deepwater Lobster</t>
  </si>
  <si>
    <t>210 West Main St</t>
  </si>
  <si>
    <t>Rivers Edge Mediterranean Cuis</t>
  </si>
  <si>
    <t>K Brothers LLC</t>
  </si>
  <si>
    <t>213 West Main St</t>
  </si>
  <si>
    <t>M R Liquors</t>
  </si>
  <si>
    <t>214 West Main St</t>
  </si>
  <si>
    <t>Lawrence Brunoli Inc</t>
  </si>
  <si>
    <t>220 West Main St</t>
  </si>
  <si>
    <t>Enterprise Rent-a-car</t>
  </si>
  <si>
    <t>224 West Main St</t>
  </si>
  <si>
    <t>Keybank, Na</t>
  </si>
  <si>
    <t>232 West Main St</t>
  </si>
  <si>
    <t>Bank Of America</t>
  </si>
  <si>
    <t>240 West Main St</t>
  </si>
  <si>
    <t>Town Fair Tire Ctrs Of Ct</t>
  </si>
  <si>
    <t>248 West Main St</t>
  </si>
  <si>
    <t>Sunset Of Avon, LLC</t>
  </si>
  <si>
    <t>260 West Main St</t>
  </si>
  <si>
    <t>255 West Main LLC</t>
  </si>
  <si>
    <t>255 West Main St - IRR</t>
  </si>
  <si>
    <t>255 West Main St-Prima</t>
  </si>
  <si>
    <t>Big Y Grocery, Site #53</t>
  </si>
  <si>
    <t>255 West Main St - Ded</t>
  </si>
  <si>
    <t>255 West Main St - Pri</t>
  </si>
  <si>
    <t>Five Guys Operations LLC #74</t>
  </si>
  <si>
    <t>GTGCT Avon, LLC</t>
  </si>
  <si>
    <t>Shu Express</t>
  </si>
  <si>
    <t>TD Bank</t>
  </si>
  <si>
    <t>255 West Main St</t>
  </si>
  <si>
    <t>Walmart #01-2899</t>
  </si>
  <si>
    <t>0Green Bamboo</t>
  </si>
  <si>
    <t>Russell Speeders Car Wash</t>
  </si>
  <si>
    <t>265 West Main St - Ded</t>
  </si>
  <si>
    <t>265 West Main St - Pri</t>
  </si>
  <si>
    <t>290 Clipper Center LLC</t>
  </si>
  <si>
    <t>290 West Main St</t>
  </si>
  <si>
    <t>Dp3 LLC</t>
  </si>
  <si>
    <t>300 West Main St</t>
  </si>
  <si>
    <t>DP3 LLC</t>
  </si>
  <si>
    <t>300 West Main St -  IR</t>
  </si>
  <si>
    <t>Fish Enterprises</t>
  </si>
  <si>
    <t>302 West Main St</t>
  </si>
  <si>
    <t>Farmington Savings Bank</t>
  </si>
  <si>
    <t>310 West Main St</t>
  </si>
  <si>
    <t>443400 TJX Co, MS#1</t>
  </si>
  <si>
    <t>315 West Main St 115</t>
  </si>
  <si>
    <t>443400 Tjx Co, Ms#1</t>
  </si>
  <si>
    <t>Akana Holdings dba Great Clips</t>
  </si>
  <si>
    <t>315 West Main St 106</t>
  </si>
  <si>
    <t>Lane Bryant #4811, LLC</t>
  </si>
  <si>
    <t>315 West Main St 113</t>
  </si>
  <si>
    <t>Michael's Ms #2</t>
  </si>
  <si>
    <t>315 West Main St 121</t>
  </si>
  <si>
    <t>Nod Brook Investors, LLC</t>
  </si>
  <si>
    <t>315 West Main St</t>
  </si>
  <si>
    <t>315 West Main St 109</t>
  </si>
  <si>
    <t>Nod Brook LLC</t>
  </si>
  <si>
    <t>Nod Brook Llc (pul)</t>
  </si>
  <si>
    <t>Nod Brook, Llc (bakerdoz)</t>
  </si>
  <si>
    <t>315 West Main St 103</t>
  </si>
  <si>
    <t>Nod Brook, Llc (top Nail)</t>
  </si>
  <si>
    <t>315 West Main St 105</t>
  </si>
  <si>
    <t>THE FRESH MARKET #127</t>
  </si>
  <si>
    <t>Lexham Avon LLC</t>
  </si>
  <si>
    <t>320 West Main St - Tri</t>
  </si>
  <si>
    <t>Schwabs Super Cellar Liquors,</t>
  </si>
  <si>
    <t>332 West Main St</t>
  </si>
  <si>
    <t>Market Place Kitchen &amp; Bar</t>
  </si>
  <si>
    <t>336 West Main St</t>
  </si>
  <si>
    <t>339 West Main St</t>
  </si>
  <si>
    <t>Friendly's Restaurant Co, LLC</t>
  </si>
  <si>
    <t>347 West Main St</t>
  </si>
  <si>
    <t>Gold-borg Associates</t>
  </si>
  <si>
    <t>353 West Main St</t>
  </si>
  <si>
    <t>CVS #1180</t>
  </si>
  <si>
    <t>358 West Main St</t>
  </si>
  <si>
    <t>CVS #1180-02</t>
  </si>
  <si>
    <t>Battiston's Cleaners</t>
  </si>
  <si>
    <t>369 West Main St - Pri</t>
  </si>
  <si>
    <t>Deacon Donald Battiston Trust</t>
  </si>
  <si>
    <t>369 West Main St - Ded</t>
  </si>
  <si>
    <t>Avon Marketplace</t>
  </si>
  <si>
    <t>380 West Main St - Irr</t>
  </si>
  <si>
    <t>380 West Main St - New</t>
  </si>
  <si>
    <t>380 West Main St- Prim</t>
  </si>
  <si>
    <t>Bertucci's</t>
  </si>
  <si>
    <t>380 West Main St</t>
  </si>
  <si>
    <t>Cass Information Systems</t>
  </si>
  <si>
    <t>Starbucks, Site #075</t>
  </si>
  <si>
    <t>Verizon Wireless, Site# 90377</t>
  </si>
  <si>
    <t>380 West Main St - Ded</t>
  </si>
  <si>
    <t>Hartford Healthcare - Urgent C</t>
  </si>
  <si>
    <t>385 West Main St</t>
  </si>
  <si>
    <t>Liki Sushi</t>
  </si>
  <si>
    <t>Savin Brands LLC</t>
  </si>
  <si>
    <t>Sport Clips</t>
  </si>
  <si>
    <t>The Shops at Dale Corner</t>
  </si>
  <si>
    <t>385 West Main St Dale</t>
  </si>
  <si>
    <t>Nova Center Co.</t>
  </si>
  <si>
    <t>395 West Main St</t>
  </si>
  <si>
    <t>Vrakas LLC</t>
  </si>
  <si>
    <t>401 West Main St</t>
  </si>
  <si>
    <t>Horizon Petroleum LLC</t>
  </si>
  <si>
    <t>411 West Main St</t>
  </si>
  <si>
    <t>Smart Foods of Avon Inc</t>
  </si>
  <si>
    <t>FRED PATTON</t>
  </si>
  <si>
    <t>145 Simsbury Rd</t>
  </si>
  <si>
    <t>RES</t>
  </si>
  <si>
    <t>21 Waterville Rd</t>
  </si>
  <si>
    <t>Avon Historical</t>
  </si>
  <si>
    <t>8 East Main St</t>
  </si>
  <si>
    <t>Soveriegn Poperties</t>
  </si>
  <si>
    <t>147 Simsbury Rd</t>
  </si>
  <si>
    <t>106 West Avon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</si>
</sst>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3" fontId="0" fillId="0" borderId="0" xfId="0" applyNumberFormat="1"/>
    <xf numFmtId="0" fontId="0" fillId="2" borderId="0" xfId="0" applyFill="1"/>
    <xf numFmtId="1" fontId="0" fillId="3" borderId="0" xfId="0" applyNumberFormat="1" applyFill="1" applyAlignment="1">
      <alignment vertical="top"/>
    </xf>
    <xf numFmtId="0" fontId="0" fillId="3" borderId="0" xfId="0" applyFill="1"/>
    <xf numFmtId="3" fontId="0" fillId="3" borderId="0" xfId="0" applyNumberFormat="1" applyFill="1" applyAlignment="1">
      <alignment vertical="top"/>
    </xf>
    <xf numFmtId="3" fontId="0" fillId="3" borderId="0" xfId="0" applyNumberFormat="1" applyFill="1"/>
    <xf numFmtId="0" fontId="1" fillId="4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5" borderId="1" xfId="0" applyFill="1" applyBorder="1"/>
    <xf numFmtId="0" fontId="0" fillId="5" borderId="0" xfId="0" applyFill="1"/>
    <xf numFmtId="0" fontId="0" fillId="6" borderId="0" xfId="0" applyFill="1"/>
    <xf numFmtId="1" fontId="0" fillId="5" borderId="0" xfId="0" applyNumberFormat="1" applyFill="1" applyAlignment="1">
      <alignment vertical="top"/>
    </xf>
    <xf numFmtId="3" fontId="0" fillId="5" borderId="0" xfId="0" applyNumberFormat="1" applyFill="1" applyAlignment="1">
      <alignment vertical="top"/>
    </xf>
    <xf numFmtId="1" fontId="0" fillId="7" borderId="0" xfId="0" applyNumberFormat="1" applyFill="1" applyAlignment="1">
      <alignment vertical="top"/>
    </xf>
    <xf numFmtId="3" fontId="0" fillId="5" borderId="0" xfId="0" applyNumberFormat="1" applyFill="1"/>
    <xf numFmtId="3" fontId="0" fillId="4" borderId="0" xfId="0" applyNumberFormat="1" applyFill="1"/>
    <xf numFmtId="0" fontId="1" fillId="4" borderId="0" xfId="0" applyFont="1" applyFill="1"/>
    <xf numFmtId="0" fontId="0" fillId="4" borderId="0" xfId="0" applyFill="1"/>
    <xf numFmtId="0" fontId="0" fillId="7" borderId="0" xfId="0" applyFill="1"/>
    <xf numFmtId="164" fontId="0" fillId="0" borderId="0" xfId="0" applyNumberFormat="1"/>
    <xf numFmtId="164" fontId="0" fillId="5" borderId="0" xfId="0" applyNumberFormat="1" applyFill="1"/>
    <xf numFmtId="164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7442-E147-44F1-A099-78835A6644E6}">
  <dimension ref="A2:M520"/>
  <sheetViews>
    <sheetView tabSelected="1" workbookViewId="0">
      <selection activeCell="I4" sqref="I4"/>
    </sheetView>
  </sheetViews>
  <sheetFormatPr defaultRowHeight="15" x14ac:dyDescent="0.25"/>
  <cols>
    <col min="2" max="2" width="30.7109375" customWidth="1"/>
    <col min="3" max="3" width="30" customWidth="1"/>
    <col min="9" max="9" width="12" bestFit="1" customWidth="1"/>
    <col min="10" max="10" width="12" style="23" customWidth="1"/>
    <col min="12" max="12" width="9.5703125" style="23" bestFit="1" customWidth="1"/>
  </cols>
  <sheetData>
    <row r="2" spans="1:12" x14ac:dyDescent="0.25">
      <c r="A2" s="1">
        <v>1090011</v>
      </c>
      <c r="B2" t="s">
        <v>0</v>
      </c>
      <c r="C2" t="s">
        <v>1</v>
      </c>
      <c r="D2" s="2">
        <v>0</v>
      </c>
      <c r="E2" s="2">
        <v>1</v>
      </c>
      <c r="F2" s="2">
        <v>0</v>
      </c>
      <c r="G2" s="2">
        <v>0</v>
      </c>
      <c r="H2" s="3">
        <f>SUM(D2:G2)</f>
        <v>1</v>
      </c>
    </row>
    <row r="3" spans="1:12" x14ac:dyDescent="0.25">
      <c r="A3" s="1">
        <v>1090011</v>
      </c>
      <c r="B3" t="s">
        <v>2</v>
      </c>
      <c r="C3" t="s">
        <v>1</v>
      </c>
      <c r="D3" s="2">
        <v>10</v>
      </c>
      <c r="E3" s="2">
        <v>84</v>
      </c>
      <c r="F3" s="2">
        <v>64</v>
      </c>
      <c r="G3" s="2">
        <v>13</v>
      </c>
      <c r="H3" s="3">
        <f t="shared" ref="H3:H66" si="0">SUM(D3:G3)</f>
        <v>171</v>
      </c>
    </row>
    <row r="4" spans="1:12" x14ac:dyDescent="0.25">
      <c r="A4" s="1">
        <v>1090011</v>
      </c>
      <c r="B4" t="s">
        <v>3</v>
      </c>
      <c r="C4" t="s">
        <v>1</v>
      </c>
      <c r="D4" s="2">
        <v>31</v>
      </c>
      <c r="E4" s="2">
        <v>23</v>
      </c>
      <c r="F4" s="2">
        <v>31</v>
      </c>
      <c r="G4" s="2">
        <v>91</v>
      </c>
      <c r="H4" s="3">
        <f t="shared" si="0"/>
        <v>176</v>
      </c>
      <c r="I4" s="3">
        <f>SUM(H2:H4)</f>
        <v>348</v>
      </c>
      <c r="J4" s="23">
        <f>SUM(I4*1000)/76650</f>
        <v>4.5401174168297453</v>
      </c>
      <c r="K4">
        <v>318</v>
      </c>
      <c r="L4" s="23">
        <f>SUM(K4*1000)/76650</f>
        <v>4.1487279843444229</v>
      </c>
    </row>
    <row r="5" spans="1:12" x14ac:dyDescent="0.25">
      <c r="H5" s="3">
        <f t="shared" si="0"/>
        <v>0</v>
      </c>
    </row>
    <row r="6" spans="1:12" x14ac:dyDescent="0.25">
      <c r="A6" s="1">
        <v>1090021</v>
      </c>
      <c r="B6" t="s">
        <v>4</v>
      </c>
      <c r="C6" t="s">
        <v>5</v>
      </c>
      <c r="D6" s="2">
        <v>7</v>
      </c>
      <c r="E6" s="2">
        <v>9</v>
      </c>
      <c r="F6" s="2">
        <v>6</v>
      </c>
      <c r="G6" s="2">
        <v>9</v>
      </c>
      <c r="H6" s="3">
        <f t="shared" si="0"/>
        <v>31</v>
      </c>
      <c r="I6" s="2">
        <v>76650</v>
      </c>
      <c r="J6" s="23">
        <v>1</v>
      </c>
      <c r="K6">
        <v>76650</v>
      </c>
      <c r="L6" s="23">
        <v>1</v>
      </c>
    </row>
    <row r="7" spans="1:12" x14ac:dyDescent="0.25">
      <c r="A7" s="1"/>
      <c r="D7" s="2"/>
      <c r="E7" s="2"/>
      <c r="F7" s="2"/>
      <c r="G7" s="2"/>
      <c r="H7" s="3"/>
    </row>
    <row r="8" spans="1:12" x14ac:dyDescent="0.25">
      <c r="A8" s="1">
        <v>2210021</v>
      </c>
      <c r="B8" t="s">
        <v>10</v>
      </c>
      <c r="C8" t="s">
        <v>11</v>
      </c>
      <c r="D8" s="2">
        <v>7</v>
      </c>
      <c r="E8" s="2">
        <v>8</v>
      </c>
      <c r="F8" s="2">
        <v>7</v>
      </c>
      <c r="G8" s="2">
        <v>6</v>
      </c>
      <c r="H8" s="3">
        <f t="shared" si="0"/>
        <v>28</v>
      </c>
    </row>
    <row r="9" spans="1:12" x14ac:dyDescent="0.25">
      <c r="A9" s="1">
        <v>2210021</v>
      </c>
      <c r="B9" t="s">
        <v>10</v>
      </c>
      <c r="C9" t="s">
        <v>12</v>
      </c>
      <c r="D9" s="2">
        <v>30</v>
      </c>
      <c r="E9" s="2">
        <v>29</v>
      </c>
      <c r="F9" s="2">
        <v>29</v>
      </c>
      <c r="G9" s="2">
        <v>29</v>
      </c>
      <c r="H9" s="3">
        <f t="shared" si="0"/>
        <v>117</v>
      </c>
    </row>
    <row r="10" spans="1:12" x14ac:dyDescent="0.25">
      <c r="A10" s="1">
        <v>2210021</v>
      </c>
      <c r="B10" t="s">
        <v>13</v>
      </c>
      <c r="C10" t="s">
        <v>14</v>
      </c>
      <c r="D10" s="2">
        <v>8</v>
      </c>
      <c r="E10" s="2">
        <v>7</v>
      </c>
      <c r="F10" s="2">
        <v>10</v>
      </c>
      <c r="G10" s="2">
        <v>11</v>
      </c>
      <c r="H10" s="3">
        <f t="shared" si="0"/>
        <v>36</v>
      </c>
    </row>
    <row r="11" spans="1:12" x14ac:dyDescent="0.25">
      <c r="A11" s="1">
        <v>2210021</v>
      </c>
      <c r="B11" t="s">
        <v>10</v>
      </c>
      <c r="C11" t="s">
        <v>15</v>
      </c>
      <c r="D11" s="2">
        <v>0</v>
      </c>
      <c r="E11" s="2">
        <v>115</v>
      </c>
      <c r="F11" s="2">
        <v>0</v>
      </c>
      <c r="G11" s="2">
        <v>0</v>
      </c>
      <c r="H11" s="3">
        <f t="shared" si="0"/>
        <v>115</v>
      </c>
      <c r="J11" s="23" t="s">
        <v>47</v>
      </c>
    </row>
    <row r="12" spans="1:12" x14ac:dyDescent="0.25">
      <c r="A12" s="1">
        <v>2210021</v>
      </c>
      <c r="B12" t="s">
        <v>10</v>
      </c>
      <c r="C12" t="s">
        <v>16</v>
      </c>
      <c r="D12" s="2">
        <v>0</v>
      </c>
      <c r="E12" s="2">
        <v>1</v>
      </c>
      <c r="F12" s="2">
        <v>0</v>
      </c>
      <c r="G12" s="2">
        <v>0</v>
      </c>
      <c r="H12" s="3">
        <f t="shared" si="0"/>
        <v>1</v>
      </c>
    </row>
    <row r="13" spans="1:12" x14ac:dyDescent="0.25">
      <c r="A13" s="1">
        <v>2210021</v>
      </c>
      <c r="B13" t="s">
        <v>10</v>
      </c>
      <c r="C13" t="s">
        <v>17</v>
      </c>
      <c r="D13" s="2">
        <v>17</v>
      </c>
      <c r="E13" s="2">
        <v>12</v>
      </c>
      <c r="F13" s="2">
        <v>12</v>
      </c>
      <c r="G13" s="2">
        <v>26</v>
      </c>
      <c r="H13" s="3">
        <f t="shared" si="0"/>
        <v>67</v>
      </c>
    </row>
    <row r="14" spans="1:12" x14ac:dyDescent="0.25">
      <c r="A14" s="1">
        <v>2210021</v>
      </c>
      <c r="B14" t="s">
        <v>13</v>
      </c>
      <c r="C14" t="s">
        <v>18</v>
      </c>
      <c r="D14" s="2">
        <v>15</v>
      </c>
      <c r="E14" s="2">
        <v>16</v>
      </c>
      <c r="F14" s="2">
        <v>18</v>
      </c>
      <c r="G14" s="2">
        <v>17</v>
      </c>
      <c r="H14" s="3">
        <f t="shared" si="0"/>
        <v>66</v>
      </c>
    </row>
    <row r="15" spans="1:12" x14ac:dyDescent="0.25">
      <c r="A15" s="1">
        <v>2210021</v>
      </c>
      <c r="B15" t="s">
        <v>10</v>
      </c>
      <c r="C15" t="s">
        <v>19</v>
      </c>
      <c r="D15" s="2">
        <v>2</v>
      </c>
      <c r="E15" s="2">
        <v>0</v>
      </c>
      <c r="F15" s="2">
        <v>1</v>
      </c>
      <c r="G15" s="2">
        <v>1</v>
      </c>
      <c r="H15" s="3">
        <f t="shared" si="0"/>
        <v>4</v>
      </c>
    </row>
    <row r="16" spans="1:12" x14ac:dyDescent="0.25">
      <c r="A16" s="1">
        <v>2210021</v>
      </c>
      <c r="B16" t="s">
        <v>13</v>
      </c>
      <c r="C16" t="s">
        <v>20</v>
      </c>
      <c r="D16" s="2">
        <v>2</v>
      </c>
      <c r="E16" s="2">
        <v>8</v>
      </c>
      <c r="F16" s="2">
        <v>3</v>
      </c>
      <c r="G16" s="2">
        <v>3</v>
      </c>
      <c r="H16" s="3">
        <f t="shared" si="0"/>
        <v>16</v>
      </c>
    </row>
    <row r="17" spans="1:12" x14ac:dyDescent="0.25">
      <c r="A17" s="1">
        <v>2210021</v>
      </c>
      <c r="B17" t="s">
        <v>10</v>
      </c>
      <c r="C17" t="s">
        <v>21</v>
      </c>
      <c r="D17" s="2">
        <v>1</v>
      </c>
      <c r="E17" s="2">
        <v>0</v>
      </c>
      <c r="F17" s="2">
        <v>3</v>
      </c>
      <c r="G17" s="2">
        <v>0</v>
      </c>
      <c r="H17" s="3">
        <f t="shared" si="0"/>
        <v>4</v>
      </c>
    </row>
    <row r="18" spans="1:12" x14ac:dyDescent="0.25">
      <c r="A18" s="1">
        <v>2210021</v>
      </c>
      <c r="B18" t="s">
        <v>10</v>
      </c>
      <c r="C18" t="s">
        <v>22</v>
      </c>
      <c r="D18" s="2">
        <v>0</v>
      </c>
      <c r="E18" s="2">
        <v>0</v>
      </c>
      <c r="F18" s="2">
        <v>0</v>
      </c>
      <c r="G18" s="2">
        <v>0</v>
      </c>
      <c r="H18" s="3">
        <f t="shared" si="0"/>
        <v>0</v>
      </c>
    </row>
    <row r="19" spans="1:12" x14ac:dyDescent="0.25">
      <c r="A19" s="1">
        <v>2210021</v>
      </c>
      <c r="B19" t="s">
        <v>23</v>
      </c>
      <c r="C19" t="s">
        <v>24</v>
      </c>
      <c r="D19" s="2">
        <v>0</v>
      </c>
      <c r="E19" s="2">
        <v>102</v>
      </c>
      <c r="F19" s="2">
        <v>6</v>
      </c>
      <c r="G19" s="2">
        <v>0</v>
      </c>
      <c r="H19" s="3">
        <f t="shared" si="0"/>
        <v>108</v>
      </c>
      <c r="J19" s="23" t="s">
        <v>47</v>
      </c>
    </row>
    <row r="20" spans="1:12" x14ac:dyDescent="0.25">
      <c r="A20" s="1">
        <v>2210021</v>
      </c>
      <c r="B20" t="s">
        <v>25</v>
      </c>
      <c r="C20" t="s">
        <v>18</v>
      </c>
      <c r="D20" s="2">
        <v>0</v>
      </c>
      <c r="E20" s="2">
        <v>70</v>
      </c>
      <c r="F20" s="2">
        <v>3</v>
      </c>
      <c r="G20" s="2">
        <v>0</v>
      </c>
      <c r="H20" s="3">
        <f t="shared" si="0"/>
        <v>73</v>
      </c>
    </row>
    <row r="21" spans="1:12" x14ac:dyDescent="0.25">
      <c r="A21" s="1">
        <v>2210021</v>
      </c>
      <c r="B21" t="s">
        <v>26</v>
      </c>
      <c r="C21" t="s">
        <v>22</v>
      </c>
      <c r="D21" s="2">
        <v>0</v>
      </c>
      <c r="E21" s="2">
        <v>0</v>
      </c>
      <c r="F21" s="2">
        <v>0</v>
      </c>
      <c r="G21" s="2">
        <v>0</v>
      </c>
      <c r="H21" s="3">
        <f t="shared" si="0"/>
        <v>0</v>
      </c>
      <c r="I21" s="3">
        <f>SUM(H8:H21)-H11-H19</f>
        <v>412</v>
      </c>
      <c r="J21" s="23">
        <f>SUM(I21*1000)/76650</f>
        <v>5.3750815394651008</v>
      </c>
      <c r="K21">
        <v>454</v>
      </c>
      <c r="L21" s="23">
        <f t="shared" ref="L21:L61" si="1">SUM(K21*1000)/76650</f>
        <v>5.9230267449445533</v>
      </c>
    </row>
    <row r="22" spans="1:12" x14ac:dyDescent="0.25">
      <c r="H22" s="3"/>
    </row>
    <row r="23" spans="1:12" x14ac:dyDescent="0.25">
      <c r="A23" s="1">
        <v>1140025</v>
      </c>
      <c r="B23" t="s">
        <v>6</v>
      </c>
      <c r="C23" t="s">
        <v>7</v>
      </c>
      <c r="D23" s="2">
        <v>1</v>
      </c>
      <c r="E23" s="2">
        <v>1</v>
      </c>
      <c r="F23" s="2">
        <v>0</v>
      </c>
      <c r="G23" s="2">
        <v>1</v>
      </c>
      <c r="H23" s="3">
        <f t="shared" si="0"/>
        <v>3</v>
      </c>
      <c r="I23" s="2">
        <v>76650</v>
      </c>
      <c r="J23" s="23">
        <v>1</v>
      </c>
      <c r="K23">
        <v>76650</v>
      </c>
      <c r="L23" s="23">
        <v>1</v>
      </c>
    </row>
    <row r="24" spans="1:12" x14ac:dyDescent="0.25">
      <c r="A24" s="1">
        <v>1140027</v>
      </c>
      <c r="B24" t="s">
        <v>8</v>
      </c>
      <c r="C24" t="s">
        <v>9</v>
      </c>
      <c r="D24" s="2">
        <v>37</v>
      </c>
      <c r="E24" s="2">
        <v>22</v>
      </c>
      <c r="F24" s="2">
        <v>51</v>
      </c>
      <c r="G24" s="2">
        <v>40</v>
      </c>
      <c r="H24" s="3">
        <f t="shared" si="0"/>
        <v>150</v>
      </c>
      <c r="I24" s="3">
        <v>150</v>
      </c>
      <c r="J24" s="23">
        <f t="shared" ref="J24:J86" si="2">SUM(I24*1000)/76650</f>
        <v>1.9569471624266144</v>
      </c>
      <c r="K24">
        <v>90</v>
      </c>
      <c r="L24" s="23">
        <f t="shared" si="1"/>
        <v>1.1741682974559686</v>
      </c>
    </row>
    <row r="25" spans="1:12" x14ac:dyDescent="0.25">
      <c r="H25" s="3"/>
    </row>
    <row r="26" spans="1:12" x14ac:dyDescent="0.25">
      <c r="A26" s="1">
        <v>1160030</v>
      </c>
      <c r="B26" t="s">
        <v>27</v>
      </c>
      <c r="C26" t="s">
        <v>28</v>
      </c>
      <c r="D26" s="2">
        <v>5</v>
      </c>
      <c r="E26" s="2">
        <v>25</v>
      </c>
      <c r="F26" s="2">
        <v>28</v>
      </c>
      <c r="G26" s="2">
        <v>28</v>
      </c>
      <c r="H26" s="3">
        <f t="shared" si="0"/>
        <v>86</v>
      </c>
      <c r="I26" s="2">
        <v>86</v>
      </c>
      <c r="J26" s="23">
        <f t="shared" si="2"/>
        <v>1.1219830397912589</v>
      </c>
      <c r="K26">
        <v>106</v>
      </c>
      <c r="L26" s="23">
        <f t="shared" si="1"/>
        <v>1.3829093281148075</v>
      </c>
    </row>
    <row r="27" spans="1:12" x14ac:dyDescent="0.25">
      <c r="A27" s="1">
        <v>1160060</v>
      </c>
      <c r="B27" t="s">
        <v>29</v>
      </c>
      <c r="C27" t="s">
        <v>30</v>
      </c>
      <c r="D27" s="2">
        <v>23</v>
      </c>
      <c r="E27" s="2">
        <v>17</v>
      </c>
      <c r="F27" s="2">
        <v>13</v>
      </c>
      <c r="G27" s="2">
        <v>6</v>
      </c>
      <c r="H27" s="3">
        <f t="shared" si="0"/>
        <v>59</v>
      </c>
      <c r="I27" s="2">
        <v>76650</v>
      </c>
      <c r="J27" s="23">
        <v>1</v>
      </c>
      <c r="K27">
        <v>76650</v>
      </c>
      <c r="L27" s="23">
        <v>1</v>
      </c>
    </row>
    <row r="28" spans="1:12" x14ac:dyDescent="0.25">
      <c r="A28" s="1">
        <v>1160100</v>
      </c>
      <c r="B28" t="s">
        <v>31</v>
      </c>
      <c r="C28" t="s">
        <v>32</v>
      </c>
      <c r="D28" s="2">
        <v>12</v>
      </c>
      <c r="E28" s="2">
        <v>17</v>
      </c>
      <c r="F28" s="2">
        <v>33</v>
      </c>
      <c r="G28" s="2">
        <v>45</v>
      </c>
      <c r="H28" s="3">
        <f t="shared" si="0"/>
        <v>107</v>
      </c>
      <c r="I28" s="2">
        <v>107</v>
      </c>
      <c r="J28" s="23">
        <f t="shared" si="2"/>
        <v>1.3959556425309849</v>
      </c>
      <c r="K28">
        <v>76650</v>
      </c>
      <c r="L28" s="23">
        <v>1</v>
      </c>
    </row>
    <row r="29" spans="1:12" x14ac:dyDescent="0.25">
      <c r="A29" s="1">
        <v>1161010</v>
      </c>
      <c r="B29" t="s">
        <v>33</v>
      </c>
      <c r="C29" t="s">
        <v>34</v>
      </c>
      <c r="D29" s="2">
        <v>17</v>
      </c>
      <c r="E29" s="2">
        <v>11</v>
      </c>
      <c r="F29" s="2">
        <v>15</v>
      </c>
      <c r="G29" s="2">
        <v>11</v>
      </c>
      <c r="H29" s="3">
        <f t="shared" si="0"/>
        <v>54</v>
      </c>
      <c r="I29" s="2">
        <v>76650</v>
      </c>
      <c r="J29" s="23">
        <v>1</v>
      </c>
      <c r="K29">
        <v>76650</v>
      </c>
      <c r="L29" s="23">
        <v>1</v>
      </c>
    </row>
    <row r="30" spans="1:12" x14ac:dyDescent="0.25">
      <c r="A30" s="1">
        <v>1161040</v>
      </c>
      <c r="B30" t="s">
        <v>35</v>
      </c>
      <c r="C30" t="s">
        <v>36</v>
      </c>
      <c r="D30" s="2">
        <v>10</v>
      </c>
      <c r="E30" s="2">
        <v>10</v>
      </c>
      <c r="F30" s="2">
        <v>13</v>
      </c>
      <c r="G30" s="2">
        <v>20</v>
      </c>
      <c r="H30" s="3">
        <f t="shared" si="0"/>
        <v>53</v>
      </c>
      <c r="I30" s="2">
        <v>76650</v>
      </c>
      <c r="J30" s="23">
        <v>1</v>
      </c>
      <c r="K30">
        <v>76650</v>
      </c>
      <c r="L30" s="23">
        <v>1</v>
      </c>
    </row>
    <row r="31" spans="1:12" x14ac:dyDescent="0.25">
      <c r="A31" s="1">
        <v>1161050</v>
      </c>
      <c r="B31" t="s">
        <v>37</v>
      </c>
      <c r="C31" t="s">
        <v>38</v>
      </c>
      <c r="D31" s="2">
        <v>5</v>
      </c>
      <c r="E31" s="2">
        <v>5</v>
      </c>
      <c r="F31" s="2">
        <v>5</v>
      </c>
      <c r="G31" s="2">
        <v>2</v>
      </c>
      <c r="H31" s="3">
        <f t="shared" si="0"/>
        <v>17</v>
      </c>
      <c r="I31" s="2">
        <v>76650</v>
      </c>
      <c r="J31" s="23">
        <v>1</v>
      </c>
      <c r="K31">
        <v>76650</v>
      </c>
      <c r="L31" s="23">
        <v>1</v>
      </c>
    </row>
    <row r="32" spans="1:12" x14ac:dyDescent="0.25">
      <c r="A32" s="1">
        <v>1162010</v>
      </c>
      <c r="B32" t="s">
        <v>39</v>
      </c>
      <c r="C32" t="s">
        <v>40</v>
      </c>
      <c r="D32" s="2">
        <v>289</v>
      </c>
      <c r="E32" s="2">
        <v>2061</v>
      </c>
      <c r="F32" s="2">
        <v>175</v>
      </c>
      <c r="G32" s="2">
        <v>0</v>
      </c>
      <c r="H32" s="3">
        <f t="shared" si="0"/>
        <v>2525</v>
      </c>
    </row>
    <row r="33" spans="1:12" x14ac:dyDescent="0.25">
      <c r="A33" s="1">
        <v>1162020</v>
      </c>
      <c r="B33" t="s">
        <v>41</v>
      </c>
      <c r="C33" t="s">
        <v>42</v>
      </c>
      <c r="D33" s="2">
        <v>16</v>
      </c>
      <c r="E33" s="2">
        <v>14</v>
      </c>
      <c r="F33" s="2">
        <v>13</v>
      </c>
      <c r="G33" s="2">
        <v>14</v>
      </c>
      <c r="H33" s="3">
        <f t="shared" si="0"/>
        <v>57</v>
      </c>
      <c r="I33" s="2">
        <v>76650</v>
      </c>
      <c r="J33" s="23">
        <v>1</v>
      </c>
      <c r="K33">
        <v>76650</v>
      </c>
      <c r="L33" s="23">
        <v>1</v>
      </c>
    </row>
    <row r="34" spans="1:12" x14ac:dyDescent="0.25">
      <c r="A34" s="1">
        <v>1162070</v>
      </c>
      <c r="B34" t="s">
        <v>43</v>
      </c>
      <c r="C34" t="s">
        <v>44</v>
      </c>
      <c r="D34" s="2">
        <v>16</v>
      </c>
      <c r="E34" s="2">
        <v>17</v>
      </c>
      <c r="F34" s="2">
        <v>16</v>
      </c>
      <c r="G34" s="2">
        <v>12</v>
      </c>
      <c r="H34" s="3">
        <f t="shared" si="0"/>
        <v>61</v>
      </c>
      <c r="I34" s="2">
        <v>76650</v>
      </c>
      <c r="J34" s="23">
        <v>1</v>
      </c>
      <c r="K34">
        <v>76650</v>
      </c>
      <c r="L34" s="23">
        <v>1</v>
      </c>
    </row>
    <row r="35" spans="1:12" x14ac:dyDescent="0.25">
      <c r="A35" s="1">
        <v>1162090</v>
      </c>
      <c r="B35" t="s">
        <v>45</v>
      </c>
      <c r="C35" t="s">
        <v>46</v>
      </c>
      <c r="D35" s="2">
        <v>2</v>
      </c>
      <c r="E35" s="2">
        <v>2</v>
      </c>
      <c r="F35" s="2">
        <v>2</v>
      </c>
      <c r="G35" s="2">
        <v>2</v>
      </c>
      <c r="H35" s="3">
        <f t="shared" si="0"/>
        <v>8</v>
      </c>
      <c r="I35" s="2">
        <v>76650</v>
      </c>
      <c r="J35" s="23">
        <v>1</v>
      </c>
      <c r="K35">
        <v>76650</v>
      </c>
      <c r="L35" s="23">
        <v>1</v>
      </c>
    </row>
    <row r="36" spans="1:12" x14ac:dyDescent="0.25">
      <c r="H36" s="3"/>
    </row>
    <row r="37" spans="1:12" x14ac:dyDescent="0.25">
      <c r="A37" s="1">
        <v>1170279</v>
      </c>
      <c r="B37" t="s">
        <v>48</v>
      </c>
      <c r="C37" t="s">
        <v>49</v>
      </c>
      <c r="D37" s="2">
        <v>412</v>
      </c>
      <c r="E37" s="2">
        <v>557</v>
      </c>
      <c r="F37" s="2">
        <v>420</v>
      </c>
      <c r="G37" s="2">
        <v>333</v>
      </c>
      <c r="H37" s="3">
        <f t="shared" si="0"/>
        <v>1722</v>
      </c>
    </row>
    <row r="38" spans="1:12" x14ac:dyDescent="0.25">
      <c r="A38" s="1">
        <v>1170279</v>
      </c>
      <c r="B38" t="s">
        <v>48</v>
      </c>
      <c r="C38" t="s">
        <v>50</v>
      </c>
      <c r="D38" s="2">
        <v>13</v>
      </c>
      <c r="E38" s="2">
        <v>381</v>
      </c>
      <c r="F38" s="2">
        <v>176</v>
      </c>
      <c r="G38" s="2">
        <v>0</v>
      </c>
      <c r="H38" s="3">
        <f t="shared" si="0"/>
        <v>570</v>
      </c>
    </row>
    <row r="39" spans="1:12" x14ac:dyDescent="0.25">
      <c r="A39" s="1">
        <v>1170279</v>
      </c>
      <c r="B39" t="s">
        <v>48</v>
      </c>
      <c r="C39" t="s">
        <v>50</v>
      </c>
      <c r="D39" s="2">
        <v>522</v>
      </c>
      <c r="E39" s="2">
        <v>1014</v>
      </c>
      <c r="F39" s="2">
        <v>638</v>
      </c>
      <c r="G39" s="2">
        <v>255</v>
      </c>
      <c r="H39" s="3">
        <f t="shared" si="0"/>
        <v>2429</v>
      </c>
    </row>
    <row r="40" spans="1:12" x14ac:dyDescent="0.25">
      <c r="A40" s="1">
        <v>1170279</v>
      </c>
      <c r="B40" t="s">
        <v>48</v>
      </c>
      <c r="C40" t="s">
        <v>51</v>
      </c>
      <c r="D40" s="2">
        <v>4</v>
      </c>
      <c r="E40" s="2">
        <v>33</v>
      </c>
      <c r="F40" s="2">
        <v>67</v>
      </c>
      <c r="G40" s="2">
        <v>4</v>
      </c>
      <c r="H40" s="3">
        <f t="shared" si="0"/>
        <v>108</v>
      </c>
      <c r="I40" s="3">
        <f>SUM(H37+H39+H40)</f>
        <v>4259</v>
      </c>
      <c r="J40" s="23">
        <f>SUM(I40*1000)/76650</f>
        <v>55.564253098499677</v>
      </c>
      <c r="K40">
        <v>3391</v>
      </c>
      <c r="L40" s="23">
        <f t="shared" si="1"/>
        <v>44.240052185257667</v>
      </c>
    </row>
    <row r="41" spans="1:12" x14ac:dyDescent="0.25">
      <c r="H41" s="3">
        <f t="shared" si="0"/>
        <v>0</v>
      </c>
    </row>
    <row r="42" spans="1:12" x14ac:dyDescent="0.25">
      <c r="A42" s="1">
        <v>1170280</v>
      </c>
      <c r="B42" t="s">
        <v>52</v>
      </c>
      <c r="C42" t="s">
        <v>53</v>
      </c>
      <c r="D42" s="2">
        <v>139</v>
      </c>
      <c r="E42" s="2">
        <v>144</v>
      </c>
      <c r="F42" s="2">
        <v>166</v>
      </c>
      <c r="G42" s="2">
        <v>161</v>
      </c>
      <c r="H42" s="3">
        <f t="shared" si="0"/>
        <v>610</v>
      </c>
      <c r="I42" s="2">
        <v>610</v>
      </c>
      <c r="J42" s="23">
        <f t="shared" si="2"/>
        <v>7.9582517938682322</v>
      </c>
      <c r="K42" s="2">
        <v>587</v>
      </c>
      <c r="L42" s="23">
        <f t="shared" si="1"/>
        <v>7.6581865622961516</v>
      </c>
    </row>
    <row r="43" spans="1:12" x14ac:dyDescent="0.25">
      <c r="H43" s="3">
        <f t="shared" si="0"/>
        <v>0</v>
      </c>
    </row>
    <row r="44" spans="1:12" x14ac:dyDescent="0.25">
      <c r="A44" s="1">
        <v>1240004</v>
      </c>
      <c r="B44" t="s">
        <v>54</v>
      </c>
      <c r="C44" t="s">
        <v>55</v>
      </c>
      <c r="D44" s="2">
        <v>69</v>
      </c>
      <c r="E44" s="2">
        <v>112</v>
      </c>
      <c r="F44" s="2">
        <v>89</v>
      </c>
      <c r="G44" s="2">
        <v>12</v>
      </c>
      <c r="H44" s="3">
        <f t="shared" si="0"/>
        <v>282</v>
      </c>
      <c r="I44" s="2">
        <v>282</v>
      </c>
      <c r="J44" s="23">
        <f t="shared" si="2"/>
        <v>3.679060665362035</v>
      </c>
      <c r="K44" s="2">
        <v>246</v>
      </c>
      <c r="L44" s="23">
        <f t="shared" si="1"/>
        <v>3.2093933463796476</v>
      </c>
    </row>
    <row r="45" spans="1:12" x14ac:dyDescent="0.25">
      <c r="H45" s="3">
        <f t="shared" si="0"/>
        <v>0</v>
      </c>
      <c r="I45" s="2"/>
      <c r="J45" s="23">
        <f t="shared" si="2"/>
        <v>0</v>
      </c>
    </row>
    <row r="46" spans="1:12" x14ac:dyDescent="0.25">
      <c r="A46" s="1">
        <v>1300101</v>
      </c>
      <c r="B46" t="s">
        <v>56</v>
      </c>
      <c r="C46" t="s">
        <v>57</v>
      </c>
      <c r="D46" s="2">
        <v>734</v>
      </c>
      <c r="E46" s="2">
        <v>887</v>
      </c>
      <c r="F46" s="2">
        <v>898</v>
      </c>
      <c r="G46" s="2">
        <v>939</v>
      </c>
      <c r="H46" s="3">
        <f t="shared" si="0"/>
        <v>3458</v>
      </c>
      <c r="I46" s="2">
        <v>3458</v>
      </c>
      <c r="J46" s="23">
        <f t="shared" si="2"/>
        <v>45.114155251141554</v>
      </c>
      <c r="K46">
        <v>4504</v>
      </c>
      <c r="L46" s="23">
        <f t="shared" si="1"/>
        <v>58.760600130463146</v>
      </c>
    </row>
    <row r="47" spans="1:12" x14ac:dyDescent="0.25">
      <c r="H47" s="3">
        <f t="shared" si="0"/>
        <v>0</v>
      </c>
    </row>
    <row r="48" spans="1:12" x14ac:dyDescent="0.25">
      <c r="A48" s="1">
        <v>5980030</v>
      </c>
      <c r="B48" t="s">
        <v>58</v>
      </c>
      <c r="C48" t="s">
        <v>59</v>
      </c>
      <c r="D48" s="2">
        <v>0</v>
      </c>
      <c r="E48" s="2">
        <v>0</v>
      </c>
      <c r="F48" s="2">
        <v>0</v>
      </c>
      <c r="G48" s="2">
        <v>0</v>
      </c>
      <c r="H48" s="3">
        <f t="shared" si="0"/>
        <v>0</v>
      </c>
      <c r="I48" s="2">
        <v>76650</v>
      </c>
      <c r="J48" s="23">
        <v>1</v>
      </c>
      <c r="K48" s="2">
        <v>76650</v>
      </c>
      <c r="L48" s="23">
        <v>1</v>
      </c>
    </row>
    <row r="49" spans="1:12" x14ac:dyDescent="0.25">
      <c r="H49" s="3">
        <f t="shared" si="0"/>
        <v>0</v>
      </c>
    </row>
    <row r="50" spans="1:12" x14ac:dyDescent="0.25">
      <c r="A50" s="1">
        <v>1610200</v>
      </c>
      <c r="B50" t="s">
        <v>60</v>
      </c>
      <c r="C50" t="s">
        <v>61</v>
      </c>
      <c r="D50" s="2">
        <v>427</v>
      </c>
      <c r="E50" s="2">
        <v>382</v>
      </c>
      <c r="F50" s="2">
        <v>208</v>
      </c>
      <c r="G50" s="2">
        <v>293</v>
      </c>
      <c r="H50" s="3">
        <f t="shared" si="0"/>
        <v>1310</v>
      </c>
      <c r="I50" s="2">
        <v>1310</v>
      </c>
      <c r="J50" s="23">
        <f t="shared" si="2"/>
        <v>17.090671885192432</v>
      </c>
      <c r="K50">
        <v>1078</v>
      </c>
      <c r="L50" s="23">
        <f t="shared" si="1"/>
        <v>14.06392694063927</v>
      </c>
    </row>
    <row r="51" spans="1:12" x14ac:dyDescent="0.25">
      <c r="H51" s="3">
        <f t="shared" si="0"/>
        <v>0</v>
      </c>
    </row>
    <row r="52" spans="1:12" x14ac:dyDescent="0.25">
      <c r="A52" s="1">
        <v>1610150</v>
      </c>
      <c r="B52" t="s">
        <v>60</v>
      </c>
      <c r="C52" t="s">
        <v>62</v>
      </c>
      <c r="D52" s="2">
        <v>239</v>
      </c>
      <c r="E52" s="2">
        <v>242</v>
      </c>
      <c r="F52" s="2">
        <v>137</v>
      </c>
      <c r="G52" s="2">
        <v>182</v>
      </c>
      <c r="H52" s="3">
        <f t="shared" si="0"/>
        <v>800</v>
      </c>
    </row>
    <row r="53" spans="1:12" x14ac:dyDescent="0.25">
      <c r="A53" s="1">
        <v>1610150</v>
      </c>
      <c r="B53" t="s">
        <v>63</v>
      </c>
      <c r="C53" t="s">
        <v>64</v>
      </c>
      <c r="D53" s="2">
        <v>0</v>
      </c>
      <c r="E53" s="2">
        <v>0</v>
      </c>
      <c r="F53" s="2">
        <v>0</v>
      </c>
      <c r="G53" s="2">
        <v>0</v>
      </c>
      <c r="H53" s="3">
        <f t="shared" si="0"/>
        <v>0</v>
      </c>
    </row>
    <row r="54" spans="1:12" x14ac:dyDescent="0.25">
      <c r="A54" s="1">
        <v>1610150</v>
      </c>
      <c r="B54" t="s">
        <v>65</v>
      </c>
      <c r="C54" t="s">
        <v>66</v>
      </c>
      <c r="D54" s="2">
        <v>2</v>
      </c>
      <c r="E54" s="2">
        <v>2</v>
      </c>
      <c r="F54" s="2">
        <v>2</v>
      </c>
      <c r="G54" s="2">
        <v>1</v>
      </c>
      <c r="H54" s="3">
        <f t="shared" si="0"/>
        <v>7</v>
      </c>
    </row>
    <row r="55" spans="1:12" x14ac:dyDescent="0.25">
      <c r="A55" s="1">
        <v>1610150</v>
      </c>
      <c r="B55" t="s">
        <v>65</v>
      </c>
      <c r="H55" s="3">
        <f t="shared" si="0"/>
        <v>0</v>
      </c>
    </row>
    <row r="56" spans="1:12" x14ac:dyDescent="0.25">
      <c r="A56" s="1">
        <v>1610150</v>
      </c>
      <c r="B56" t="s">
        <v>65</v>
      </c>
      <c r="H56" s="3">
        <f t="shared" si="0"/>
        <v>0</v>
      </c>
    </row>
    <row r="57" spans="1:12" x14ac:dyDescent="0.25">
      <c r="A57" s="1">
        <v>1610150</v>
      </c>
      <c r="B57" t="s">
        <v>65</v>
      </c>
      <c r="H57" s="3">
        <f t="shared" si="0"/>
        <v>0</v>
      </c>
    </row>
    <row r="58" spans="1:12" x14ac:dyDescent="0.25">
      <c r="A58" s="1">
        <v>1610150</v>
      </c>
      <c r="B58" t="s">
        <v>65</v>
      </c>
      <c r="H58" s="3">
        <f t="shared" si="0"/>
        <v>0</v>
      </c>
    </row>
    <row r="59" spans="1:12" x14ac:dyDescent="0.25">
      <c r="A59" s="1">
        <v>1610150</v>
      </c>
      <c r="B59" t="s">
        <v>65</v>
      </c>
      <c r="H59" s="3">
        <f t="shared" si="0"/>
        <v>0</v>
      </c>
    </row>
    <row r="60" spans="1:12" x14ac:dyDescent="0.25">
      <c r="A60" s="1">
        <v>1610150</v>
      </c>
      <c r="B60" t="s">
        <v>65</v>
      </c>
      <c r="H60" s="3">
        <f t="shared" si="0"/>
        <v>0</v>
      </c>
    </row>
    <row r="61" spans="1:12" x14ac:dyDescent="0.25">
      <c r="A61" s="4">
        <v>1780003</v>
      </c>
      <c r="B61" t="s">
        <v>68</v>
      </c>
      <c r="C61" t="s">
        <v>67</v>
      </c>
      <c r="H61" s="3">
        <f t="shared" si="0"/>
        <v>0</v>
      </c>
      <c r="I61">
        <v>400</v>
      </c>
      <c r="J61" s="23">
        <f t="shared" si="2"/>
        <v>5.2185257664709717</v>
      </c>
      <c r="K61">
        <v>400</v>
      </c>
      <c r="L61" s="23">
        <f t="shared" si="1"/>
        <v>5.2185257664709717</v>
      </c>
    </row>
    <row r="62" spans="1:12" x14ac:dyDescent="0.25">
      <c r="A62" s="4"/>
      <c r="H62" s="3"/>
    </row>
    <row r="63" spans="1:12" x14ac:dyDescent="0.25">
      <c r="A63" s="1">
        <v>1830005</v>
      </c>
      <c r="B63" t="s">
        <v>69</v>
      </c>
      <c r="C63" t="s">
        <v>70</v>
      </c>
      <c r="D63" s="2">
        <v>4</v>
      </c>
      <c r="E63" s="2">
        <v>49</v>
      </c>
      <c r="F63" s="2">
        <v>11</v>
      </c>
      <c r="G63" s="2">
        <v>2</v>
      </c>
      <c r="H63" s="3">
        <f t="shared" si="0"/>
        <v>66</v>
      </c>
      <c r="I63" s="2">
        <v>76650</v>
      </c>
      <c r="J63" s="23">
        <v>1</v>
      </c>
      <c r="K63" s="2">
        <v>76650</v>
      </c>
      <c r="L63" s="23">
        <v>1</v>
      </c>
    </row>
    <row r="64" spans="1:12" x14ac:dyDescent="0.25">
      <c r="H64" s="3">
        <f t="shared" si="0"/>
        <v>0</v>
      </c>
    </row>
    <row r="65" spans="1:12" x14ac:dyDescent="0.25">
      <c r="A65" s="1">
        <v>1830050</v>
      </c>
      <c r="B65" t="s">
        <v>71</v>
      </c>
      <c r="C65" t="s">
        <v>72</v>
      </c>
      <c r="D65" s="2">
        <v>4</v>
      </c>
      <c r="E65" s="2">
        <v>4</v>
      </c>
      <c r="F65" s="2">
        <v>2</v>
      </c>
      <c r="G65" s="2">
        <v>1</v>
      </c>
      <c r="H65" s="3">
        <f t="shared" si="0"/>
        <v>11</v>
      </c>
    </row>
    <row r="66" spans="1:12" x14ac:dyDescent="0.25">
      <c r="A66" s="1">
        <v>1830050</v>
      </c>
      <c r="B66" t="s">
        <v>71</v>
      </c>
      <c r="C66" t="s">
        <v>73</v>
      </c>
      <c r="D66" s="2">
        <v>4</v>
      </c>
      <c r="E66" s="2">
        <v>1</v>
      </c>
      <c r="F66" s="2">
        <v>0</v>
      </c>
      <c r="G66" s="2">
        <v>0</v>
      </c>
      <c r="H66" s="3">
        <f t="shared" si="0"/>
        <v>5</v>
      </c>
    </row>
    <row r="67" spans="1:12" x14ac:dyDescent="0.25">
      <c r="A67" s="1">
        <v>1830050</v>
      </c>
      <c r="B67" t="s">
        <v>71</v>
      </c>
      <c r="C67" t="s">
        <v>74</v>
      </c>
      <c r="D67" s="2">
        <v>65</v>
      </c>
      <c r="E67" s="2">
        <v>1809</v>
      </c>
      <c r="F67" s="2">
        <v>294</v>
      </c>
      <c r="G67" s="2">
        <v>9</v>
      </c>
      <c r="H67" s="3">
        <f t="shared" ref="H67:H136" si="3">SUM(D67:G67)</f>
        <v>2177</v>
      </c>
    </row>
    <row r="68" spans="1:12" x14ac:dyDescent="0.25">
      <c r="A68" s="1">
        <v>1830050</v>
      </c>
      <c r="B68" t="s">
        <v>71</v>
      </c>
      <c r="C68" t="s">
        <v>74</v>
      </c>
      <c r="D68" s="2">
        <v>0</v>
      </c>
      <c r="E68" s="2">
        <v>0</v>
      </c>
      <c r="F68" s="2">
        <v>0</v>
      </c>
      <c r="G68" s="2">
        <v>0</v>
      </c>
      <c r="H68" s="3">
        <f t="shared" si="3"/>
        <v>0</v>
      </c>
    </row>
    <row r="69" spans="1:12" x14ac:dyDescent="0.25">
      <c r="A69" s="1">
        <v>1830050</v>
      </c>
      <c r="B69" t="s">
        <v>71</v>
      </c>
      <c r="C69" t="s">
        <v>75</v>
      </c>
      <c r="D69" s="2">
        <v>3</v>
      </c>
      <c r="E69" s="2">
        <v>3</v>
      </c>
      <c r="F69" s="2">
        <v>1</v>
      </c>
      <c r="G69" s="2">
        <v>1</v>
      </c>
      <c r="H69" s="3">
        <f t="shared" si="3"/>
        <v>8</v>
      </c>
    </row>
    <row r="70" spans="1:12" x14ac:dyDescent="0.25">
      <c r="A70" s="1">
        <v>1830050</v>
      </c>
      <c r="B70" t="s">
        <v>76</v>
      </c>
      <c r="C70" t="s">
        <v>77</v>
      </c>
      <c r="D70" s="2">
        <v>400</v>
      </c>
      <c r="E70" s="2">
        <v>518</v>
      </c>
      <c r="F70" s="2">
        <v>404</v>
      </c>
      <c r="G70" s="2">
        <v>382</v>
      </c>
      <c r="H70" s="3">
        <f t="shared" si="3"/>
        <v>1704</v>
      </c>
      <c r="I70" s="3">
        <f>SUM(H65:H70)</f>
        <v>3905</v>
      </c>
      <c r="J70" s="23">
        <f t="shared" si="2"/>
        <v>50.945857795172863</v>
      </c>
      <c r="K70">
        <v>2951</v>
      </c>
      <c r="L70" s="23">
        <f t="shared" ref="L70:L127" si="4">SUM(K70*1000)/76650</f>
        <v>38.499673842139593</v>
      </c>
    </row>
    <row r="71" spans="1:12" x14ac:dyDescent="0.25">
      <c r="H71" s="3">
        <f t="shared" si="3"/>
        <v>0</v>
      </c>
    </row>
    <row r="72" spans="1:12" x14ac:dyDescent="0.25">
      <c r="A72" s="1">
        <v>1940160</v>
      </c>
      <c r="B72" t="s">
        <v>78</v>
      </c>
      <c r="C72" t="s">
        <v>79</v>
      </c>
      <c r="D72" s="2">
        <v>147</v>
      </c>
      <c r="E72" s="2">
        <v>675</v>
      </c>
      <c r="F72" s="2">
        <v>768</v>
      </c>
      <c r="G72" s="2">
        <v>128</v>
      </c>
      <c r="H72" s="3">
        <f t="shared" si="3"/>
        <v>1718</v>
      </c>
      <c r="I72" s="2">
        <v>1718</v>
      </c>
      <c r="J72" s="23">
        <f t="shared" si="2"/>
        <v>22.413568166992825</v>
      </c>
      <c r="K72">
        <v>1464</v>
      </c>
      <c r="L72" s="23">
        <f t="shared" si="4"/>
        <v>19.099804305283758</v>
      </c>
    </row>
    <row r="73" spans="1:12" x14ac:dyDescent="0.25">
      <c r="H73" s="3">
        <f t="shared" si="3"/>
        <v>0</v>
      </c>
    </row>
    <row r="74" spans="1:12" x14ac:dyDescent="0.25">
      <c r="A74" s="1">
        <v>1940301</v>
      </c>
      <c r="B74" t="s">
        <v>80</v>
      </c>
      <c r="C74" t="s">
        <v>81</v>
      </c>
      <c r="D74" s="2">
        <v>195</v>
      </c>
      <c r="E74" s="2">
        <v>289</v>
      </c>
      <c r="F74" s="2">
        <v>38</v>
      </c>
      <c r="G74" s="2">
        <v>14</v>
      </c>
      <c r="H74" s="3">
        <f t="shared" si="3"/>
        <v>536</v>
      </c>
    </row>
    <row r="75" spans="1:12" x14ac:dyDescent="0.25">
      <c r="A75" s="1">
        <v>1940301</v>
      </c>
      <c r="B75" t="s">
        <v>80</v>
      </c>
      <c r="C75" t="s">
        <v>82</v>
      </c>
      <c r="D75" s="2">
        <v>11</v>
      </c>
      <c r="E75" s="2">
        <v>6</v>
      </c>
      <c r="F75" s="2">
        <v>8</v>
      </c>
      <c r="G75" s="2">
        <v>11</v>
      </c>
      <c r="H75" s="3">
        <f t="shared" si="3"/>
        <v>36</v>
      </c>
      <c r="I75" s="3">
        <f>SUM(H74:H75)</f>
        <v>572</v>
      </c>
      <c r="J75" s="23">
        <f t="shared" si="2"/>
        <v>7.4624918460534895</v>
      </c>
      <c r="K75">
        <v>571</v>
      </c>
      <c r="L75" s="23">
        <f t="shared" si="4"/>
        <v>7.4494455316373127</v>
      </c>
    </row>
    <row r="76" spans="1:12" x14ac:dyDescent="0.25">
      <c r="A76" s="1">
        <v>1940301</v>
      </c>
      <c r="B76" t="s">
        <v>83</v>
      </c>
      <c r="C76" t="s">
        <v>84</v>
      </c>
      <c r="D76" s="2">
        <v>182</v>
      </c>
      <c r="E76" s="2">
        <v>277</v>
      </c>
      <c r="F76" s="2">
        <v>24</v>
      </c>
      <c r="G76" s="2">
        <v>0</v>
      </c>
      <c r="H76" s="3">
        <f t="shared" si="3"/>
        <v>483</v>
      </c>
    </row>
    <row r="77" spans="1:12" x14ac:dyDescent="0.25">
      <c r="H77" s="3">
        <f t="shared" si="3"/>
        <v>0</v>
      </c>
    </row>
    <row r="78" spans="1:12" x14ac:dyDescent="0.25">
      <c r="A78" s="1">
        <v>2020022</v>
      </c>
      <c r="B78" t="s">
        <v>85</v>
      </c>
      <c r="C78" t="s">
        <v>86</v>
      </c>
      <c r="D78" s="2">
        <v>31</v>
      </c>
      <c r="E78" s="2">
        <v>91</v>
      </c>
      <c r="F78" s="2">
        <v>8</v>
      </c>
      <c r="G78" s="2">
        <v>7</v>
      </c>
      <c r="H78" s="3">
        <f t="shared" si="3"/>
        <v>137</v>
      </c>
      <c r="I78" s="2">
        <v>137</v>
      </c>
      <c r="J78" s="23">
        <f t="shared" si="2"/>
        <v>1.7873450750163078</v>
      </c>
      <c r="K78" s="2">
        <v>76650</v>
      </c>
      <c r="L78" s="23">
        <v>1</v>
      </c>
    </row>
    <row r="79" spans="1:12" x14ac:dyDescent="0.25">
      <c r="H79" s="3">
        <f t="shared" si="3"/>
        <v>0</v>
      </c>
    </row>
    <row r="80" spans="1:12" x14ac:dyDescent="0.25">
      <c r="A80" s="1">
        <v>2020027</v>
      </c>
      <c r="B80" t="s">
        <v>87</v>
      </c>
      <c r="C80" t="s">
        <v>88</v>
      </c>
      <c r="D80" s="2">
        <v>8</v>
      </c>
      <c r="E80" s="2">
        <v>23</v>
      </c>
      <c r="F80" s="2">
        <v>7</v>
      </c>
      <c r="G80" s="2">
        <v>0</v>
      </c>
      <c r="H80" s="3">
        <f t="shared" si="3"/>
        <v>38</v>
      </c>
    </row>
    <row r="81" spans="1:12" x14ac:dyDescent="0.25">
      <c r="A81" s="1">
        <v>2020027</v>
      </c>
      <c r="B81" t="s">
        <v>89</v>
      </c>
      <c r="C81" t="s">
        <v>90</v>
      </c>
      <c r="D81" s="2">
        <v>6</v>
      </c>
      <c r="E81" s="2">
        <v>7</v>
      </c>
      <c r="F81" s="2">
        <v>7</v>
      </c>
      <c r="G81" s="2">
        <v>6</v>
      </c>
      <c r="H81" s="3">
        <f t="shared" si="3"/>
        <v>26</v>
      </c>
    </row>
    <row r="82" spans="1:12" x14ac:dyDescent="0.25">
      <c r="A82" s="1">
        <v>2020027</v>
      </c>
      <c r="B82" t="s">
        <v>91</v>
      </c>
      <c r="C82" t="s">
        <v>90</v>
      </c>
      <c r="D82" s="2">
        <v>1</v>
      </c>
      <c r="E82" s="2">
        <v>3</v>
      </c>
      <c r="F82" s="2">
        <v>3</v>
      </c>
      <c r="G82" s="2">
        <v>4</v>
      </c>
      <c r="H82" s="3">
        <f t="shared" si="3"/>
        <v>11</v>
      </c>
    </row>
    <row r="83" spans="1:12" x14ac:dyDescent="0.25">
      <c r="A83" s="1">
        <v>2020027</v>
      </c>
      <c r="B83" t="s">
        <v>92</v>
      </c>
      <c r="C83" t="s">
        <v>93</v>
      </c>
      <c r="D83" s="2">
        <v>5</v>
      </c>
      <c r="E83" s="2">
        <v>66</v>
      </c>
      <c r="F83" s="2">
        <v>22</v>
      </c>
      <c r="G83" s="2">
        <v>0</v>
      </c>
      <c r="H83" s="3">
        <f t="shared" si="3"/>
        <v>93</v>
      </c>
    </row>
    <row r="84" spans="1:12" x14ac:dyDescent="0.25">
      <c r="A84" s="1">
        <v>2020027</v>
      </c>
      <c r="B84" t="s">
        <v>92</v>
      </c>
      <c r="C84" t="s">
        <v>94</v>
      </c>
      <c r="D84" s="2">
        <v>8</v>
      </c>
      <c r="E84" s="2">
        <v>69</v>
      </c>
      <c r="F84" s="2">
        <v>24</v>
      </c>
      <c r="G84" s="2">
        <v>3</v>
      </c>
      <c r="H84" s="3">
        <f t="shared" si="3"/>
        <v>104</v>
      </c>
      <c r="I84" s="3">
        <v>76650</v>
      </c>
      <c r="J84" s="23">
        <v>1</v>
      </c>
      <c r="K84">
        <v>216</v>
      </c>
      <c r="L84" s="23">
        <f t="shared" si="4"/>
        <v>2.8180039138943247</v>
      </c>
    </row>
    <row r="85" spans="1:12" x14ac:dyDescent="0.25">
      <c r="H85" s="3">
        <f t="shared" si="3"/>
        <v>0</v>
      </c>
    </row>
    <row r="86" spans="1:12" x14ac:dyDescent="0.25">
      <c r="A86" s="1">
        <v>2020034</v>
      </c>
      <c r="B86" t="s">
        <v>95</v>
      </c>
      <c r="C86" t="s">
        <v>96</v>
      </c>
      <c r="D86" s="2">
        <v>84</v>
      </c>
      <c r="E86" s="2">
        <v>93</v>
      </c>
      <c r="F86" s="2">
        <v>76</v>
      </c>
      <c r="G86" s="2">
        <v>80</v>
      </c>
      <c r="H86" s="3">
        <f t="shared" si="3"/>
        <v>333</v>
      </c>
      <c r="I86" s="2">
        <v>333</v>
      </c>
      <c r="J86" s="23">
        <f t="shared" si="2"/>
        <v>4.3444227005870841</v>
      </c>
      <c r="K86">
        <v>402</v>
      </c>
      <c r="L86" s="23">
        <f t="shared" si="4"/>
        <v>5.244618395303327</v>
      </c>
    </row>
    <row r="87" spans="1:12" x14ac:dyDescent="0.25">
      <c r="H87" s="3">
        <f t="shared" si="3"/>
        <v>0</v>
      </c>
    </row>
    <row r="88" spans="1:12" x14ac:dyDescent="0.25">
      <c r="A88" s="1">
        <v>2020040</v>
      </c>
      <c r="B88" t="s">
        <v>97</v>
      </c>
      <c r="C88" t="s">
        <v>98</v>
      </c>
      <c r="D88" s="2">
        <v>47</v>
      </c>
      <c r="E88" s="2">
        <v>65</v>
      </c>
      <c r="F88" s="2">
        <v>78</v>
      </c>
      <c r="G88" s="2">
        <v>54</v>
      </c>
      <c r="H88" s="3">
        <f t="shared" si="3"/>
        <v>244</v>
      </c>
      <c r="I88" s="2">
        <v>244</v>
      </c>
      <c r="J88" s="23">
        <f t="shared" ref="J88:J101" si="5">SUM(I88*1000)/76650</f>
        <v>3.1833007175472927</v>
      </c>
      <c r="K88">
        <v>363</v>
      </c>
      <c r="L88" s="23">
        <f t="shared" si="4"/>
        <v>4.7358121330724074</v>
      </c>
    </row>
    <row r="89" spans="1:12" x14ac:dyDescent="0.25">
      <c r="H89" s="3">
        <f t="shared" si="3"/>
        <v>0</v>
      </c>
    </row>
    <row r="90" spans="1:12" x14ac:dyDescent="0.25">
      <c r="A90" s="1">
        <v>2020044</v>
      </c>
      <c r="B90" t="s">
        <v>99</v>
      </c>
      <c r="C90" t="s">
        <v>100</v>
      </c>
      <c r="D90" s="2">
        <v>117</v>
      </c>
      <c r="E90" s="2">
        <v>245</v>
      </c>
      <c r="F90" s="2">
        <v>131</v>
      </c>
      <c r="G90" s="2">
        <v>136</v>
      </c>
      <c r="H90" s="3">
        <f t="shared" si="3"/>
        <v>629</v>
      </c>
      <c r="I90" s="2">
        <v>629</v>
      </c>
      <c r="J90" s="23">
        <f t="shared" si="5"/>
        <v>8.206131767775604</v>
      </c>
      <c r="K90">
        <v>706</v>
      </c>
      <c r="L90" s="23">
        <f t="shared" si="4"/>
        <v>9.2106979778212654</v>
      </c>
    </row>
    <row r="91" spans="1:12" x14ac:dyDescent="0.25">
      <c r="H91" s="3">
        <f t="shared" si="3"/>
        <v>0</v>
      </c>
    </row>
    <row r="92" spans="1:12" x14ac:dyDescent="0.25">
      <c r="A92" s="1">
        <v>2030055</v>
      </c>
      <c r="B92" t="s">
        <v>101</v>
      </c>
      <c r="C92" t="s">
        <v>102</v>
      </c>
      <c r="D92" s="2">
        <v>26</v>
      </c>
      <c r="E92" s="2">
        <v>38</v>
      </c>
      <c r="F92" s="2">
        <v>27</v>
      </c>
      <c r="G92" s="2">
        <v>0</v>
      </c>
      <c r="H92" s="3">
        <f t="shared" si="3"/>
        <v>91</v>
      </c>
    </row>
    <row r="93" spans="1:12" x14ac:dyDescent="0.25">
      <c r="A93" s="1">
        <v>2030055</v>
      </c>
      <c r="B93" t="s">
        <v>101</v>
      </c>
      <c r="C93" t="s">
        <v>103</v>
      </c>
      <c r="D93" s="2">
        <v>120</v>
      </c>
      <c r="E93" s="2">
        <v>312</v>
      </c>
      <c r="F93" s="2">
        <v>173</v>
      </c>
      <c r="G93" s="2">
        <v>2</v>
      </c>
      <c r="H93" s="3">
        <f t="shared" si="3"/>
        <v>607</v>
      </c>
    </row>
    <row r="94" spans="1:12" x14ac:dyDescent="0.25">
      <c r="A94" s="1">
        <v>2030055</v>
      </c>
      <c r="B94" t="s">
        <v>101</v>
      </c>
      <c r="C94" t="s">
        <v>104</v>
      </c>
      <c r="D94" s="2">
        <v>362</v>
      </c>
      <c r="E94" s="2">
        <v>428</v>
      </c>
      <c r="F94" s="2">
        <v>344</v>
      </c>
      <c r="G94" s="2">
        <v>117</v>
      </c>
      <c r="H94" s="3">
        <f t="shared" si="3"/>
        <v>1251</v>
      </c>
      <c r="I94" s="3">
        <f>SUM(H94-H92)</f>
        <v>1160</v>
      </c>
      <c r="J94" s="23">
        <f t="shared" si="5"/>
        <v>15.133724722765818</v>
      </c>
      <c r="K94">
        <v>1091</v>
      </c>
      <c r="L94" s="23">
        <f t="shared" si="4"/>
        <v>14.233529028049576</v>
      </c>
    </row>
    <row r="95" spans="1:12" x14ac:dyDescent="0.25">
      <c r="H95" s="3">
        <f t="shared" si="3"/>
        <v>0</v>
      </c>
    </row>
    <row r="96" spans="1:12" x14ac:dyDescent="0.25">
      <c r="A96" s="1">
        <v>2030080</v>
      </c>
      <c r="B96" t="s">
        <v>105</v>
      </c>
      <c r="C96" t="s">
        <v>106</v>
      </c>
      <c r="D96" s="2">
        <v>187</v>
      </c>
      <c r="E96" s="2">
        <v>459</v>
      </c>
      <c r="F96" s="2">
        <v>238</v>
      </c>
      <c r="G96" s="2">
        <v>100</v>
      </c>
      <c r="H96" s="3">
        <f t="shared" si="3"/>
        <v>984</v>
      </c>
      <c r="I96" s="2">
        <v>984</v>
      </c>
      <c r="J96" s="23">
        <f t="shared" si="5"/>
        <v>12.83757338551859</v>
      </c>
      <c r="K96">
        <v>781</v>
      </c>
      <c r="L96" s="23">
        <f t="shared" si="4"/>
        <v>10.189171559034573</v>
      </c>
    </row>
    <row r="97" spans="1:12" x14ac:dyDescent="0.25">
      <c r="H97" s="3">
        <f t="shared" si="3"/>
        <v>0</v>
      </c>
    </row>
    <row r="98" spans="1:12" x14ac:dyDescent="0.25">
      <c r="A98" s="1">
        <v>2030105</v>
      </c>
      <c r="B98" t="s">
        <v>107</v>
      </c>
      <c r="C98" t="s">
        <v>108</v>
      </c>
      <c r="D98" s="2">
        <v>32</v>
      </c>
      <c r="E98" s="2">
        <v>27</v>
      </c>
      <c r="F98" s="2">
        <v>34</v>
      </c>
      <c r="G98" s="2">
        <v>46</v>
      </c>
      <c r="H98" s="3">
        <f t="shared" si="3"/>
        <v>139</v>
      </c>
      <c r="I98" s="2">
        <v>139</v>
      </c>
      <c r="J98" s="23">
        <f t="shared" si="5"/>
        <v>1.8134377038486627</v>
      </c>
      <c r="K98">
        <v>161</v>
      </c>
      <c r="L98" s="23">
        <f t="shared" si="4"/>
        <v>2.1004566210045663</v>
      </c>
    </row>
    <row r="99" spans="1:12" x14ac:dyDescent="0.25">
      <c r="H99" s="3">
        <f t="shared" si="3"/>
        <v>0</v>
      </c>
    </row>
    <row r="100" spans="1:12" x14ac:dyDescent="0.25">
      <c r="A100" s="1">
        <v>2030120</v>
      </c>
      <c r="B100" t="s">
        <v>109</v>
      </c>
      <c r="C100" t="s">
        <v>110</v>
      </c>
      <c r="D100" s="2">
        <v>265</v>
      </c>
      <c r="E100" s="2">
        <v>621</v>
      </c>
      <c r="F100" s="2">
        <v>366</v>
      </c>
      <c r="G100" s="2">
        <v>225</v>
      </c>
      <c r="H100" s="3">
        <f t="shared" si="3"/>
        <v>1477</v>
      </c>
    </row>
    <row r="101" spans="1:12" x14ac:dyDescent="0.25">
      <c r="A101" s="1">
        <v>2030120</v>
      </c>
      <c r="B101" t="s">
        <v>111</v>
      </c>
      <c r="C101" t="s">
        <v>112</v>
      </c>
      <c r="D101" s="2">
        <v>269</v>
      </c>
      <c r="E101" s="2">
        <v>894</v>
      </c>
      <c r="F101" s="2">
        <v>657</v>
      </c>
      <c r="G101" s="2">
        <v>334</v>
      </c>
      <c r="H101" s="3">
        <f t="shared" si="3"/>
        <v>2154</v>
      </c>
      <c r="I101" s="3" cm="1">
        <f t="array" ref="I101">SUM(H100:H101-H102)</f>
        <v>2531</v>
      </c>
      <c r="J101" s="23">
        <f t="shared" si="5"/>
        <v>33.020221787345072</v>
      </c>
      <c r="K101">
        <v>2888</v>
      </c>
      <c r="L101" s="23">
        <f t="shared" si="4"/>
        <v>37.677756033920417</v>
      </c>
    </row>
    <row r="102" spans="1:12" x14ac:dyDescent="0.25">
      <c r="A102" s="1">
        <v>2030120</v>
      </c>
      <c r="B102" t="s">
        <v>113</v>
      </c>
      <c r="C102" t="s">
        <v>114</v>
      </c>
      <c r="D102" s="2">
        <v>58</v>
      </c>
      <c r="E102" s="2">
        <v>364</v>
      </c>
      <c r="F102" s="2">
        <v>128</v>
      </c>
      <c r="G102" s="2">
        <v>0</v>
      </c>
      <c r="H102" s="3">
        <f t="shared" si="3"/>
        <v>550</v>
      </c>
    </row>
    <row r="103" spans="1:12" x14ac:dyDescent="0.25">
      <c r="H103" s="3">
        <f t="shared" si="3"/>
        <v>0</v>
      </c>
    </row>
    <row r="104" spans="1:12" x14ac:dyDescent="0.25">
      <c r="A104" s="1">
        <v>2030135</v>
      </c>
      <c r="B104" t="s">
        <v>115</v>
      </c>
      <c r="C104" t="s">
        <v>116</v>
      </c>
      <c r="D104" s="2">
        <v>16</v>
      </c>
      <c r="E104" s="2">
        <v>12</v>
      </c>
      <c r="F104" s="2">
        <v>17</v>
      </c>
      <c r="G104" s="2">
        <v>15</v>
      </c>
      <c r="H104" s="3">
        <f t="shared" si="3"/>
        <v>60</v>
      </c>
      <c r="I104" s="2">
        <v>76650</v>
      </c>
      <c r="J104" s="23">
        <v>1</v>
      </c>
      <c r="K104" s="2">
        <v>76650</v>
      </c>
      <c r="L104" s="23">
        <v>1</v>
      </c>
    </row>
    <row r="105" spans="1:12" x14ac:dyDescent="0.25">
      <c r="A105" s="1"/>
      <c r="D105" s="2"/>
      <c r="E105" s="2"/>
      <c r="F105" s="2"/>
      <c r="G105" s="2"/>
      <c r="H105" s="3"/>
      <c r="I105" s="2"/>
      <c r="K105" s="2"/>
    </row>
    <row r="106" spans="1:12" x14ac:dyDescent="0.25">
      <c r="A106" s="1">
        <v>2140008</v>
      </c>
      <c r="B106" t="s">
        <v>556</v>
      </c>
      <c r="C106" t="s">
        <v>557</v>
      </c>
      <c r="H106" s="3">
        <f t="shared" si="3"/>
        <v>0</v>
      </c>
      <c r="I106">
        <v>76650</v>
      </c>
    </row>
    <row r="107" spans="1:12" x14ac:dyDescent="0.25">
      <c r="A107" s="1">
        <v>2140001</v>
      </c>
      <c r="B107" t="s">
        <v>117</v>
      </c>
      <c r="C107" t="s">
        <v>118</v>
      </c>
      <c r="D107" s="2">
        <v>1</v>
      </c>
      <c r="E107" s="2">
        <v>1</v>
      </c>
      <c r="F107" s="2">
        <v>0</v>
      </c>
      <c r="G107" s="2">
        <v>0</v>
      </c>
      <c r="H107" s="3">
        <f t="shared" si="3"/>
        <v>2</v>
      </c>
    </row>
    <row r="108" spans="1:12" x14ac:dyDescent="0.25">
      <c r="A108" s="1">
        <v>2140001</v>
      </c>
      <c r="B108" t="s">
        <v>117</v>
      </c>
      <c r="C108" t="s">
        <v>119</v>
      </c>
      <c r="D108" s="2">
        <v>2</v>
      </c>
      <c r="E108" s="2">
        <v>5</v>
      </c>
      <c r="F108" s="2">
        <v>2</v>
      </c>
      <c r="G108" s="2">
        <v>2</v>
      </c>
      <c r="H108" s="3">
        <f t="shared" si="3"/>
        <v>11</v>
      </c>
    </row>
    <row r="109" spans="1:12" x14ac:dyDescent="0.25">
      <c r="A109" s="1">
        <v>2140001</v>
      </c>
      <c r="B109" t="s">
        <v>117</v>
      </c>
      <c r="C109" t="s">
        <v>120</v>
      </c>
      <c r="D109" s="2">
        <v>13</v>
      </c>
      <c r="E109" s="2">
        <v>16</v>
      </c>
      <c r="F109" s="2">
        <v>14</v>
      </c>
      <c r="G109" s="2">
        <v>14</v>
      </c>
      <c r="H109" s="3">
        <f t="shared" si="3"/>
        <v>57</v>
      </c>
    </row>
    <row r="110" spans="1:12" x14ac:dyDescent="0.25">
      <c r="A110" s="1">
        <v>2140001</v>
      </c>
      <c r="B110" t="s">
        <v>117</v>
      </c>
      <c r="C110" t="s">
        <v>121</v>
      </c>
      <c r="D110" s="2">
        <v>1</v>
      </c>
      <c r="E110" s="2">
        <v>2</v>
      </c>
      <c r="F110" s="2">
        <v>1</v>
      </c>
      <c r="G110" s="2">
        <v>2</v>
      </c>
      <c r="H110" s="3">
        <f t="shared" si="3"/>
        <v>6</v>
      </c>
    </row>
    <row r="111" spans="1:12" x14ac:dyDescent="0.25">
      <c r="A111" s="1">
        <v>2140001</v>
      </c>
      <c r="B111" t="s">
        <v>117</v>
      </c>
      <c r="C111" t="s">
        <v>122</v>
      </c>
      <c r="D111" s="2">
        <v>6</v>
      </c>
      <c r="E111" s="2">
        <v>1</v>
      </c>
      <c r="F111" s="2">
        <v>0</v>
      </c>
      <c r="G111" s="2">
        <v>0</v>
      </c>
      <c r="H111" s="3">
        <f t="shared" si="3"/>
        <v>7</v>
      </c>
    </row>
    <row r="112" spans="1:12" x14ac:dyDescent="0.25">
      <c r="A112" s="1">
        <v>2140001</v>
      </c>
      <c r="B112" t="s">
        <v>123</v>
      </c>
      <c r="C112" t="s">
        <v>124</v>
      </c>
      <c r="D112" s="2">
        <v>177</v>
      </c>
      <c r="E112" s="2">
        <v>217</v>
      </c>
      <c r="F112" s="2">
        <v>351</v>
      </c>
      <c r="G112" s="2">
        <v>451</v>
      </c>
      <c r="H112" s="3">
        <f t="shared" si="3"/>
        <v>1196</v>
      </c>
      <c r="I112" s="3">
        <f>SUM(H107:H112)</f>
        <v>1279</v>
      </c>
      <c r="J112" s="23">
        <f t="shared" ref="J112:J121" si="6">SUM(I112*1000)/76650</f>
        <v>16.686236138290933</v>
      </c>
      <c r="K112">
        <v>1278</v>
      </c>
      <c r="L112" s="23">
        <f t="shared" si="4"/>
        <v>16.673189823874754</v>
      </c>
    </row>
    <row r="113" spans="1:12" x14ac:dyDescent="0.25">
      <c r="A113" s="1"/>
      <c r="D113" s="2"/>
      <c r="E113" s="2"/>
      <c r="F113" s="2"/>
      <c r="G113" s="2"/>
      <c r="H113" s="3">
        <f t="shared" si="3"/>
        <v>0</v>
      </c>
      <c r="I113" s="3"/>
    </row>
    <row r="114" spans="1:12" x14ac:dyDescent="0.25">
      <c r="A114" s="1">
        <v>2140033</v>
      </c>
      <c r="B114" t="s">
        <v>117</v>
      </c>
      <c r="C114" t="s">
        <v>139</v>
      </c>
      <c r="D114" s="2">
        <v>2</v>
      </c>
      <c r="E114" s="2">
        <v>2</v>
      </c>
      <c r="F114" s="2">
        <v>1</v>
      </c>
      <c r="G114" s="2">
        <v>2</v>
      </c>
      <c r="H114" s="3">
        <f t="shared" si="3"/>
        <v>7</v>
      </c>
      <c r="I114" s="3"/>
    </row>
    <row r="115" spans="1:12" x14ac:dyDescent="0.25">
      <c r="A115" s="1">
        <v>2140033</v>
      </c>
      <c r="B115" t="s">
        <v>117</v>
      </c>
      <c r="C115" t="s">
        <v>140</v>
      </c>
      <c r="D115" s="2">
        <v>5</v>
      </c>
      <c r="E115" s="2">
        <v>10</v>
      </c>
      <c r="F115" s="2">
        <v>4</v>
      </c>
      <c r="G115" s="2">
        <v>7</v>
      </c>
      <c r="H115" s="3">
        <f t="shared" si="3"/>
        <v>26</v>
      </c>
      <c r="I115" s="3"/>
    </row>
    <row r="116" spans="1:12" x14ac:dyDescent="0.25">
      <c r="A116" s="1">
        <v>2140033</v>
      </c>
      <c r="B116" t="s">
        <v>117</v>
      </c>
      <c r="C116" t="s">
        <v>141</v>
      </c>
      <c r="D116" s="2">
        <v>10</v>
      </c>
      <c r="E116" s="2">
        <v>10</v>
      </c>
      <c r="F116" s="2">
        <v>9</v>
      </c>
      <c r="G116" s="2">
        <v>9</v>
      </c>
      <c r="H116" s="3">
        <f t="shared" si="3"/>
        <v>38</v>
      </c>
      <c r="I116" s="3"/>
    </row>
    <row r="117" spans="1:12" x14ac:dyDescent="0.25">
      <c r="A117" s="1">
        <v>2140033</v>
      </c>
      <c r="B117" t="s">
        <v>117</v>
      </c>
      <c r="C117" t="s">
        <v>142</v>
      </c>
      <c r="D117" s="2">
        <v>121</v>
      </c>
      <c r="E117" s="2">
        <v>261</v>
      </c>
      <c r="F117" s="2">
        <v>0</v>
      </c>
      <c r="G117" s="2">
        <v>109</v>
      </c>
      <c r="H117" s="3">
        <f t="shared" si="3"/>
        <v>491</v>
      </c>
      <c r="I117" s="3"/>
    </row>
    <row r="118" spans="1:12" x14ac:dyDescent="0.25">
      <c r="A118" s="1">
        <v>2140033</v>
      </c>
      <c r="B118" t="s">
        <v>117</v>
      </c>
      <c r="C118" t="s">
        <v>143</v>
      </c>
      <c r="D118" s="2">
        <v>11</v>
      </c>
      <c r="E118" s="2">
        <v>16</v>
      </c>
      <c r="F118" s="2">
        <v>18</v>
      </c>
      <c r="G118" s="2">
        <v>18</v>
      </c>
      <c r="H118" s="3">
        <f t="shared" si="3"/>
        <v>63</v>
      </c>
      <c r="I118" s="3"/>
    </row>
    <row r="119" spans="1:12" x14ac:dyDescent="0.25">
      <c r="A119" s="1">
        <v>2140033</v>
      </c>
      <c r="B119" t="s">
        <v>117</v>
      </c>
      <c r="C119" t="s">
        <v>144</v>
      </c>
      <c r="D119" s="2">
        <v>106</v>
      </c>
      <c r="E119" s="2">
        <v>83</v>
      </c>
      <c r="F119" s="2">
        <v>88</v>
      </c>
      <c r="G119" s="2">
        <v>81</v>
      </c>
      <c r="H119" s="3">
        <f t="shared" si="3"/>
        <v>358</v>
      </c>
      <c r="I119" s="3"/>
    </row>
    <row r="120" spans="1:12" x14ac:dyDescent="0.25">
      <c r="A120" s="1">
        <v>2140033</v>
      </c>
      <c r="B120" t="s">
        <v>117</v>
      </c>
      <c r="C120" t="s">
        <v>145</v>
      </c>
      <c r="D120" s="2">
        <v>41</v>
      </c>
      <c r="E120" s="2">
        <v>47</v>
      </c>
      <c r="F120" s="2">
        <v>47</v>
      </c>
      <c r="G120" s="2">
        <v>42</v>
      </c>
      <c r="H120" s="3">
        <f t="shared" si="3"/>
        <v>177</v>
      </c>
      <c r="I120" s="3"/>
    </row>
    <row r="121" spans="1:12" x14ac:dyDescent="0.25">
      <c r="A121" s="1">
        <v>2140033</v>
      </c>
      <c r="B121" t="s">
        <v>117</v>
      </c>
      <c r="C121" t="s">
        <v>146</v>
      </c>
      <c r="D121" s="2">
        <v>8</v>
      </c>
      <c r="E121" s="2">
        <v>8</v>
      </c>
      <c r="F121" s="2">
        <v>9</v>
      </c>
      <c r="G121" s="2">
        <v>7</v>
      </c>
      <c r="H121" s="3">
        <f t="shared" si="3"/>
        <v>32</v>
      </c>
      <c r="I121" s="3">
        <f>SUM(H114:H121)</f>
        <v>1192</v>
      </c>
      <c r="J121" s="23">
        <f t="shared" si="6"/>
        <v>15.551206784083496</v>
      </c>
      <c r="K121">
        <v>1169</v>
      </c>
      <c r="L121" s="23">
        <f t="shared" si="4"/>
        <v>15.251141552511415</v>
      </c>
    </row>
    <row r="122" spans="1:12" x14ac:dyDescent="0.25">
      <c r="A122" s="1"/>
      <c r="D122" s="2"/>
      <c r="E122" s="2"/>
      <c r="F122" s="2"/>
      <c r="G122" s="2"/>
      <c r="H122" s="3">
        <f t="shared" si="3"/>
        <v>0</v>
      </c>
      <c r="I122" s="3"/>
    </row>
    <row r="123" spans="1:12" x14ac:dyDescent="0.25">
      <c r="A123" s="1">
        <v>2140051</v>
      </c>
      <c r="B123" t="s">
        <v>147</v>
      </c>
      <c r="C123" t="s">
        <v>148</v>
      </c>
      <c r="D123" s="2">
        <v>3</v>
      </c>
      <c r="E123" s="2">
        <v>1</v>
      </c>
      <c r="F123" s="2">
        <v>2</v>
      </c>
      <c r="G123" s="2">
        <v>1</v>
      </c>
      <c r="H123" s="3">
        <f t="shared" si="3"/>
        <v>7</v>
      </c>
      <c r="I123" s="3"/>
    </row>
    <row r="124" spans="1:12" x14ac:dyDescent="0.25">
      <c r="A124" s="1">
        <v>2140051</v>
      </c>
      <c r="B124" t="s">
        <v>147</v>
      </c>
      <c r="C124" t="s">
        <v>149</v>
      </c>
      <c r="D124" s="2">
        <v>20</v>
      </c>
      <c r="E124" s="2">
        <v>210</v>
      </c>
      <c r="F124" s="2">
        <v>22</v>
      </c>
      <c r="G124" s="2">
        <v>0</v>
      </c>
      <c r="H124" s="3">
        <f t="shared" si="3"/>
        <v>252</v>
      </c>
      <c r="I124" s="3"/>
    </row>
    <row r="125" spans="1:12" x14ac:dyDescent="0.25">
      <c r="A125" s="1">
        <v>2140051</v>
      </c>
      <c r="B125" t="s">
        <v>147</v>
      </c>
      <c r="C125" t="s">
        <v>150</v>
      </c>
      <c r="D125" s="2">
        <v>137</v>
      </c>
      <c r="E125" s="2">
        <v>400</v>
      </c>
      <c r="F125" s="2">
        <v>252</v>
      </c>
      <c r="G125" s="2">
        <v>187</v>
      </c>
      <c r="H125" s="3">
        <f t="shared" si="3"/>
        <v>976</v>
      </c>
      <c r="I125" s="3">
        <f>SUM(H125+H123-H124)</f>
        <v>731</v>
      </c>
      <c r="J125" s="23">
        <f>SUM(I125*1000)/76650</f>
        <v>9.5368558382257014</v>
      </c>
      <c r="K125">
        <v>667</v>
      </c>
      <c r="L125" s="23">
        <f t="shared" si="4"/>
        <v>8.7018917155903459</v>
      </c>
    </row>
    <row r="126" spans="1:12" x14ac:dyDescent="0.25">
      <c r="A126" s="1"/>
      <c r="D126" s="2"/>
      <c r="E126" s="2"/>
      <c r="F126" s="2"/>
      <c r="G126" s="2"/>
      <c r="H126" s="3">
        <f t="shared" si="3"/>
        <v>0</v>
      </c>
      <c r="I126" s="3"/>
    </row>
    <row r="127" spans="1:12" x14ac:dyDescent="0.25">
      <c r="A127" s="1">
        <v>2140085</v>
      </c>
      <c r="B127" t="s">
        <v>151</v>
      </c>
      <c r="C127" t="s">
        <v>152</v>
      </c>
      <c r="D127" s="2">
        <v>74</v>
      </c>
      <c r="E127" s="2">
        <v>90</v>
      </c>
      <c r="F127" s="2">
        <v>82</v>
      </c>
      <c r="G127" s="2">
        <v>78</v>
      </c>
      <c r="H127" s="3">
        <f t="shared" si="3"/>
        <v>324</v>
      </c>
      <c r="I127" s="3">
        <v>324</v>
      </c>
      <c r="J127" s="23">
        <f t="shared" ref="J127:J138" si="7">SUM(I127*1000)/76650</f>
        <v>4.227005870841487</v>
      </c>
      <c r="K127">
        <v>322</v>
      </c>
      <c r="L127" s="23">
        <f t="shared" si="4"/>
        <v>4.2009132420091326</v>
      </c>
    </row>
    <row r="128" spans="1:12" x14ac:dyDescent="0.25">
      <c r="H128" s="3">
        <f t="shared" si="3"/>
        <v>0</v>
      </c>
    </row>
    <row r="129" spans="1:12" x14ac:dyDescent="0.25">
      <c r="A129" s="1">
        <v>2140010</v>
      </c>
      <c r="B129" t="s">
        <v>125</v>
      </c>
      <c r="C129" t="s">
        <v>126</v>
      </c>
      <c r="D129" s="2">
        <v>9</v>
      </c>
      <c r="E129" s="2">
        <v>5</v>
      </c>
      <c r="F129" s="2">
        <v>5</v>
      </c>
      <c r="G129" s="2">
        <v>6</v>
      </c>
      <c r="H129" s="3">
        <f t="shared" si="3"/>
        <v>25</v>
      </c>
      <c r="I129" s="2">
        <v>76650</v>
      </c>
      <c r="J129" s="23">
        <v>1</v>
      </c>
      <c r="K129" s="2">
        <v>76650</v>
      </c>
      <c r="L129" s="23">
        <v>1</v>
      </c>
    </row>
    <row r="130" spans="1:12" x14ac:dyDescent="0.25">
      <c r="A130" s="1">
        <v>2140020</v>
      </c>
      <c r="B130" t="s">
        <v>127</v>
      </c>
      <c r="C130" t="s">
        <v>128</v>
      </c>
      <c r="D130" s="2">
        <v>4</v>
      </c>
      <c r="E130" s="2">
        <v>6</v>
      </c>
      <c r="F130" s="2">
        <v>22</v>
      </c>
      <c r="G130" s="2">
        <v>4</v>
      </c>
      <c r="H130" s="3">
        <f t="shared" si="3"/>
        <v>36</v>
      </c>
      <c r="I130" s="2">
        <v>76650</v>
      </c>
      <c r="J130" s="23">
        <v>1</v>
      </c>
      <c r="K130" s="2">
        <v>76650</v>
      </c>
      <c r="L130" s="23">
        <v>1</v>
      </c>
    </row>
    <row r="131" spans="1:12" x14ac:dyDescent="0.25">
      <c r="A131" s="1">
        <v>2140022</v>
      </c>
      <c r="B131" t="s">
        <v>129</v>
      </c>
      <c r="C131" t="s">
        <v>130</v>
      </c>
      <c r="D131" s="2">
        <v>8</v>
      </c>
      <c r="E131" s="2">
        <v>31</v>
      </c>
      <c r="F131" s="2">
        <v>16</v>
      </c>
      <c r="G131" s="2">
        <v>2</v>
      </c>
      <c r="H131" s="3">
        <f t="shared" si="3"/>
        <v>57</v>
      </c>
      <c r="I131" s="2">
        <v>76650</v>
      </c>
      <c r="J131" s="23">
        <v>1</v>
      </c>
      <c r="K131" s="2">
        <v>76650</v>
      </c>
      <c r="L131" s="23">
        <v>1</v>
      </c>
    </row>
    <row r="132" spans="1:12" x14ac:dyDescent="0.25">
      <c r="A132" s="1">
        <v>2140024</v>
      </c>
      <c r="B132" t="s">
        <v>131</v>
      </c>
      <c r="C132" t="s">
        <v>132</v>
      </c>
      <c r="D132" s="2">
        <v>17</v>
      </c>
      <c r="E132" s="2">
        <v>28</v>
      </c>
      <c r="F132" s="2">
        <v>13</v>
      </c>
      <c r="G132" s="2">
        <v>1</v>
      </c>
      <c r="H132" s="3">
        <f t="shared" si="3"/>
        <v>59</v>
      </c>
      <c r="I132" s="2">
        <v>76650</v>
      </c>
      <c r="J132" s="23">
        <v>1</v>
      </c>
      <c r="K132" s="2">
        <v>76650</v>
      </c>
      <c r="L132" s="23">
        <v>1</v>
      </c>
    </row>
    <row r="133" spans="1:12" x14ac:dyDescent="0.25">
      <c r="A133" s="1">
        <v>2140028</v>
      </c>
      <c r="B133" t="s">
        <v>133</v>
      </c>
      <c r="C133" t="s">
        <v>134</v>
      </c>
      <c r="D133" s="2">
        <v>2</v>
      </c>
      <c r="E133" s="2">
        <v>0</v>
      </c>
      <c r="F133" s="2">
        <v>2</v>
      </c>
      <c r="G133" s="2">
        <v>2</v>
      </c>
      <c r="H133" s="3">
        <f t="shared" si="3"/>
        <v>6</v>
      </c>
      <c r="I133" s="2">
        <v>76650</v>
      </c>
      <c r="J133" s="23">
        <v>1</v>
      </c>
      <c r="K133" s="2">
        <v>76650</v>
      </c>
      <c r="L133" s="23">
        <v>1</v>
      </c>
    </row>
    <row r="134" spans="1:12" x14ac:dyDescent="0.25">
      <c r="A134" s="1">
        <v>2140030</v>
      </c>
      <c r="B134" t="s">
        <v>135</v>
      </c>
      <c r="C134" t="s">
        <v>136</v>
      </c>
      <c r="D134" s="2">
        <v>7</v>
      </c>
      <c r="E134" s="2">
        <v>48</v>
      </c>
      <c r="F134" s="2">
        <v>20</v>
      </c>
      <c r="G134" s="2">
        <v>1</v>
      </c>
      <c r="H134" s="3">
        <f t="shared" si="3"/>
        <v>76</v>
      </c>
      <c r="I134" s="2">
        <v>76650</v>
      </c>
      <c r="J134" s="23">
        <v>1</v>
      </c>
      <c r="K134" s="2">
        <v>76650</v>
      </c>
      <c r="L134" s="23">
        <v>1</v>
      </c>
    </row>
    <row r="135" spans="1:12" x14ac:dyDescent="0.25">
      <c r="A135" s="1">
        <v>2140032</v>
      </c>
      <c r="B135" t="s">
        <v>137</v>
      </c>
      <c r="C135" t="s">
        <v>138</v>
      </c>
      <c r="D135" s="2">
        <v>70</v>
      </c>
      <c r="E135" s="2">
        <v>152</v>
      </c>
      <c r="F135" s="2">
        <v>59</v>
      </c>
      <c r="G135" s="2">
        <v>47</v>
      </c>
      <c r="H135" s="3">
        <f t="shared" si="3"/>
        <v>328</v>
      </c>
      <c r="I135" s="2">
        <v>328</v>
      </c>
      <c r="J135" s="23">
        <f t="shared" si="7"/>
        <v>4.2791911285061968</v>
      </c>
      <c r="K135">
        <v>265</v>
      </c>
      <c r="L135" s="23">
        <f t="shared" ref="L135:L189" si="8">SUM(K135*1000)/76650</f>
        <v>3.4572733202870189</v>
      </c>
    </row>
    <row r="136" spans="1:12" x14ac:dyDescent="0.25">
      <c r="H136" s="3">
        <f t="shared" si="3"/>
        <v>0</v>
      </c>
    </row>
    <row r="137" spans="1:12" x14ac:dyDescent="0.25">
      <c r="A137" s="1">
        <v>2140034</v>
      </c>
      <c r="B137" t="s">
        <v>153</v>
      </c>
      <c r="C137" t="s">
        <v>154</v>
      </c>
      <c r="D137" s="2">
        <v>61</v>
      </c>
      <c r="E137" s="2">
        <v>42</v>
      </c>
      <c r="F137" s="2">
        <v>22</v>
      </c>
      <c r="G137" s="2">
        <v>8</v>
      </c>
      <c r="H137" s="3">
        <f t="shared" ref="H137:H200" si="9">SUM(D137:G137)</f>
        <v>133</v>
      </c>
      <c r="I137" s="2">
        <v>133</v>
      </c>
      <c r="J137" s="23">
        <f t="shared" si="7"/>
        <v>1.7351598173515981</v>
      </c>
      <c r="K137">
        <v>76650</v>
      </c>
      <c r="L137" s="23">
        <v>1</v>
      </c>
    </row>
    <row r="138" spans="1:12" x14ac:dyDescent="0.25">
      <c r="A138" s="1">
        <v>2140036</v>
      </c>
      <c r="B138" t="s">
        <v>155</v>
      </c>
      <c r="C138" t="s">
        <v>156</v>
      </c>
      <c r="D138" s="2">
        <v>27</v>
      </c>
      <c r="E138" s="2">
        <v>89</v>
      </c>
      <c r="F138" s="2">
        <v>48</v>
      </c>
      <c r="G138" s="2">
        <v>11</v>
      </c>
      <c r="H138" s="3">
        <f t="shared" si="9"/>
        <v>175</v>
      </c>
      <c r="I138" s="2">
        <v>175</v>
      </c>
      <c r="J138" s="23">
        <f t="shared" si="7"/>
        <v>2.2831050228310503</v>
      </c>
      <c r="K138">
        <v>199</v>
      </c>
      <c r="L138" s="23">
        <f t="shared" si="8"/>
        <v>2.5962165688193086</v>
      </c>
    </row>
    <row r="139" spans="1:12" x14ac:dyDescent="0.25">
      <c r="H139" s="3">
        <f t="shared" si="9"/>
        <v>0</v>
      </c>
    </row>
    <row r="140" spans="1:12" x14ac:dyDescent="0.25">
      <c r="A140" s="5">
        <v>2140056</v>
      </c>
      <c r="B140" s="6" t="s">
        <v>157</v>
      </c>
      <c r="C140" s="6" t="s">
        <v>158</v>
      </c>
      <c r="D140" s="7">
        <v>25</v>
      </c>
      <c r="E140" s="7">
        <v>44</v>
      </c>
      <c r="F140" s="7">
        <v>44</v>
      </c>
      <c r="G140" s="7">
        <v>36</v>
      </c>
      <c r="H140" s="8">
        <f t="shared" si="9"/>
        <v>149</v>
      </c>
      <c r="I140" s="6"/>
      <c r="K140" s="6"/>
    </row>
    <row r="141" spans="1:12" x14ac:dyDescent="0.25">
      <c r="A141" s="5">
        <v>2140056</v>
      </c>
      <c r="B141" s="6" t="s">
        <v>159</v>
      </c>
      <c r="C141" s="6" t="s">
        <v>160</v>
      </c>
      <c r="D141" s="7">
        <v>4</v>
      </c>
      <c r="E141" s="7">
        <v>1</v>
      </c>
      <c r="F141" s="7">
        <v>1</v>
      </c>
      <c r="G141" s="7">
        <v>6</v>
      </c>
      <c r="H141" s="8">
        <f t="shared" si="9"/>
        <v>12</v>
      </c>
      <c r="I141" s="6"/>
      <c r="K141" s="6"/>
    </row>
    <row r="142" spans="1:12" x14ac:dyDescent="0.25">
      <c r="A142" s="5">
        <v>2140056</v>
      </c>
      <c r="B142" s="6"/>
      <c r="C142" s="6"/>
      <c r="D142" s="6"/>
      <c r="E142" s="6"/>
      <c r="F142" s="6"/>
      <c r="G142" s="6"/>
      <c r="H142" s="8">
        <f t="shared" si="9"/>
        <v>0</v>
      </c>
      <c r="I142" s="6"/>
      <c r="K142" s="6"/>
    </row>
    <row r="143" spans="1:12" x14ac:dyDescent="0.25">
      <c r="A143" s="5">
        <v>2140056</v>
      </c>
      <c r="B143" s="6"/>
      <c r="C143" s="6"/>
      <c r="D143" s="6"/>
      <c r="E143" s="6"/>
      <c r="F143" s="6"/>
      <c r="G143" s="6"/>
      <c r="H143" s="8">
        <f t="shared" si="9"/>
        <v>0</v>
      </c>
      <c r="I143" s="6"/>
      <c r="K143" s="6"/>
    </row>
    <row r="144" spans="1:12" x14ac:dyDescent="0.25">
      <c r="A144" s="5">
        <v>2140056</v>
      </c>
      <c r="B144" s="6"/>
      <c r="C144" s="6"/>
      <c r="D144" s="6"/>
      <c r="E144" s="6"/>
      <c r="F144" s="6"/>
      <c r="G144" s="6"/>
      <c r="H144" s="8">
        <f t="shared" si="9"/>
        <v>0</v>
      </c>
      <c r="I144" s="6"/>
      <c r="K144" s="6"/>
    </row>
    <row r="145" spans="1:12" x14ac:dyDescent="0.25">
      <c r="A145" s="5">
        <v>2140056</v>
      </c>
      <c r="B145" s="6"/>
      <c r="C145" s="6"/>
      <c r="D145" s="6"/>
      <c r="E145" s="6"/>
      <c r="F145" s="6"/>
      <c r="G145" s="6"/>
      <c r="H145" s="8">
        <f t="shared" si="9"/>
        <v>0</v>
      </c>
      <c r="I145" s="22">
        <v>2600</v>
      </c>
      <c r="J145" s="23">
        <f t="shared" ref="J145:J158" si="10">SUM(I145*1000)/76650</f>
        <v>33.920417482061318</v>
      </c>
      <c r="K145" s="6">
        <v>2458</v>
      </c>
      <c r="L145" s="23">
        <f t="shared" si="8"/>
        <v>32.067840834964123</v>
      </c>
    </row>
    <row r="146" spans="1:12" x14ac:dyDescent="0.25">
      <c r="H146" s="3">
        <f t="shared" si="9"/>
        <v>0</v>
      </c>
    </row>
    <row r="147" spans="1:12" x14ac:dyDescent="0.25">
      <c r="A147" s="1">
        <v>2140080</v>
      </c>
      <c r="B147" t="s">
        <v>161</v>
      </c>
      <c r="C147" t="s">
        <v>162</v>
      </c>
      <c r="D147" s="2">
        <v>2</v>
      </c>
      <c r="E147" s="2">
        <v>2</v>
      </c>
      <c r="F147" s="2">
        <v>3</v>
      </c>
      <c r="G147" s="2">
        <v>3</v>
      </c>
      <c r="H147" s="3">
        <f t="shared" si="9"/>
        <v>10</v>
      </c>
      <c r="I147" s="2">
        <v>76650</v>
      </c>
      <c r="J147" s="23">
        <v>1</v>
      </c>
      <c r="K147">
        <v>249</v>
      </c>
      <c r="L147" s="23">
        <f t="shared" si="8"/>
        <v>3.2485322896281801</v>
      </c>
    </row>
    <row r="148" spans="1:12" x14ac:dyDescent="0.25">
      <c r="H148" s="3">
        <f t="shared" si="9"/>
        <v>0</v>
      </c>
    </row>
    <row r="149" spans="1:12" x14ac:dyDescent="0.25">
      <c r="A149" s="1">
        <v>2200015</v>
      </c>
      <c r="B149" t="s">
        <v>163</v>
      </c>
      <c r="C149" t="s">
        <v>164</v>
      </c>
      <c r="D149" s="2">
        <v>18</v>
      </c>
      <c r="E149" s="2">
        <v>20</v>
      </c>
      <c r="F149" s="2">
        <v>20</v>
      </c>
      <c r="G149" s="2">
        <v>20</v>
      </c>
      <c r="H149" s="3">
        <f t="shared" si="9"/>
        <v>78</v>
      </c>
      <c r="I149" s="2">
        <v>78</v>
      </c>
      <c r="J149" s="23">
        <f t="shared" si="10"/>
        <v>1.0176125244618395</v>
      </c>
      <c r="K149" s="2">
        <v>86</v>
      </c>
      <c r="L149" s="23">
        <f t="shared" si="8"/>
        <v>1.1219830397912589</v>
      </c>
    </row>
    <row r="150" spans="1:12" x14ac:dyDescent="0.25">
      <c r="H150" s="3">
        <f t="shared" si="9"/>
        <v>0</v>
      </c>
    </row>
    <row r="151" spans="1:12" x14ac:dyDescent="0.25">
      <c r="A151" s="1">
        <v>2210016</v>
      </c>
      <c r="B151" t="s">
        <v>10</v>
      </c>
      <c r="C151" t="s">
        <v>165</v>
      </c>
      <c r="D151" s="2">
        <v>0</v>
      </c>
      <c r="E151" s="2">
        <v>0</v>
      </c>
      <c r="F151" s="2">
        <v>0</v>
      </c>
      <c r="G151" s="2">
        <v>0</v>
      </c>
      <c r="H151" s="3">
        <f t="shared" si="9"/>
        <v>0</v>
      </c>
    </row>
    <row r="152" spans="1:12" x14ac:dyDescent="0.25">
      <c r="A152" s="1">
        <v>2210016</v>
      </c>
      <c r="B152" t="s">
        <v>10</v>
      </c>
      <c r="C152" t="s">
        <v>166</v>
      </c>
      <c r="D152" s="2">
        <v>0</v>
      </c>
      <c r="E152" s="2">
        <v>2</v>
      </c>
      <c r="F152" s="2">
        <v>1</v>
      </c>
      <c r="G152" s="2">
        <v>0</v>
      </c>
      <c r="H152" s="3">
        <f t="shared" si="9"/>
        <v>3</v>
      </c>
    </row>
    <row r="153" spans="1:12" x14ac:dyDescent="0.25">
      <c r="A153" s="1">
        <v>2210016</v>
      </c>
      <c r="B153" t="s">
        <v>10</v>
      </c>
      <c r="C153" t="s">
        <v>167</v>
      </c>
      <c r="D153" s="2">
        <v>0</v>
      </c>
      <c r="E153" s="2">
        <v>81</v>
      </c>
      <c r="F153" s="2">
        <v>0</v>
      </c>
      <c r="G153" s="2">
        <v>0</v>
      </c>
      <c r="H153" s="3">
        <f t="shared" si="9"/>
        <v>81</v>
      </c>
    </row>
    <row r="154" spans="1:12" x14ac:dyDescent="0.25">
      <c r="A154" s="1">
        <v>2210016</v>
      </c>
      <c r="B154" t="s">
        <v>10</v>
      </c>
      <c r="C154" t="s">
        <v>168</v>
      </c>
      <c r="D154" s="2">
        <v>22</v>
      </c>
      <c r="E154" s="2">
        <v>104</v>
      </c>
      <c r="F154" s="2">
        <v>13</v>
      </c>
      <c r="G154" s="2">
        <v>18</v>
      </c>
      <c r="H154" s="3">
        <f t="shared" si="9"/>
        <v>157</v>
      </c>
    </row>
    <row r="155" spans="1:12" x14ac:dyDescent="0.25">
      <c r="A155" s="1">
        <v>2210016</v>
      </c>
      <c r="B155" t="s">
        <v>169</v>
      </c>
      <c r="C155" t="s">
        <v>170</v>
      </c>
      <c r="D155" s="2">
        <v>2</v>
      </c>
      <c r="E155" s="2">
        <v>1</v>
      </c>
      <c r="F155" s="2">
        <v>2</v>
      </c>
      <c r="G155" s="2">
        <v>4</v>
      </c>
      <c r="H155" s="3">
        <f t="shared" si="9"/>
        <v>9</v>
      </c>
      <c r="I155" s="3">
        <f>SUM(H151:H155)-81</f>
        <v>169</v>
      </c>
      <c r="J155" s="23">
        <f t="shared" si="10"/>
        <v>2.2048271363339857</v>
      </c>
      <c r="K155">
        <v>297</v>
      </c>
      <c r="L155" s="23">
        <f t="shared" si="8"/>
        <v>3.8747553816046967</v>
      </c>
    </row>
    <row r="156" spans="1:12" x14ac:dyDescent="0.25">
      <c r="H156" s="3">
        <f t="shared" si="9"/>
        <v>0</v>
      </c>
    </row>
    <row r="157" spans="1:12" x14ac:dyDescent="0.25">
      <c r="A157" s="1">
        <v>2280080</v>
      </c>
      <c r="B157" t="s">
        <v>171</v>
      </c>
      <c r="C157" t="s">
        <v>172</v>
      </c>
      <c r="D157" s="2">
        <v>308</v>
      </c>
      <c r="E157" s="2">
        <v>490</v>
      </c>
      <c r="F157" s="2">
        <v>205</v>
      </c>
      <c r="G157" s="2">
        <v>30</v>
      </c>
      <c r="H157" s="3">
        <f t="shared" si="9"/>
        <v>1033</v>
      </c>
    </row>
    <row r="158" spans="1:12" x14ac:dyDescent="0.25">
      <c r="A158" s="1">
        <v>2280080</v>
      </c>
      <c r="B158" t="s">
        <v>171</v>
      </c>
      <c r="C158" t="s">
        <v>173</v>
      </c>
      <c r="D158" s="2">
        <v>227</v>
      </c>
      <c r="E158" s="2">
        <v>468</v>
      </c>
      <c r="F158" s="2">
        <v>178</v>
      </c>
      <c r="G158" s="2">
        <v>0</v>
      </c>
      <c r="H158" s="3">
        <f t="shared" si="9"/>
        <v>873</v>
      </c>
      <c r="I158" s="3">
        <f>SUM(H157-873)</f>
        <v>160</v>
      </c>
      <c r="J158" s="23">
        <f t="shared" si="10"/>
        <v>2.0874103065883887</v>
      </c>
      <c r="K158">
        <v>115</v>
      </c>
      <c r="L158" s="23">
        <f t="shared" si="8"/>
        <v>1.5003261578604044</v>
      </c>
    </row>
    <row r="159" spans="1:12" x14ac:dyDescent="0.25">
      <c r="H159" s="3">
        <f t="shared" si="9"/>
        <v>0</v>
      </c>
    </row>
    <row r="160" spans="1:12" x14ac:dyDescent="0.25">
      <c r="A160" s="1">
        <v>2280100</v>
      </c>
      <c r="B160" t="s">
        <v>174</v>
      </c>
      <c r="C160" t="s">
        <v>175</v>
      </c>
      <c r="D160" s="2">
        <v>374</v>
      </c>
      <c r="E160" s="2">
        <v>506</v>
      </c>
      <c r="F160" s="2">
        <v>406</v>
      </c>
      <c r="G160" s="2">
        <v>353</v>
      </c>
      <c r="H160" s="3">
        <f t="shared" si="9"/>
        <v>1639</v>
      </c>
    </row>
    <row r="161" spans="1:12" x14ac:dyDescent="0.25">
      <c r="A161" s="1">
        <v>2280100</v>
      </c>
      <c r="B161" t="s">
        <v>176</v>
      </c>
      <c r="C161" t="s">
        <v>175</v>
      </c>
      <c r="D161" s="2">
        <v>439</v>
      </c>
      <c r="E161" s="2">
        <v>510</v>
      </c>
      <c r="F161" s="2">
        <v>429</v>
      </c>
      <c r="G161" s="2">
        <v>385</v>
      </c>
      <c r="H161" s="3">
        <f t="shared" si="9"/>
        <v>1763</v>
      </c>
      <c r="I161" s="3">
        <f>SUM(H160:H161)</f>
        <v>3402</v>
      </c>
      <c r="J161" s="23">
        <f t="shared" ref="J161:J182" si="11">SUM(I161*1000)/76650</f>
        <v>44.38356164383562</v>
      </c>
      <c r="K161">
        <v>2981</v>
      </c>
      <c r="L161" s="23">
        <f t="shared" si="8"/>
        <v>38.891063274624919</v>
      </c>
    </row>
    <row r="162" spans="1:12" x14ac:dyDescent="0.25">
      <c r="H162" s="3">
        <f t="shared" si="9"/>
        <v>0</v>
      </c>
    </row>
    <row r="163" spans="1:12" x14ac:dyDescent="0.25">
      <c r="A163" s="1">
        <v>2280150</v>
      </c>
      <c r="B163" t="s">
        <v>177</v>
      </c>
      <c r="C163" t="s">
        <v>178</v>
      </c>
      <c r="D163" s="2">
        <v>48</v>
      </c>
      <c r="E163" s="2">
        <v>334</v>
      </c>
      <c r="F163" s="2">
        <v>88</v>
      </c>
      <c r="G163" s="2">
        <v>0</v>
      </c>
      <c r="H163" s="3">
        <f t="shared" si="9"/>
        <v>470</v>
      </c>
    </row>
    <row r="164" spans="1:12" x14ac:dyDescent="0.25">
      <c r="A164" s="1">
        <v>2280150</v>
      </c>
      <c r="B164" t="s">
        <v>177</v>
      </c>
      <c r="C164" t="s">
        <v>179</v>
      </c>
      <c r="D164" s="2">
        <v>121</v>
      </c>
      <c r="E164" s="2">
        <v>402</v>
      </c>
      <c r="F164" s="2">
        <v>143</v>
      </c>
      <c r="G164" s="2">
        <v>49</v>
      </c>
      <c r="H164" s="3">
        <f t="shared" si="9"/>
        <v>715</v>
      </c>
      <c r="I164" s="3">
        <f>SUM(H164-H163)</f>
        <v>245</v>
      </c>
      <c r="J164" s="23">
        <f t="shared" si="11"/>
        <v>3.1963470319634704</v>
      </c>
      <c r="K164">
        <v>223</v>
      </c>
      <c r="L164" s="23">
        <f t="shared" si="8"/>
        <v>2.9093281148075669</v>
      </c>
    </row>
    <row r="165" spans="1:12" x14ac:dyDescent="0.25">
      <c r="A165" s="1"/>
      <c r="D165" s="2"/>
      <c r="E165" s="2"/>
      <c r="F165" s="2"/>
      <c r="G165" s="2"/>
      <c r="H165" s="3"/>
      <c r="I165" s="3"/>
    </row>
    <row r="166" spans="1:12" x14ac:dyDescent="0.25">
      <c r="A166" s="1">
        <v>2280200</v>
      </c>
      <c r="B166" t="s">
        <v>180</v>
      </c>
      <c r="C166" t="s">
        <v>181</v>
      </c>
      <c r="D166" s="2">
        <v>15</v>
      </c>
      <c r="E166" s="2">
        <v>112</v>
      </c>
      <c r="F166" s="2">
        <v>40</v>
      </c>
      <c r="G166" s="2">
        <v>18</v>
      </c>
      <c r="H166" s="3">
        <f t="shared" si="9"/>
        <v>185</v>
      </c>
      <c r="I166" s="2">
        <v>185</v>
      </c>
      <c r="J166" s="23">
        <f t="shared" si="11"/>
        <v>2.4135681669928246</v>
      </c>
      <c r="K166">
        <v>278</v>
      </c>
      <c r="L166" s="23">
        <f t="shared" si="8"/>
        <v>3.6268754076973253</v>
      </c>
    </row>
    <row r="167" spans="1:12" x14ac:dyDescent="0.25">
      <c r="H167" s="3">
        <f t="shared" si="9"/>
        <v>0</v>
      </c>
    </row>
    <row r="168" spans="1:12" x14ac:dyDescent="0.25">
      <c r="A168" s="1">
        <v>2810335</v>
      </c>
      <c r="H168" s="3">
        <v>76650</v>
      </c>
    </row>
    <row r="169" spans="1:12" x14ac:dyDescent="0.25">
      <c r="H169" s="3">
        <f t="shared" si="9"/>
        <v>0</v>
      </c>
      <c r="K169">
        <v>76650</v>
      </c>
      <c r="L169" s="23">
        <v>1</v>
      </c>
    </row>
    <row r="170" spans="1:12" x14ac:dyDescent="0.25">
      <c r="A170" s="1">
        <v>2810365</v>
      </c>
      <c r="B170" t="s">
        <v>182</v>
      </c>
      <c r="C170" t="s">
        <v>183</v>
      </c>
      <c r="D170" s="2">
        <v>2</v>
      </c>
      <c r="E170" s="2">
        <v>2</v>
      </c>
      <c r="F170" s="2">
        <v>2</v>
      </c>
      <c r="G170" s="2">
        <v>2</v>
      </c>
      <c r="H170" s="3">
        <f t="shared" si="9"/>
        <v>8</v>
      </c>
      <c r="I170" s="2">
        <v>76650</v>
      </c>
      <c r="J170" s="23">
        <v>1</v>
      </c>
      <c r="K170" s="2">
        <v>76650</v>
      </c>
      <c r="L170" s="23">
        <v>1</v>
      </c>
    </row>
    <row r="171" spans="1:12" x14ac:dyDescent="0.25">
      <c r="A171" s="1"/>
      <c r="D171" s="2"/>
      <c r="E171" s="2"/>
      <c r="F171" s="2"/>
      <c r="G171" s="2"/>
      <c r="H171" s="3"/>
      <c r="I171" s="2"/>
      <c r="K171" s="2"/>
    </row>
    <row r="172" spans="1:12" x14ac:dyDescent="0.25">
      <c r="A172" s="1">
        <v>2840001</v>
      </c>
      <c r="B172" t="s">
        <v>184</v>
      </c>
      <c r="C172" t="s">
        <v>185</v>
      </c>
      <c r="D172" s="2">
        <v>16</v>
      </c>
      <c r="E172" s="2">
        <v>122</v>
      </c>
      <c r="F172" s="2">
        <v>18</v>
      </c>
      <c r="G172" s="2">
        <v>0</v>
      </c>
      <c r="H172" s="3">
        <f t="shared" si="9"/>
        <v>156</v>
      </c>
    </row>
    <row r="173" spans="1:12" x14ac:dyDescent="0.25">
      <c r="A173" s="1">
        <v>2840001</v>
      </c>
      <c r="B173" t="s">
        <v>184</v>
      </c>
      <c r="C173" t="s">
        <v>186</v>
      </c>
      <c r="D173" s="2">
        <v>16</v>
      </c>
      <c r="E173" s="2">
        <v>18</v>
      </c>
      <c r="F173" s="2">
        <v>15</v>
      </c>
      <c r="G173" s="2">
        <v>19</v>
      </c>
      <c r="H173" s="3">
        <f t="shared" si="9"/>
        <v>68</v>
      </c>
      <c r="I173" s="3">
        <f>SUM(H172:H173)</f>
        <v>224</v>
      </c>
      <c r="J173" s="23">
        <f t="shared" si="11"/>
        <v>2.9223744292237441</v>
      </c>
      <c r="K173">
        <v>163</v>
      </c>
      <c r="L173" s="23">
        <f t="shared" si="8"/>
        <v>2.1265492498369212</v>
      </c>
    </row>
    <row r="174" spans="1:12" x14ac:dyDescent="0.25">
      <c r="H174" s="3">
        <f t="shared" si="9"/>
        <v>0</v>
      </c>
    </row>
    <row r="175" spans="1:12" x14ac:dyDescent="0.25">
      <c r="A175" s="1">
        <v>3060224</v>
      </c>
      <c r="H175" s="3">
        <f t="shared" si="9"/>
        <v>0</v>
      </c>
      <c r="I175">
        <v>76650</v>
      </c>
      <c r="J175" s="23">
        <v>1</v>
      </c>
      <c r="K175">
        <v>76650</v>
      </c>
      <c r="L175" s="23">
        <v>1</v>
      </c>
    </row>
    <row r="176" spans="1:12" x14ac:dyDescent="0.25">
      <c r="H176" s="3">
        <f t="shared" si="9"/>
        <v>0</v>
      </c>
    </row>
    <row r="177" spans="1:12" x14ac:dyDescent="0.25">
      <c r="A177" s="5">
        <v>3290027</v>
      </c>
      <c r="B177" s="6" t="s">
        <v>187</v>
      </c>
      <c r="C177" s="6" t="s">
        <v>188</v>
      </c>
      <c r="D177" s="7">
        <v>0</v>
      </c>
      <c r="E177" s="7">
        <v>0</v>
      </c>
      <c r="F177" s="7">
        <v>0</v>
      </c>
      <c r="G177" s="7">
        <v>0</v>
      </c>
      <c r="H177" s="8">
        <f t="shared" si="9"/>
        <v>0</v>
      </c>
      <c r="I177" s="6"/>
      <c r="K177" s="6"/>
    </row>
    <row r="178" spans="1:12" x14ac:dyDescent="0.25">
      <c r="A178" s="5">
        <v>3290027</v>
      </c>
      <c r="B178" s="6" t="s">
        <v>189</v>
      </c>
      <c r="C178" s="6" t="s">
        <v>190</v>
      </c>
      <c r="D178" s="7">
        <v>203</v>
      </c>
      <c r="E178" s="7">
        <v>329</v>
      </c>
      <c r="F178" s="7">
        <v>173</v>
      </c>
      <c r="G178" s="7">
        <v>115</v>
      </c>
      <c r="H178" s="8">
        <f t="shared" si="9"/>
        <v>820</v>
      </c>
      <c r="I178" s="6"/>
      <c r="K178" s="6"/>
    </row>
    <row r="179" spans="1:12" x14ac:dyDescent="0.25">
      <c r="A179" s="5">
        <v>3290027</v>
      </c>
      <c r="B179" s="6" t="s">
        <v>191</v>
      </c>
      <c r="C179" s="6" t="s">
        <v>192</v>
      </c>
      <c r="D179" s="7">
        <v>48</v>
      </c>
      <c r="E179" s="7">
        <v>452</v>
      </c>
      <c r="F179" s="7">
        <v>10</v>
      </c>
      <c r="G179" s="7">
        <v>7</v>
      </c>
      <c r="H179" s="8">
        <f t="shared" si="9"/>
        <v>517</v>
      </c>
      <c r="I179" s="6"/>
      <c r="K179" s="6"/>
    </row>
    <row r="180" spans="1:12" x14ac:dyDescent="0.25">
      <c r="A180" s="5">
        <v>3290027</v>
      </c>
      <c r="B180" s="6"/>
      <c r="C180" s="6"/>
      <c r="D180" s="6"/>
      <c r="E180" s="6"/>
      <c r="F180" s="6"/>
      <c r="G180" s="6"/>
      <c r="H180" s="8">
        <f t="shared" si="9"/>
        <v>0</v>
      </c>
      <c r="I180" s="6"/>
      <c r="K180" s="6"/>
    </row>
    <row r="181" spans="1:12" x14ac:dyDescent="0.25">
      <c r="A181" s="17">
        <v>4500021</v>
      </c>
      <c r="B181" t="s">
        <v>326</v>
      </c>
      <c r="C181" t="s">
        <v>327</v>
      </c>
      <c r="D181" s="2">
        <v>12</v>
      </c>
      <c r="E181" s="2">
        <v>288</v>
      </c>
      <c r="F181" s="2">
        <v>115</v>
      </c>
      <c r="G181" s="2">
        <v>7</v>
      </c>
      <c r="H181" s="8">
        <f t="shared" si="9"/>
        <v>422</v>
      </c>
      <c r="I181" s="6"/>
      <c r="K181" s="6"/>
    </row>
    <row r="182" spans="1:12" x14ac:dyDescent="0.25">
      <c r="A182" s="5">
        <v>3290027</v>
      </c>
      <c r="B182" s="6"/>
      <c r="C182" s="6"/>
      <c r="D182" s="6"/>
      <c r="E182" s="6"/>
      <c r="F182" s="6"/>
      <c r="G182" s="6"/>
      <c r="H182" s="8">
        <f t="shared" si="9"/>
        <v>0</v>
      </c>
      <c r="I182" s="22">
        <v>900</v>
      </c>
      <c r="J182" s="23">
        <f t="shared" si="11"/>
        <v>11.741682974559687</v>
      </c>
      <c r="K182" s="6">
        <v>870</v>
      </c>
      <c r="L182" s="23">
        <f t="shared" si="8"/>
        <v>11.350293542074365</v>
      </c>
    </row>
    <row r="183" spans="1:12" x14ac:dyDescent="0.25">
      <c r="H183" s="3">
        <f t="shared" si="9"/>
        <v>0</v>
      </c>
    </row>
    <row r="184" spans="1:12" x14ac:dyDescent="0.25">
      <c r="A184" s="1">
        <v>3290065</v>
      </c>
      <c r="B184" t="s">
        <v>193</v>
      </c>
      <c r="C184" t="s">
        <v>194</v>
      </c>
      <c r="D184" s="2">
        <v>140</v>
      </c>
      <c r="E184" s="2">
        <v>55</v>
      </c>
      <c r="F184" s="2">
        <v>0</v>
      </c>
      <c r="G184" s="2">
        <v>8</v>
      </c>
      <c r="H184" s="3">
        <f t="shared" si="9"/>
        <v>203</v>
      </c>
    </row>
    <row r="185" spans="1:12" x14ac:dyDescent="0.25">
      <c r="A185" s="1">
        <v>3290065</v>
      </c>
      <c r="B185" t="s">
        <v>195</v>
      </c>
      <c r="C185" t="s">
        <v>196</v>
      </c>
      <c r="D185" s="2">
        <v>243</v>
      </c>
      <c r="E185" s="2">
        <v>84</v>
      </c>
      <c r="F185" s="2">
        <v>0</v>
      </c>
      <c r="G185" s="2">
        <v>18</v>
      </c>
      <c r="H185" s="3">
        <f t="shared" si="9"/>
        <v>345</v>
      </c>
      <c r="I185" s="3">
        <f>SUM(H185-H184)</f>
        <v>142</v>
      </c>
      <c r="J185" s="23">
        <f t="shared" ref="J185:J203" si="12">SUM(I185*1000)/76650</f>
        <v>1.8525766470971949</v>
      </c>
      <c r="K185">
        <v>147</v>
      </c>
      <c r="L185" s="23">
        <f t="shared" si="8"/>
        <v>1.9178082191780821</v>
      </c>
    </row>
    <row r="186" spans="1:12" x14ac:dyDescent="0.25">
      <c r="H186" s="3">
        <f t="shared" si="9"/>
        <v>0</v>
      </c>
    </row>
    <row r="187" spans="1:12" x14ac:dyDescent="0.25">
      <c r="A187" s="1">
        <v>3360151</v>
      </c>
      <c r="B187" t="s">
        <v>197</v>
      </c>
      <c r="C187" t="s">
        <v>198</v>
      </c>
      <c r="D187" s="2">
        <v>148</v>
      </c>
      <c r="E187" s="2">
        <v>177</v>
      </c>
      <c r="F187" s="2">
        <v>203</v>
      </c>
      <c r="G187" s="2">
        <v>177</v>
      </c>
      <c r="H187" s="3">
        <f t="shared" si="9"/>
        <v>705</v>
      </c>
      <c r="I187" s="2">
        <v>705</v>
      </c>
      <c r="J187" s="23">
        <f t="shared" si="12"/>
        <v>9.1976516634050878</v>
      </c>
      <c r="K187">
        <v>816</v>
      </c>
      <c r="L187" s="23">
        <f t="shared" si="8"/>
        <v>10.645792563600782</v>
      </c>
    </row>
    <row r="188" spans="1:12" x14ac:dyDescent="0.25">
      <c r="A188" s="1"/>
      <c r="D188" s="2"/>
      <c r="E188" s="2"/>
      <c r="F188" s="2"/>
      <c r="G188" s="2"/>
      <c r="H188" s="3">
        <f t="shared" si="9"/>
        <v>0</v>
      </c>
    </row>
    <row r="189" spans="1:12" x14ac:dyDescent="0.25">
      <c r="A189" s="1">
        <v>3360154</v>
      </c>
      <c r="B189" t="s">
        <v>199</v>
      </c>
      <c r="C189" t="s">
        <v>200</v>
      </c>
      <c r="D189" s="2">
        <v>146</v>
      </c>
      <c r="E189" s="2">
        <v>0</v>
      </c>
      <c r="F189" s="2">
        <v>65</v>
      </c>
      <c r="G189" s="2">
        <v>79</v>
      </c>
      <c r="H189" s="3">
        <f t="shared" si="9"/>
        <v>290</v>
      </c>
      <c r="I189" s="2">
        <v>290</v>
      </c>
      <c r="J189" s="23">
        <f t="shared" si="12"/>
        <v>3.7834311806914545</v>
      </c>
      <c r="K189">
        <v>156</v>
      </c>
      <c r="L189" s="23">
        <f t="shared" si="8"/>
        <v>2.0352250489236789</v>
      </c>
    </row>
    <row r="190" spans="1:12" x14ac:dyDescent="0.25">
      <c r="H190" s="3">
        <f t="shared" si="9"/>
        <v>0</v>
      </c>
    </row>
    <row r="191" spans="1:12" x14ac:dyDescent="0.25">
      <c r="A191" s="1">
        <v>3360174</v>
      </c>
      <c r="B191" t="s">
        <v>201</v>
      </c>
      <c r="C191" t="s">
        <v>202</v>
      </c>
      <c r="D191" s="2">
        <v>10</v>
      </c>
      <c r="E191" s="2">
        <v>8</v>
      </c>
      <c r="F191" s="2">
        <v>10</v>
      </c>
      <c r="G191" s="2">
        <v>11</v>
      </c>
      <c r="H191" s="3">
        <f t="shared" si="9"/>
        <v>39</v>
      </c>
      <c r="I191" s="2">
        <v>76650</v>
      </c>
      <c r="J191" s="23">
        <v>1</v>
      </c>
      <c r="K191" s="2">
        <v>76650</v>
      </c>
      <c r="L191" s="23">
        <v>1</v>
      </c>
    </row>
    <row r="192" spans="1:12" x14ac:dyDescent="0.25">
      <c r="A192" s="1">
        <v>3360174</v>
      </c>
      <c r="B192" t="s">
        <v>203</v>
      </c>
      <c r="C192" t="s">
        <v>202</v>
      </c>
      <c r="D192" s="2">
        <v>0</v>
      </c>
      <c r="E192" s="2">
        <v>0</v>
      </c>
      <c r="F192" s="2">
        <v>0</v>
      </c>
      <c r="G192" s="2">
        <v>0</v>
      </c>
      <c r="H192" s="3">
        <f t="shared" si="9"/>
        <v>0</v>
      </c>
    </row>
    <row r="193" spans="1:12" x14ac:dyDescent="0.25">
      <c r="A193" s="1"/>
      <c r="D193" s="2"/>
      <c r="E193" s="2"/>
      <c r="F193" s="2"/>
      <c r="G193" s="2"/>
      <c r="H193" s="3"/>
    </row>
    <row r="194" spans="1:12" x14ac:dyDescent="0.25">
      <c r="A194" s="1">
        <v>3360190</v>
      </c>
      <c r="B194" t="s">
        <v>201</v>
      </c>
      <c r="C194" t="s">
        <v>204</v>
      </c>
      <c r="D194" s="2">
        <v>1</v>
      </c>
      <c r="E194" s="2">
        <v>1</v>
      </c>
      <c r="F194" s="2">
        <v>2</v>
      </c>
      <c r="G194" s="2">
        <v>1</v>
      </c>
      <c r="H194" s="3">
        <f t="shared" si="9"/>
        <v>5</v>
      </c>
      <c r="I194" s="2">
        <v>76650</v>
      </c>
      <c r="J194" s="23">
        <v>1</v>
      </c>
      <c r="K194">
        <v>76650</v>
      </c>
      <c r="L194" s="23">
        <v>1</v>
      </c>
    </row>
    <row r="195" spans="1:12" x14ac:dyDescent="0.25">
      <c r="H195" s="3">
        <f t="shared" si="9"/>
        <v>0</v>
      </c>
    </row>
    <row r="196" spans="1:12" x14ac:dyDescent="0.25">
      <c r="A196" s="5">
        <v>3360205</v>
      </c>
      <c r="B196" s="6" t="s">
        <v>205</v>
      </c>
      <c r="C196" s="6" t="s">
        <v>206</v>
      </c>
      <c r="D196" s="7">
        <v>0</v>
      </c>
      <c r="E196" s="7">
        <v>0</v>
      </c>
      <c r="F196" s="7">
        <v>0</v>
      </c>
      <c r="G196" s="7">
        <v>0</v>
      </c>
      <c r="H196" s="3">
        <f t="shared" si="9"/>
        <v>0</v>
      </c>
      <c r="I196" s="6"/>
      <c r="K196" s="6"/>
    </row>
    <row r="197" spans="1:12" x14ac:dyDescent="0.25">
      <c r="A197" s="5">
        <v>3360205</v>
      </c>
      <c r="B197" s="6" t="s">
        <v>205</v>
      </c>
      <c r="C197" s="6" t="s">
        <v>207</v>
      </c>
      <c r="D197" s="7">
        <v>3</v>
      </c>
      <c r="E197" s="7">
        <v>3</v>
      </c>
      <c r="F197" s="7">
        <v>3</v>
      </c>
      <c r="G197" s="7">
        <v>2</v>
      </c>
      <c r="H197" s="3">
        <f t="shared" si="9"/>
        <v>11</v>
      </c>
      <c r="I197" s="6"/>
      <c r="K197" s="6"/>
    </row>
    <row r="198" spans="1:12" x14ac:dyDescent="0.25">
      <c r="A198" s="5">
        <v>3360205</v>
      </c>
      <c r="B198" s="6" t="s">
        <v>208</v>
      </c>
      <c r="C198" s="6" t="s">
        <v>206</v>
      </c>
      <c r="D198" s="7">
        <v>0</v>
      </c>
      <c r="E198" s="7">
        <v>0</v>
      </c>
      <c r="F198" s="7">
        <v>0</v>
      </c>
      <c r="G198" s="7">
        <v>0</v>
      </c>
      <c r="H198" s="3">
        <f t="shared" si="9"/>
        <v>0</v>
      </c>
      <c r="I198" s="6"/>
      <c r="K198" s="6"/>
    </row>
    <row r="199" spans="1:12" x14ac:dyDescent="0.25">
      <c r="A199" s="5">
        <v>3360205</v>
      </c>
      <c r="B199" s="6"/>
      <c r="C199" s="6"/>
      <c r="D199" s="6"/>
      <c r="E199" s="6"/>
      <c r="F199" s="6"/>
      <c r="G199" s="6"/>
      <c r="H199" s="3">
        <f t="shared" si="9"/>
        <v>0</v>
      </c>
      <c r="I199" s="22">
        <v>300</v>
      </c>
      <c r="J199" s="23">
        <f t="shared" si="12"/>
        <v>3.9138943248532287</v>
      </c>
      <c r="K199" s="6">
        <v>218</v>
      </c>
      <c r="L199" s="23">
        <f t="shared" ref="L199:L245" si="13">SUM(K199*1000)/76650</f>
        <v>2.8440965427266796</v>
      </c>
    </row>
    <row r="200" spans="1:12" x14ac:dyDescent="0.25">
      <c r="H200" s="3">
        <f t="shared" si="9"/>
        <v>0</v>
      </c>
    </row>
    <row r="201" spans="1:12" x14ac:dyDescent="0.25">
      <c r="A201" s="1">
        <v>3360500</v>
      </c>
      <c r="B201" t="s">
        <v>209</v>
      </c>
      <c r="C201" t="s">
        <v>210</v>
      </c>
      <c r="D201" s="2">
        <v>717</v>
      </c>
      <c r="E201" s="2">
        <v>1374</v>
      </c>
      <c r="F201" s="2">
        <v>1377</v>
      </c>
      <c r="G201" s="2">
        <v>1064</v>
      </c>
      <c r="H201" s="3">
        <f t="shared" ref="H201:H264" si="14">SUM(D201:G201)</f>
        <v>4532</v>
      </c>
    </row>
    <row r="202" spans="1:12" x14ac:dyDescent="0.25">
      <c r="A202" s="1">
        <v>3360500</v>
      </c>
      <c r="B202" t="s">
        <v>209</v>
      </c>
      <c r="C202" t="s">
        <v>210</v>
      </c>
      <c r="D202" s="2">
        <v>1364</v>
      </c>
      <c r="E202" s="2">
        <v>1976</v>
      </c>
      <c r="F202" s="2">
        <v>1333</v>
      </c>
      <c r="G202" s="2">
        <v>1074</v>
      </c>
      <c r="H202" s="3">
        <f t="shared" si="14"/>
        <v>5747</v>
      </c>
    </row>
    <row r="203" spans="1:12" x14ac:dyDescent="0.25">
      <c r="A203" s="1">
        <v>3360500</v>
      </c>
      <c r="B203" t="s">
        <v>209</v>
      </c>
      <c r="C203" t="s">
        <v>210</v>
      </c>
      <c r="D203" s="2">
        <v>7</v>
      </c>
      <c r="E203" s="2">
        <v>53</v>
      </c>
      <c r="F203" s="2">
        <v>2</v>
      </c>
      <c r="G203" s="2">
        <v>31</v>
      </c>
      <c r="H203" s="3">
        <f t="shared" si="14"/>
        <v>93</v>
      </c>
      <c r="I203" s="3">
        <f>SUM(H201:H203)</f>
        <v>10372</v>
      </c>
      <c r="J203" s="23">
        <f t="shared" si="12"/>
        <v>135.3163731245923</v>
      </c>
      <c r="K203">
        <v>9239</v>
      </c>
      <c r="L203" s="23">
        <f t="shared" si="13"/>
        <v>120.53489889106328</v>
      </c>
    </row>
    <row r="204" spans="1:12" x14ac:dyDescent="0.25">
      <c r="H204" s="3">
        <f t="shared" si="14"/>
        <v>0</v>
      </c>
    </row>
    <row r="205" spans="1:12" x14ac:dyDescent="0.25">
      <c r="A205" s="1">
        <v>3820018</v>
      </c>
      <c r="B205" t="s">
        <v>211</v>
      </c>
      <c r="C205" t="s">
        <v>212</v>
      </c>
      <c r="D205" s="2">
        <v>18</v>
      </c>
      <c r="E205" s="2">
        <v>21</v>
      </c>
      <c r="F205" s="2">
        <v>19</v>
      </c>
      <c r="G205" s="2">
        <v>17</v>
      </c>
      <c r="H205" s="3">
        <f t="shared" si="14"/>
        <v>75</v>
      </c>
      <c r="I205" s="2">
        <v>76650</v>
      </c>
      <c r="J205" s="23">
        <v>1</v>
      </c>
      <c r="K205" s="2">
        <v>76650</v>
      </c>
      <c r="L205" s="23">
        <v>1</v>
      </c>
    </row>
    <row r="206" spans="1:12" x14ac:dyDescent="0.25">
      <c r="A206" s="1"/>
      <c r="D206" s="2"/>
      <c r="E206" s="2"/>
      <c r="F206" s="2"/>
      <c r="G206" s="2"/>
      <c r="H206" s="3"/>
    </row>
    <row r="207" spans="1:12" x14ac:dyDescent="0.25">
      <c r="A207" s="1">
        <v>3890106</v>
      </c>
      <c r="B207" t="s">
        <v>213</v>
      </c>
      <c r="C207" t="s">
        <v>560</v>
      </c>
      <c r="H207" s="3">
        <f t="shared" si="14"/>
        <v>0</v>
      </c>
      <c r="I207">
        <v>76650</v>
      </c>
      <c r="J207" s="23">
        <v>1</v>
      </c>
      <c r="K207">
        <v>76650</v>
      </c>
      <c r="L207" s="23">
        <v>1</v>
      </c>
    </row>
    <row r="208" spans="1:12" x14ac:dyDescent="0.25">
      <c r="H208" s="3"/>
    </row>
    <row r="209" spans="1:12" x14ac:dyDescent="0.25">
      <c r="A209" s="1">
        <v>3900020</v>
      </c>
      <c r="B209" t="s">
        <v>214</v>
      </c>
      <c r="C209" t="s">
        <v>215</v>
      </c>
      <c r="D209" s="2">
        <v>0</v>
      </c>
      <c r="E209" s="2">
        <v>0</v>
      </c>
      <c r="F209" s="2">
        <v>0</v>
      </c>
      <c r="G209" s="2">
        <v>3</v>
      </c>
      <c r="H209" s="3">
        <f t="shared" si="14"/>
        <v>3</v>
      </c>
    </row>
    <row r="210" spans="1:12" x14ac:dyDescent="0.25">
      <c r="A210" s="1">
        <v>3900020</v>
      </c>
      <c r="B210" t="s">
        <v>214</v>
      </c>
      <c r="C210" t="s">
        <v>215</v>
      </c>
      <c r="D210" s="2">
        <v>0</v>
      </c>
      <c r="E210" s="2">
        <v>0</v>
      </c>
      <c r="F210" s="2">
        <v>0</v>
      </c>
      <c r="G210" s="2">
        <v>0</v>
      </c>
      <c r="H210" s="3">
        <f t="shared" si="14"/>
        <v>0</v>
      </c>
    </row>
    <row r="211" spans="1:12" x14ac:dyDescent="0.25">
      <c r="A211" s="1">
        <v>3900020</v>
      </c>
      <c r="B211" t="s">
        <v>216</v>
      </c>
      <c r="C211" t="s">
        <v>215</v>
      </c>
      <c r="D211" s="2">
        <v>0</v>
      </c>
      <c r="E211" s="2">
        <v>0</v>
      </c>
      <c r="F211" s="2">
        <v>0</v>
      </c>
      <c r="G211" s="2">
        <v>0</v>
      </c>
      <c r="H211" s="3">
        <f t="shared" si="14"/>
        <v>0</v>
      </c>
    </row>
    <row r="212" spans="1:12" x14ac:dyDescent="0.25">
      <c r="A212" s="1">
        <v>3900020</v>
      </c>
      <c r="B212" t="s">
        <v>216</v>
      </c>
      <c r="C212" t="s">
        <v>215</v>
      </c>
      <c r="D212" s="2">
        <v>0</v>
      </c>
      <c r="E212" s="2">
        <v>0</v>
      </c>
      <c r="F212" s="2">
        <v>0</v>
      </c>
      <c r="G212" s="2">
        <v>5</v>
      </c>
      <c r="H212" s="3">
        <f t="shared" si="14"/>
        <v>5</v>
      </c>
      <c r="I212" s="2">
        <v>76650</v>
      </c>
      <c r="J212" s="23">
        <v>1</v>
      </c>
      <c r="K212">
        <v>620</v>
      </c>
      <c r="L212" s="23">
        <f t="shared" si="13"/>
        <v>8.088714938030007</v>
      </c>
    </row>
    <row r="213" spans="1:12" x14ac:dyDescent="0.25">
      <c r="H213" s="3"/>
    </row>
    <row r="214" spans="1:12" x14ac:dyDescent="0.25">
      <c r="A214" s="1">
        <v>3900025</v>
      </c>
      <c r="B214" t="s">
        <v>217</v>
      </c>
      <c r="C214" t="s">
        <v>218</v>
      </c>
      <c r="D214" s="2">
        <v>47</v>
      </c>
      <c r="E214" s="2">
        <v>156</v>
      </c>
      <c r="F214" s="2">
        <v>80</v>
      </c>
      <c r="G214" s="2">
        <v>0</v>
      </c>
      <c r="H214" s="3">
        <f t="shared" si="14"/>
        <v>283</v>
      </c>
    </row>
    <row r="215" spans="1:12" x14ac:dyDescent="0.25">
      <c r="A215" s="1">
        <v>3900025</v>
      </c>
      <c r="B215" t="s">
        <v>217</v>
      </c>
      <c r="C215" t="s">
        <v>219</v>
      </c>
      <c r="D215" s="2">
        <v>172</v>
      </c>
      <c r="E215" s="2">
        <v>279</v>
      </c>
      <c r="F215" s="2">
        <v>195</v>
      </c>
      <c r="G215" s="2">
        <v>125</v>
      </c>
      <c r="H215" s="3">
        <f t="shared" si="14"/>
        <v>771</v>
      </c>
      <c r="I215" s="3">
        <f>SUM(H215-H214)</f>
        <v>488</v>
      </c>
      <c r="J215" s="23">
        <f t="shared" ref="J215:J224" si="15">SUM(I215*1000)/76650</f>
        <v>6.3666014350945854</v>
      </c>
      <c r="K215">
        <v>375</v>
      </c>
      <c r="L215" s="23">
        <f t="shared" si="13"/>
        <v>4.8923679060665366</v>
      </c>
    </row>
    <row r="216" spans="1:12" x14ac:dyDescent="0.25">
      <c r="H216" s="3"/>
    </row>
    <row r="217" spans="1:12" x14ac:dyDescent="0.25">
      <c r="A217" s="1">
        <v>3410030</v>
      </c>
      <c r="B217" t="s">
        <v>220</v>
      </c>
      <c r="C217" t="s">
        <v>221</v>
      </c>
      <c r="D217" s="2">
        <v>148</v>
      </c>
      <c r="E217" s="2">
        <v>124</v>
      </c>
      <c r="F217" s="2">
        <v>118</v>
      </c>
      <c r="G217" s="2">
        <v>153</v>
      </c>
      <c r="H217" s="3">
        <f t="shared" si="14"/>
        <v>543</v>
      </c>
    </row>
    <row r="218" spans="1:12" x14ac:dyDescent="0.25">
      <c r="A218" s="1">
        <v>3410030</v>
      </c>
      <c r="B218" t="s">
        <v>220</v>
      </c>
      <c r="C218" t="s">
        <v>221</v>
      </c>
      <c r="D218" s="2">
        <v>0</v>
      </c>
      <c r="E218" s="2">
        <v>90</v>
      </c>
      <c r="F218" s="2">
        <v>0</v>
      </c>
      <c r="G218" s="2">
        <v>0</v>
      </c>
      <c r="H218" s="3">
        <f t="shared" si="14"/>
        <v>90</v>
      </c>
      <c r="I218" s="3">
        <f>SUM(H217-H218)</f>
        <v>453</v>
      </c>
      <c r="J218" s="23">
        <f t="shared" si="15"/>
        <v>5.9099804305283756</v>
      </c>
      <c r="K218">
        <v>76650</v>
      </c>
      <c r="L218" s="23">
        <v>1</v>
      </c>
    </row>
    <row r="219" spans="1:12" x14ac:dyDescent="0.25">
      <c r="H219" s="3"/>
    </row>
    <row r="220" spans="1:12" x14ac:dyDescent="0.25">
      <c r="A220" s="1">
        <v>3900038</v>
      </c>
      <c r="B220" t="s">
        <v>222</v>
      </c>
      <c r="C220" t="s">
        <v>223</v>
      </c>
      <c r="D220" s="2">
        <v>71</v>
      </c>
      <c r="E220" s="2">
        <v>128</v>
      </c>
      <c r="F220" s="2">
        <v>54</v>
      </c>
      <c r="G220" s="2">
        <v>8</v>
      </c>
      <c r="H220" s="3">
        <f t="shared" si="14"/>
        <v>261</v>
      </c>
    </row>
    <row r="221" spans="1:12" x14ac:dyDescent="0.25">
      <c r="A221" s="1">
        <v>3900038</v>
      </c>
      <c r="B221" t="s">
        <v>224</v>
      </c>
      <c r="C221" t="s">
        <v>225</v>
      </c>
      <c r="D221" s="2">
        <v>57</v>
      </c>
      <c r="E221" s="2">
        <v>120</v>
      </c>
      <c r="F221" s="2">
        <v>42</v>
      </c>
      <c r="G221" s="2">
        <v>0</v>
      </c>
      <c r="H221" s="3">
        <f t="shared" si="14"/>
        <v>219</v>
      </c>
      <c r="I221" s="3">
        <v>76650</v>
      </c>
      <c r="J221" s="23">
        <v>1</v>
      </c>
      <c r="K221">
        <v>76650</v>
      </c>
      <c r="L221" s="23">
        <v>1</v>
      </c>
    </row>
    <row r="222" spans="1:12" x14ac:dyDescent="0.25">
      <c r="H222" s="3">
        <f t="shared" si="14"/>
        <v>0</v>
      </c>
    </row>
    <row r="223" spans="1:12" x14ac:dyDescent="0.25">
      <c r="A223" s="5">
        <v>3900060</v>
      </c>
      <c r="B223" s="10" t="s">
        <v>228</v>
      </c>
      <c r="C223" s="6"/>
      <c r="D223" s="6"/>
      <c r="E223" s="6"/>
      <c r="F223" s="6"/>
      <c r="G223" s="6"/>
      <c r="H223" s="8"/>
      <c r="I223" s="6"/>
      <c r="K223" s="6"/>
    </row>
    <row r="224" spans="1:12" x14ac:dyDescent="0.25">
      <c r="A224" s="5">
        <v>3900060</v>
      </c>
      <c r="B224" s="11" t="s">
        <v>229</v>
      </c>
      <c r="C224" s="6"/>
      <c r="D224" s="6"/>
      <c r="E224" s="6"/>
      <c r="F224" s="6"/>
      <c r="G224" s="6"/>
      <c r="H224" s="8"/>
      <c r="I224" s="22">
        <v>325</v>
      </c>
      <c r="J224" s="23">
        <f t="shared" si="15"/>
        <v>4.2400521852576647</v>
      </c>
      <c r="K224" s="6">
        <v>319</v>
      </c>
      <c r="L224" s="23">
        <f t="shared" si="13"/>
        <v>4.1617742987606006</v>
      </c>
    </row>
    <row r="225" spans="1:13" x14ac:dyDescent="0.25">
      <c r="H225" s="3"/>
    </row>
    <row r="226" spans="1:13" x14ac:dyDescent="0.25">
      <c r="A226" s="1">
        <v>3970002</v>
      </c>
      <c r="B226" t="s">
        <v>226</v>
      </c>
      <c r="C226" t="s">
        <v>227</v>
      </c>
      <c r="D226" s="2">
        <v>10</v>
      </c>
      <c r="E226" s="2">
        <v>11</v>
      </c>
      <c r="F226" s="2">
        <v>17</v>
      </c>
      <c r="G226" s="2">
        <v>8</v>
      </c>
      <c r="H226" s="3">
        <f t="shared" si="14"/>
        <v>46</v>
      </c>
      <c r="I226" s="2">
        <v>76650</v>
      </c>
      <c r="J226" s="23">
        <v>1</v>
      </c>
      <c r="K226" s="2">
        <v>76650</v>
      </c>
      <c r="L226" s="23">
        <v>1</v>
      </c>
    </row>
    <row r="227" spans="1:13" x14ac:dyDescent="0.25">
      <c r="H227" s="3">
        <f t="shared" si="14"/>
        <v>0</v>
      </c>
    </row>
    <row r="228" spans="1:13" x14ac:dyDescent="0.25">
      <c r="A228" s="1">
        <v>3970034</v>
      </c>
      <c r="B228" t="s">
        <v>230</v>
      </c>
      <c r="C228" t="s">
        <v>231</v>
      </c>
      <c r="D228" s="2">
        <v>0</v>
      </c>
      <c r="E228" s="2">
        <v>1334</v>
      </c>
      <c r="F228" s="2">
        <v>592</v>
      </c>
      <c r="G228" s="2">
        <v>0</v>
      </c>
      <c r="H228" s="3">
        <f t="shared" si="14"/>
        <v>1926</v>
      </c>
    </row>
    <row r="229" spans="1:13" x14ac:dyDescent="0.25">
      <c r="A229" s="1">
        <v>3970034</v>
      </c>
      <c r="B229" t="s">
        <v>220</v>
      </c>
      <c r="C229" t="s">
        <v>231</v>
      </c>
      <c r="D229" s="2">
        <v>13</v>
      </c>
      <c r="E229" s="2">
        <v>294</v>
      </c>
      <c r="F229" s="2">
        <v>133</v>
      </c>
      <c r="G229" s="2">
        <v>19</v>
      </c>
      <c r="H229" s="3">
        <f t="shared" si="14"/>
        <v>459</v>
      </c>
      <c r="I229" s="2">
        <v>459</v>
      </c>
      <c r="J229" s="23">
        <f t="shared" ref="J229:J245" si="16">SUM(I229*1000)/76650</f>
        <v>5.9882583170254406</v>
      </c>
      <c r="K229" s="2">
        <v>164</v>
      </c>
      <c r="L229" s="23">
        <f t="shared" si="13"/>
        <v>2.1395955642530984</v>
      </c>
    </row>
    <row r="230" spans="1:13" x14ac:dyDescent="0.25">
      <c r="H230" s="3">
        <f t="shared" si="14"/>
        <v>0</v>
      </c>
    </row>
    <row r="231" spans="1:13" x14ac:dyDescent="0.25">
      <c r="A231" s="1">
        <v>3970100</v>
      </c>
      <c r="B231" t="s">
        <v>232</v>
      </c>
      <c r="C231" t="s">
        <v>233</v>
      </c>
      <c r="D231" s="2">
        <v>235</v>
      </c>
      <c r="E231" s="2">
        <v>1119</v>
      </c>
      <c r="F231" s="2">
        <v>204</v>
      </c>
      <c r="G231" s="2">
        <v>73</v>
      </c>
      <c r="H231" s="3">
        <f t="shared" si="14"/>
        <v>1631</v>
      </c>
    </row>
    <row r="232" spans="1:13" x14ac:dyDescent="0.25">
      <c r="A232" s="1">
        <v>3970100</v>
      </c>
      <c r="B232" t="s">
        <v>234</v>
      </c>
      <c r="C232" t="s">
        <v>235</v>
      </c>
      <c r="D232" s="2">
        <v>124</v>
      </c>
      <c r="E232" s="2">
        <v>1032</v>
      </c>
      <c r="F232" s="2">
        <v>26</v>
      </c>
      <c r="G232" s="2">
        <v>0</v>
      </c>
      <c r="H232" s="3">
        <f t="shared" si="14"/>
        <v>1182</v>
      </c>
    </row>
    <row r="233" spans="1:13" x14ac:dyDescent="0.25">
      <c r="A233" s="1">
        <v>3970100</v>
      </c>
      <c r="B233" t="s">
        <v>236</v>
      </c>
      <c r="C233" t="s">
        <v>237</v>
      </c>
      <c r="D233" s="2">
        <v>297</v>
      </c>
      <c r="E233" s="2">
        <v>298</v>
      </c>
      <c r="F233" s="2">
        <v>275</v>
      </c>
      <c r="G233" s="2">
        <v>264</v>
      </c>
      <c r="H233" s="3">
        <f t="shared" si="14"/>
        <v>1134</v>
      </c>
      <c r="I233" s="3">
        <f>SUM(H231-H232+H233)</f>
        <v>1583</v>
      </c>
      <c r="J233" s="23">
        <f t="shared" si="16"/>
        <v>20.652315720808872</v>
      </c>
      <c r="K233">
        <v>2495</v>
      </c>
      <c r="L233" s="23">
        <f t="shared" si="13"/>
        <v>32.550554468362691</v>
      </c>
    </row>
    <row r="234" spans="1:13" x14ac:dyDescent="0.25">
      <c r="H234" s="3">
        <f t="shared" si="14"/>
        <v>0</v>
      </c>
    </row>
    <row r="235" spans="1:13" x14ac:dyDescent="0.25">
      <c r="A235" s="1">
        <v>3970101</v>
      </c>
      <c r="B235" t="s">
        <v>238</v>
      </c>
      <c r="C235" t="s">
        <v>239</v>
      </c>
      <c r="D235" s="2">
        <v>18</v>
      </c>
      <c r="E235" s="2">
        <v>60</v>
      </c>
      <c r="F235" s="2">
        <v>46</v>
      </c>
      <c r="G235" s="2">
        <v>4</v>
      </c>
      <c r="H235" s="3">
        <f t="shared" si="14"/>
        <v>128</v>
      </c>
      <c r="I235" s="2">
        <v>128</v>
      </c>
      <c r="J235" s="23">
        <f t="shared" si="16"/>
        <v>1.6699282452707109</v>
      </c>
      <c r="K235">
        <v>282</v>
      </c>
      <c r="L235" s="23">
        <f t="shared" si="13"/>
        <v>3.679060665362035</v>
      </c>
    </row>
    <row r="236" spans="1:13" x14ac:dyDescent="0.25">
      <c r="H236" s="3">
        <f t="shared" si="14"/>
        <v>0</v>
      </c>
    </row>
    <row r="237" spans="1:13" x14ac:dyDescent="0.25">
      <c r="A237" s="1">
        <v>3970117</v>
      </c>
      <c r="B237" t="s">
        <v>240</v>
      </c>
      <c r="C237" t="s">
        <v>241</v>
      </c>
      <c r="D237" s="2">
        <v>257</v>
      </c>
      <c r="E237" s="2">
        <v>669</v>
      </c>
      <c r="F237" s="2">
        <v>292</v>
      </c>
      <c r="G237" s="2">
        <v>0</v>
      </c>
      <c r="H237" s="3">
        <f t="shared" si="14"/>
        <v>1218</v>
      </c>
    </row>
    <row r="238" spans="1:13" x14ac:dyDescent="0.25">
      <c r="A238" s="1">
        <v>3970117</v>
      </c>
      <c r="B238" t="s">
        <v>240</v>
      </c>
      <c r="C238" t="s">
        <v>242</v>
      </c>
      <c r="D238" s="2">
        <v>655</v>
      </c>
      <c r="E238" s="2">
        <v>1178</v>
      </c>
      <c r="F238" s="2">
        <v>849</v>
      </c>
      <c r="G238" s="2">
        <v>574</v>
      </c>
      <c r="H238" s="3">
        <f t="shared" si="14"/>
        <v>3256</v>
      </c>
      <c r="I238" s="3">
        <f>SUM(H238-H237)</f>
        <v>2038</v>
      </c>
      <c r="J238" s="23">
        <f t="shared" si="16"/>
        <v>26.588388780169602</v>
      </c>
      <c r="K238">
        <v>1753</v>
      </c>
      <c r="L238" s="23">
        <f t="shared" si="13"/>
        <v>22.870189171559034</v>
      </c>
    </row>
    <row r="239" spans="1:13" x14ac:dyDescent="0.25">
      <c r="H239" s="3">
        <f t="shared" si="14"/>
        <v>0</v>
      </c>
    </row>
    <row r="240" spans="1:13" x14ac:dyDescent="0.25">
      <c r="A240" s="12">
        <v>3970145</v>
      </c>
      <c r="B240" s="13" t="s">
        <v>552</v>
      </c>
      <c r="C240" s="13" t="s">
        <v>553</v>
      </c>
      <c r="D240" s="13"/>
      <c r="E240" s="13"/>
      <c r="F240" s="13"/>
      <c r="G240" s="13"/>
      <c r="H240" s="3">
        <f t="shared" si="14"/>
        <v>0</v>
      </c>
      <c r="I240" s="13">
        <v>76650</v>
      </c>
      <c r="J240" s="23">
        <v>1</v>
      </c>
      <c r="K240" s="13">
        <v>76650</v>
      </c>
      <c r="L240" s="23">
        <v>1</v>
      </c>
      <c r="M240" s="22" t="s">
        <v>554</v>
      </c>
    </row>
    <row r="241" spans="1:12" x14ac:dyDescent="0.25">
      <c r="A241" s="12">
        <v>3970147</v>
      </c>
      <c r="B241" s="13" t="s">
        <v>558</v>
      </c>
      <c r="C241" s="13" t="s">
        <v>559</v>
      </c>
      <c r="D241" s="13"/>
      <c r="E241" s="13"/>
      <c r="F241" s="13"/>
      <c r="G241" s="13"/>
      <c r="H241" s="3">
        <f t="shared" si="14"/>
        <v>0</v>
      </c>
      <c r="I241" s="13">
        <v>76650</v>
      </c>
      <c r="J241" s="23">
        <v>1</v>
      </c>
      <c r="K241" s="13">
        <v>76650</v>
      </c>
      <c r="L241" s="23">
        <v>1</v>
      </c>
    </row>
    <row r="242" spans="1:12" x14ac:dyDescent="0.25">
      <c r="H242" s="3">
        <f t="shared" si="14"/>
        <v>0</v>
      </c>
    </row>
    <row r="243" spans="1:12" x14ac:dyDescent="0.25">
      <c r="A243" s="1">
        <v>3970139</v>
      </c>
      <c r="B243" t="s">
        <v>243</v>
      </c>
      <c r="C243" t="s">
        <v>244</v>
      </c>
      <c r="D243" s="2">
        <v>2</v>
      </c>
      <c r="E243" s="2">
        <v>3</v>
      </c>
      <c r="F243" s="2">
        <v>3</v>
      </c>
      <c r="G243" s="2">
        <v>3</v>
      </c>
      <c r="H243" s="3">
        <f t="shared" si="14"/>
        <v>11</v>
      </c>
      <c r="I243" s="2">
        <v>76650</v>
      </c>
      <c r="J243" s="23">
        <v>1</v>
      </c>
      <c r="K243" s="2">
        <v>76650</v>
      </c>
      <c r="L243" s="23">
        <v>1</v>
      </c>
    </row>
    <row r="244" spans="1:12" x14ac:dyDescent="0.25">
      <c r="H244" s="3">
        <f t="shared" si="14"/>
        <v>0</v>
      </c>
    </row>
    <row r="245" spans="1:12" x14ac:dyDescent="0.25">
      <c r="A245" s="1">
        <v>3971111</v>
      </c>
      <c r="B245" t="s">
        <v>245</v>
      </c>
      <c r="C245" t="s">
        <v>246</v>
      </c>
      <c r="D245" s="2">
        <v>70</v>
      </c>
      <c r="E245" s="2">
        <v>58</v>
      </c>
      <c r="F245" s="2">
        <v>60</v>
      </c>
      <c r="G245" s="2">
        <v>67</v>
      </c>
      <c r="H245" s="3">
        <f t="shared" si="14"/>
        <v>255</v>
      </c>
      <c r="I245" s="2">
        <v>255</v>
      </c>
      <c r="J245" s="23">
        <f t="shared" si="16"/>
        <v>3.3268101761252447</v>
      </c>
      <c r="K245">
        <v>234</v>
      </c>
      <c r="L245" s="23">
        <f t="shared" si="13"/>
        <v>3.0528375733855184</v>
      </c>
    </row>
    <row r="246" spans="1:12" x14ac:dyDescent="0.25">
      <c r="H246" s="3">
        <f t="shared" si="14"/>
        <v>0</v>
      </c>
    </row>
    <row r="247" spans="1:12" x14ac:dyDescent="0.25">
      <c r="A247" s="15">
        <v>3970124</v>
      </c>
      <c r="B247" s="13" t="s">
        <v>247</v>
      </c>
      <c r="C247" s="13" t="s">
        <v>248</v>
      </c>
      <c r="D247" s="16">
        <v>0</v>
      </c>
      <c r="E247" s="16">
        <v>0</v>
      </c>
      <c r="F247" s="16">
        <v>1</v>
      </c>
      <c r="G247" s="16">
        <v>0</v>
      </c>
      <c r="H247" s="3">
        <f t="shared" si="14"/>
        <v>1</v>
      </c>
      <c r="I247" s="13"/>
      <c r="K247" s="13"/>
    </row>
    <row r="248" spans="1:12" x14ac:dyDescent="0.25">
      <c r="A248" s="15">
        <v>3970124</v>
      </c>
      <c r="B248" s="13" t="s">
        <v>247</v>
      </c>
      <c r="C248" s="13" t="s">
        <v>249</v>
      </c>
      <c r="D248" s="16">
        <v>2</v>
      </c>
      <c r="E248" s="16">
        <v>1</v>
      </c>
      <c r="F248" s="16">
        <v>2</v>
      </c>
      <c r="G248" s="16">
        <v>1</v>
      </c>
      <c r="H248" s="3">
        <f t="shared" si="14"/>
        <v>6</v>
      </c>
      <c r="I248" s="13"/>
      <c r="K248" s="13"/>
    </row>
    <row r="249" spans="1:12" x14ac:dyDescent="0.25">
      <c r="A249" s="15">
        <v>3970124</v>
      </c>
      <c r="B249" s="13" t="s">
        <v>250</v>
      </c>
      <c r="C249" s="13" t="s">
        <v>249</v>
      </c>
      <c r="D249" s="16">
        <v>2</v>
      </c>
      <c r="E249" s="16">
        <v>1</v>
      </c>
      <c r="F249" s="16">
        <v>1</v>
      </c>
      <c r="G249" s="16">
        <v>2</v>
      </c>
      <c r="H249" s="3">
        <f t="shared" si="14"/>
        <v>6</v>
      </c>
      <c r="I249" s="13"/>
      <c r="K249" s="13"/>
    </row>
    <row r="250" spans="1:12" x14ac:dyDescent="0.25">
      <c r="A250" s="15">
        <v>3970124</v>
      </c>
      <c r="B250" s="13" t="s">
        <v>251</v>
      </c>
      <c r="C250" s="13" t="s">
        <v>252</v>
      </c>
      <c r="D250" s="16">
        <v>0</v>
      </c>
      <c r="E250" s="16">
        <v>1</v>
      </c>
      <c r="F250" s="16">
        <v>0</v>
      </c>
      <c r="G250" s="16">
        <v>0</v>
      </c>
      <c r="H250" s="3">
        <f t="shared" si="14"/>
        <v>1</v>
      </c>
      <c r="I250" s="13"/>
      <c r="K250" s="13"/>
    </row>
    <row r="251" spans="1:12" x14ac:dyDescent="0.25">
      <c r="A251" s="15">
        <v>3970124</v>
      </c>
      <c r="B251" s="13" t="s">
        <v>253</v>
      </c>
      <c r="C251" s="13" t="s">
        <v>254</v>
      </c>
      <c r="D251" s="16">
        <v>0</v>
      </c>
      <c r="E251" s="16">
        <v>1</v>
      </c>
      <c r="F251" s="16">
        <v>1</v>
      </c>
      <c r="G251" s="16">
        <v>0</v>
      </c>
      <c r="H251" s="3">
        <f t="shared" si="14"/>
        <v>2</v>
      </c>
      <c r="I251" s="13"/>
      <c r="K251" s="13"/>
    </row>
    <row r="252" spans="1:12" x14ac:dyDescent="0.25">
      <c r="A252" s="15">
        <v>3970124</v>
      </c>
      <c r="B252" s="13" t="s">
        <v>255</v>
      </c>
      <c r="C252" s="13" t="s">
        <v>256</v>
      </c>
      <c r="D252" s="16">
        <v>11</v>
      </c>
      <c r="E252" s="16">
        <v>12</v>
      </c>
      <c r="F252" s="16">
        <v>10</v>
      </c>
      <c r="G252" s="16">
        <v>10</v>
      </c>
      <c r="H252" s="3">
        <f t="shared" si="14"/>
        <v>43</v>
      </c>
      <c r="I252" s="13"/>
      <c r="K252" s="13"/>
    </row>
    <row r="253" spans="1:12" x14ac:dyDescent="0.25">
      <c r="A253" s="15">
        <v>3970124</v>
      </c>
      <c r="B253" s="13" t="s">
        <v>257</v>
      </c>
      <c r="C253" s="13" t="s">
        <v>258</v>
      </c>
      <c r="D253" s="16">
        <v>0</v>
      </c>
      <c r="E253" s="16">
        <v>1</v>
      </c>
      <c r="F253" s="16">
        <v>0</v>
      </c>
      <c r="G253" s="16">
        <v>0</v>
      </c>
      <c r="H253" s="3">
        <f t="shared" si="14"/>
        <v>1</v>
      </c>
      <c r="I253" s="13"/>
      <c r="K253" s="13"/>
    </row>
    <row r="254" spans="1:12" x14ac:dyDescent="0.25">
      <c r="A254" s="15">
        <v>3970124</v>
      </c>
      <c r="B254" s="13" t="s">
        <v>234</v>
      </c>
      <c r="C254" s="13" t="s">
        <v>259</v>
      </c>
      <c r="D254" s="16">
        <v>2</v>
      </c>
      <c r="E254" s="16">
        <v>7</v>
      </c>
      <c r="F254" s="16">
        <v>8</v>
      </c>
      <c r="G254" s="16">
        <v>7</v>
      </c>
      <c r="H254" s="3">
        <f t="shared" si="14"/>
        <v>24</v>
      </c>
      <c r="I254" s="13"/>
      <c r="K254" s="13"/>
    </row>
    <row r="255" spans="1:12" x14ac:dyDescent="0.25">
      <c r="A255" s="15">
        <v>3970124</v>
      </c>
      <c r="B255" s="13" t="s">
        <v>234</v>
      </c>
      <c r="C255" s="13" t="s">
        <v>259</v>
      </c>
      <c r="D255" s="16">
        <v>48</v>
      </c>
      <c r="E255" s="16">
        <v>183</v>
      </c>
      <c r="F255" s="16">
        <v>59</v>
      </c>
      <c r="G255" s="16">
        <v>0</v>
      </c>
      <c r="H255" s="3">
        <f t="shared" si="14"/>
        <v>290</v>
      </c>
      <c r="I255" s="13"/>
      <c r="K255" s="13"/>
    </row>
    <row r="256" spans="1:12" x14ac:dyDescent="0.25">
      <c r="A256" s="15">
        <v>3970124</v>
      </c>
      <c r="B256" s="13" t="s">
        <v>260</v>
      </c>
      <c r="C256" s="13" t="s">
        <v>261</v>
      </c>
      <c r="D256" s="16">
        <v>0</v>
      </c>
      <c r="E256" s="16">
        <v>0</v>
      </c>
      <c r="F256" s="16">
        <v>0</v>
      </c>
      <c r="G256" s="16">
        <v>1</v>
      </c>
      <c r="H256" s="3">
        <f t="shared" si="14"/>
        <v>1</v>
      </c>
      <c r="I256" s="13"/>
      <c r="K256" s="13"/>
    </row>
    <row r="257" spans="1:12" x14ac:dyDescent="0.25">
      <c r="A257" s="15">
        <v>3970124</v>
      </c>
      <c r="B257" s="13" t="s">
        <v>262</v>
      </c>
      <c r="C257" s="13" t="s">
        <v>263</v>
      </c>
      <c r="D257" s="16">
        <v>2</v>
      </c>
      <c r="E257" s="16">
        <v>6</v>
      </c>
      <c r="F257" s="16">
        <v>2</v>
      </c>
      <c r="G257" s="16">
        <v>4</v>
      </c>
      <c r="H257" s="3">
        <f t="shared" si="14"/>
        <v>14</v>
      </c>
      <c r="I257" s="13"/>
      <c r="K257" s="13"/>
    </row>
    <row r="258" spans="1:12" x14ac:dyDescent="0.25">
      <c r="A258" s="15">
        <v>3970124</v>
      </c>
      <c r="B258" s="13" t="s">
        <v>264</v>
      </c>
      <c r="C258" s="13" t="s">
        <v>249</v>
      </c>
      <c r="D258" s="16">
        <v>23</v>
      </c>
      <c r="E258" s="16">
        <v>39</v>
      </c>
      <c r="F258" s="16">
        <v>36</v>
      </c>
      <c r="G258" s="16">
        <v>28</v>
      </c>
      <c r="H258" s="3">
        <f t="shared" si="14"/>
        <v>126</v>
      </c>
      <c r="I258" s="13"/>
      <c r="K258" s="13"/>
    </row>
    <row r="259" spans="1:12" x14ac:dyDescent="0.25">
      <c r="A259" s="15">
        <v>3970124</v>
      </c>
      <c r="B259" s="13" t="s">
        <v>265</v>
      </c>
      <c r="C259" s="13" t="s">
        <v>252</v>
      </c>
      <c r="D259" s="16">
        <v>269</v>
      </c>
      <c r="E259" s="16">
        <v>314</v>
      </c>
      <c r="F259" s="16">
        <v>106</v>
      </c>
      <c r="G259" s="16">
        <v>53</v>
      </c>
      <c r="H259" s="3">
        <f t="shared" si="14"/>
        <v>742</v>
      </c>
      <c r="I259" s="13"/>
      <c r="K259" s="13"/>
    </row>
    <row r="260" spans="1:12" x14ac:dyDescent="0.25">
      <c r="A260" s="15">
        <v>3970124</v>
      </c>
      <c r="B260" s="13" t="s">
        <v>266</v>
      </c>
      <c r="C260" s="13" t="s">
        <v>248</v>
      </c>
      <c r="D260" s="16">
        <v>4</v>
      </c>
      <c r="E260" s="16">
        <v>10</v>
      </c>
      <c r="F260" s="16">
        <v>8</v>
      </c>
      <c r="G260" s="16">
        <v>8</v>
      </c>
      <c r="H260" s="3">
        <f t="shared" si="14"/>
        <v>30</v>
      </c>
      <c r="I260" s="13"/>
      <c r="K260" s="13"/>
    </row>
    <row r="261" spans="1:12" x14ac:dyDescent="0.25">
      <c r="A261" s="15">
        <v>3970124</v>
      </c>
      <c r="B261" s="13" t="s">
        <v>267</v>
      </c>
      <c r="C261" s="13" t="s">
        <v>252</v>
      </c>
      <c r="D261" s="16">
        <v>26</v>
      </c>
      <c r="E261" s="16">
        <v>69</v>
      </c>
      <c r="F261" s="16">
        <v>86</v>
      </c>
      <c r="G261" s="16">
        <v>61</v>
      </c>
      <c r="H261" s="3">
        <f t="shared" si="14"/>
        <v>242</v>
      </c>
      <c r="I261" s="13"/>
      <c r="K261" s="13"/>
    </row>
    <row r="262" spans="1:12" x14ac:dyDescent="0.25">
      <c r="A262" s="15">
        <v>3970124</v>
      </c>
      <c r="B262" s="13" t="s">
        <v>268</v>
      </c>
      <c r="C262" s="13" t="s">
        <v>269</v>
      </c>
      <c r="D262" s="16">
        <v>1</v>
      </c>
      <c r="E262" s="16">
        <v>0</v>
      </c>
      <c r="F262" s="16">
        <v>1</v>
      </c>
      <c r="G262" s="16">
        <v>0</v>
      </c>
      <c r="H262" s="3">
        <f t="shared" si="14"/>
        <v>2</v>
      </c>
      <c r="I262" s="13"/>
      <c r="K262" s="13"/>
    </row>
    <row r="263" spans="1:12" x14ac:dyDescent="0.25">
      <c r="A263" s="15">
        <v>3970124</v>
      </c>
      <c r="B263" s="13" t="s">
        <v>270</v>
      </c>
      <c r="C263" s="13" t="s">
        <v>271</v>
      </c>
      <c r="D263" s="16">
        <v>4</v>
      </c>
      <c r="E263" s="16">
        <v>71</v>
      </c>
      <c r="F263" s="16">
        <v>32</v>
      </c>
      <c r="G263" s="16">
        <v>0</v>
      </c>
      <c r="H263" s="3">
        <f t="shared" si="14"/>
        <v>107</v>
      </c>
      <c r="I263" s="13"/>
      <c r="K263" s="13"/>
    </row>
    <row r="264" spans="1:12" x14ac:dyDescent="0.25">
      <c r="A264" s="15">
        <v>3970124</v>
      </c>
      <c r="B264" s="13" t="s">
        <v>270</v>
      </c>
      <c r="C264" s="13" t="s">
        <v>272</v>
      </c>
      <c r="D264" s="16">
        <v>0</v>
      </c>
      <c r="E264" s="16">
        <v>0</v>
      </c>
      <c r="F264" s="16">
        <v>0</v>
      </c>
      <c r="G264" s="16">
        <v>0</v>
      </c>
      <c r="H264" s="3">
        <f t="shared" si="14"/>
        <v>0</v>
      </c>
      <c r="I264" s="13"/>
      <c r="K264" s="13"/>
    </row>
    <row r="265" spans="1:12" x14ac:dyDescent="0.25">
      <c r="A265" s="15">
        <v>3970124</v>
      </c>
      <c r="B265" s="13" t="s">
        <v>270</v>
      </c>
      <c r="C265" s="13" t="s">
        <v>272</v>
      </c>
      <c r="D265" s="16">
        <v>0</v>
      </c>
      <c r="E265" s="16">
        <v>1</v>
      </c>
      <c r="F265" s="16">
        <v>10</v>
      </c>
      <c r="G265" s="16">
        <v>12</v>
      </c>
      <c r="H265" s="3">
        <f t="shared" ref="H265:H329" si="17">SUM(D265:G265)</f>
        <v>23</v>
      </c>
      <c r="I265" s="13"/>
      <c r="K265" s="13"/>
    </row>
    <row r="266" spans="1:12" x14ac:dyDescent="0.25">
      <c r="A266" s="15">
        <v>3970124</v>
      </c>
      <c r="B266" s="13" t="s">
        <v>270</v>
      </c>
      <c r="C266" s="13" t="s">
        <v>273</v>
      </c>
      <c r="D266" s="16">
        <v>1</v>
      </c>
      <c r="E266" s="16">
        <v>0</v>
      </c>
      <c r="F266" s="16">
        <v>0</v>
      </c>
      <c r="G266" s="16">
        <v>0</v>
      </c>
      <c r="H266" s="3">
        <f t="shared" si="17"/>
        <v>1</v>
      </c>
      <c r="I266" s="13"/>
      <c r="K266" s="13"/>
    </row>
    <row r="267" spans="1:12" x14ac:dyDescent="0.25">
      <c r="A267" s="15">
        <v>3970124</v>
      </c>
      <c r="B267" s="13" t="s">
        <v>274</v>
      </c>
      <c r="C267" s="13" t="s">
        <v>275</v>
      </c>
      <c r="D267" s="16">
        <v>0</v>
      </c>
      <c r="E267" s="16">
        <v>84</v>
      </c>
      <c r="F267" s="16">
        <v>20</v>
      </c>
      <c r="G267" s="16">
        <v>0</v>
      </c>
      <c r="H267" s="3">
        <f t="shared" si="17"/>
        <v>104</v>
      </c>
      <c r="I267" s="13"/>
      <c r="K267" s="13"/>
    </row>
    <row r="268" spans="1:12" x14ac:dyDescent="0.25">
      <c r="A268" s="15">
        <v>3970124</v>
      </c>
      <c r="B268" s="13" t="s">
        <v>276</v>
      </c>
      <c r="C268" s="13" t="s">
        <v>277</v>
      </c>
      <c r="D268" s="16">
        <v>4</v>
      </c>
      <c r="E268" s="16">
        <v>148</v>
      </c>
      <c r="F268" s="16">
        <v>32</v>
      </c>
      <c r="G268" s="16">
        <v>0</v>
      </c>
      <c r="H268" s="3">
        <f t="shared" si="17"/>
        <v>184</v>
      </c>
      <c r="I268" s="13"/>
      <c r="K268" s="13"/>
    </row>
    <row r="269" spans="1:12" x14ac:dyDescent="0.25">
      <c r="A269" s="15">
        <v>3970124</v>
      </c>
      <c r="B269" s="13" t="s">
        <v>278</v>
      </c>
      <c r="C269" s="13" t="s">
        <v>272</v>
      </c>
      <c r="D269" s="16">
        <v>20</v>
      </c>
      <c r="E269" s="16">
        <v>18</v>
      </c>
      <c r="F269" s="16">
        <v>20</v>
      </c>
      <c r="G269" s="16">
        <v>18</v>
      </c>
      <c r="H269" s="3">
        <f t="shared" si="17"/>
        <v>76</v>
      </c>
      <c r="I269" s="13"/>
      <c r="K269" s="13"/>
    </row>
    <row r="270" spans="1:12" x14ac:dyDescent="0.25">
      <c r="A270" s="15">
        <v>3970124</v>
      </c>
      <c r="B270" s="13" t="s">
        <v>279</v>
      </c>
      <c r="C270" s="13" t="s">
        <v>272</v>
      </c>
      <c r="D270" s="16">
        <v>3</v>
      </c>
      <c r="E270" s="16">
        <v>3</v>
      </c>
      <c r="F270" s="16">
        <v>3</v>
      </c>
      <c r="G270" s="16">
        <v>1</v>
      </c>
      <c r="H270" s="3">
        <f t="shared" si="17"/>
        <v>10</v>
      </c>
      <c r="I270" s="13"/>
      <c r="K270" s="13"/>
      <c r="L270" s="25" t="s">
        <v>554</v>
      </c>
    </row>
    <row r="271" spans="1:12" x14ac:dyDescent="0.25">
      <c r="A271" s="15">
        <v>3970124</v>
      </c>
      <c r="B271" s="13" t="s">
        <v>280</v>
      </c>
      <c r="C271" s="13" t="s">
        <v>281</v>
      </c>
      <c r="D271" s="16">
        <v>0</v>
      </c>
      <c r="E271" s="16">
        <v>0</v>
      </c>
      <c r="F271" s="16">
        <v>0</v>
      </c>
      <c r="G271" s="16">
        <v>0</v>
      </c>
      <c r="H271" s="3">
        <f t="shared" si="17"/>
        <v>0</v>
      </c>
      <c r="I271" s="13"/>
      <c r="K271" s="13"/>
    </row>
    <row r="272" spans="1:12" x14ac:dyDescent="0.25">
      <c r="A272" s="15">
        <v>3970124</v>
      </c>
      <c r="B272" s="13" t="s">
        <v>282</v>
      </c>
      <c r="C272" s="13" t="s">
        <v>252</v>
      </c>
      <c r="D272" s="16">
        <v>1</v>
      </c>
      <c r="E272" s="16">
        <v>1</v>
      </c>
      <c r="F272" s="16">
        <v>1</v>
      </c>
      <c r="G272" s="16">
        <v>2</v>
      </c>
      <c r="H272" s="3">
        <f t="shared" si="17"/>
        <v>5</v>
      </c>
      <c r="I272" s="13"/>
      <c r="K272" s="13"/>
    </row>
    <row r="273" spans="1:11" x14ac:dyDescent="0.25">
      <c r="A273" s="15">
        <v>3970124</v>
      </c>
      <c r="B273" s="13" t="s">
        <v>283</v>
      </c>
      <c r="C273" s="13" t="s">
        <v>284</v>
      </c>
      <c r="D273" s="16">
        <v>2</v>
      </c>
      <c r="E273" s="16">
        <v>83</v>
      </c>
      <c r="F273" s="16">
        <v>33</v>
      </c>
      <c r="G273" s="16">
        <v>0</v>
      </c>
      <c r="H273" s="3">
        <f t="shared" si="17"/>
        <v>118</v>
      </c>
      <c r="I273" s="13"/>
      <c r="K273" s="13"/>
    </row>
    <row r="274" spans="1:11" x14ac:dyDescent="0.25">
      <c r="A274" s="15">
        <v>3970124</v>
      </c>
      <c r="B274" s="13" t="s">
        <v>285</v>
      </c>
      <c r="C274" s="13" t="s">
        <v>252</v>
      </c>
      <c r="D274" s="16">
        <v>1</v>
      </c>
      <c r="E274" s="16">
        <v>2</v>
      </c>
      <c r="F274" s="16">
        <v>2</v>
      </c>
      <c r="G274" s="16">
        <v>1</v>
      </c>
      <c r="H274" s="3">
        <f t="shared" si="17"/>
        <v>6</v>
      </c>
      <c r="I274" s="13"/>
      <c r="K274" s="13"/>
    </row>
    <row r="275" spans="1:11" x14ac:dyDescent="0.25">
      <c r="A275" s="15">
        <v>3970124</v>
      </c>
      <c r="B275" s="13" t="s">
        <v>286</v>
      </c>
      <c r="C275" s="13" t="s">
        <v>287</v>
      </c>
      <c r="D275" s="16">
        <v>2</v>
      </c>
      <c r="E275" s="16">
        <v>103</v>
      </c>
      <c r="F275" s="16">
        <v>25</v>
      </c>
      <c r="G275" s="16">
        <v>0</v>
      </c>
      <c r="H275" s="3">
        <f t="shared" si="17"/>
        <v>130</v>
      </c>
      <c r="I275" s="13"/>
      <c r="K275" s="13"/>
    </row>
    <row r="276" spans="1:11" x14ac:dyDescent="0.25">
      <c r="A276" s="15">
        <v>3970124</v>
      </c>
      <c r="B276" s="13" t="s">
        <v>288</v>
      </c>
      <c r="C276" s="13" t="s">
        <v>289</v>
      </c>
      <c r="D276" s="16">
        <v>0</v>
      </c>
      <c r="E276" s="16">
        <v>27</v>
      </c>
      <c r="F276" s="16">
        <v>3</v>
      </c>
      <c r="G276" s="16">
        <v>0</v>
      </c>
      <c r="H276" s="3">
        <f t="shared" si="17"/>
        <v>30</v>
      </c>
      <c r="I276" s="13"/>
      <c r="K276" s="13"/>
    </row>
    <row r="277" spans="1:11" x14ac:dyDescent="0.25">
      <c r="A277" s="15">
        <v>3970124</v>
      </c>
      <c r="B277" s="13" t="s">
        <v>290</v>
      </c>
      <c r="C277" s="13" t="s">
        <v>269</v>
      </c>
      <c r="D277" s="16">
        <v>42</v>
      </c>
      <c r="E277" s="16">
        <v>41</v>
      </c>
      <c r="F277" s="16">
        <v>38</v>
      </c>
      <c r="G277" s="16">
        <v>33</v>
      </c>
      <c r="H277" s="3">
        <f t="shared" si="17"/>
        <v>154</v>
      </c>
      <c r="I277" s="13"/>
      <c r="K277" s="13"/>
    </row>
    <row r="278" spans="1:11" x14ac:dyDescent="0.25">
      <c r="A278" s="15">
        <v>3970124</v>
      </c>
      <c r="B278" s="13" t="s">
        <v>291</v>
      </c>
      <c r="C278" s="13" t="s">
        <v>292</v>
      </c>
      <c r="D278" s="16">
        <v>16</v>
      </c>
      <c r="E278" s="16">
        <v>6</v>
      </c>
      <c r="F278" s="16">
        <v>6</v>
      </c>
      <c r="G278" s="16">
        <v>5</v>
      </c>
      <c r="H278" s="3">
        <f t="shared" si="17"/>
        <v>33</v>
      </c>
      <c r="I278" s="13"/>
      <c r="K278" s="13"/>
    </row>
    <row r="279" spans="1:11" x14ac:dyDescent="0.25">
      <c r="A279" s="15">
        <v>3970124</v>
      </c>
      <c r="B279" s="13" t="s">
        <v>293</v>
      </c>
      <c r="C279" s="13" t="s">
        <v>269</v>
      </c>
      <c r="D279" s="16">
        <v>112</v>
      </c>
      <c r="E279" s="16">
        <v>96</v>
      </c>
      <c r="F279" s="16">
        <v>100</v>
      </c>
      <c r="G279" s="16">
        <v>51</v>
      </c>
      <c r="H279" s="3">
        <f t="shared" si="17"/>
        <v>359</v>
      </c>
      <c r="I279" s="13"/>
      <c r="K279" s="13"/>
    </row>
    <row r="280" spans="1:11" x14ac:dyDescent="0.25">
      <c r="A280" s="15">
        <v>3970124</v>
      </c>
      <c r="B280" s="13" t="s">
        <v>294</v>
      </c>
      <c r="C280" s="13" t="s">
        <v>269</v>
      </c>
      <c r="D280" s="16">
        <v>39</v>
      </c>
      <c r="E280" s="16">
        <v>42</v>
      </c>
      <c r="F280" s="16">
        <v>42</v>
      </c>
      <c r="G280" s="16">
        <v>43</v>
      </c>
      <c r="H280" s="3">
        <f t="shared" si="17"/>
        <v>166</v>
      </c>
      <c r="I280" s="13"/>
      <c r="K280" s="13"/>
    </row>
    <row r="281" spans="1:11" x14ac:dyDescent="0.25">
      <c r="A281" s="15">
        <v>3970124</v>
      </c>
      <c r="B281" s="12" t="s">
        <v>295</v>
      </c>
      <c r="C281" s="13"/>
      <c r="D281" s="13"/>
      <c r="E281" s="13"/>
      <c r="F281" s="13"/>
      <c r="G281" s="13"/>
      <c r="H281" s="3">
        <f t="shared" si="17"/>
        <v>0</v>
      </c>
      <c r="I281" s="13"/>
      <c r="K281" s="13"/>
    </row>
    <row r="282" spans="1:11" x14ac:dyDescent="0.25">
      <c r="A282" s="15">
        <v>3970124</v>
      </c>
      <c r="B282" s="12" t="s">
        <v>296</v>
      </c>
      <c r="C282" s="13"/>
      <c r="D282" s="13"/>
      <c r="E282" s="13"/>
      <c r="F282" s="13"/>
      <c r="G282" s="13"/>
      <c r="H282" s="3">
        <f t="shared" si="17"/>
        <v>0</v>
      </c>
      <c r="I282" s="13"/>
      <c r="K282" s="13"/>
    </row>
    <row r="283" spans="1:11" x14ac:dyDescent="0.25">
      <c r="A283" s="15">
        <v>3970124</v>
      </c>
      <c r="B283" s="12" t="s">
        <v>297</v>
      </c>
      <c r="C283" s="13"/>
      <c r="D283" s="13"/>
      <c r="E283" s="13"/>
      <c r="F283" s="13"/>
      <c r="G283" s="13"/>
      <c r="H283" s="3">
        <f t="shared" si="17"/>
        <v>0</v>
      </c>
      <c r="I283" s="13"/>
      <c r="K283" s="13"/>
    </row>
    <row r="284" spans="1:11" x14ac:dyDescent="0.25">
      <c r="A284" s="15">
        <v>3970124</v>
      </c>
      <c r="B284" s="12" t="s">
        <v>298</v>
      </c>
      <c r="C284" s="13"/>
      <c r="D284" s="13"/>
      <c r="E284" s="13"/>
      <c r="F284" s="13"/>
      <c r="G284" s="13"/>
      <c r="H284" s="3">
        <f t="shared" si="17"/>
        <v>0</v>
      </c>
      <c r="I284" s="13"/>
      <c r="K284" s="13"/>
    </row>
    <row r="285" spans="1:11" x14ac:dyDescent="0.25">
      <c r="A285" s="15">
        <v>3970124</v>
      </c>
      <c r="B285" s="12" t="s">
        <v>299</v>
      </c>
      <c r="C285" s="13"/>
      <c r="D285" s="13"/>
      <c r="E285" s="13"/>
      <c r="F285" s="13"/>
      <c r="G285" s="13"/>
      <c r="H285" s="3">
        <f t="shared" si="17"/>
        <v>0</v>
      </c>
      <c r="I285" s="13"/>
      <c r="K285" s="13"/>
    </row>
    <row r="286" spans="1:11" x14ac:dyDescent="0.25">
      <c r="A286" s="15">
        <v>3970124</v>
      </c>
      <c r="B286" s="12" t="s">
        <v>300</v>
      </c>
      <c r="C286" s="13"/>
      <c r="D286" s="13"/>
      <c r="E286" s="13"/>
      <c r="F286" s="13"/>
      <c r="G286" s="13"/>
      <c r="H286" s="3">
        <f t="shared" si="17"/>
        <v>0</v>
      </c>
      <c r="I286" s="13"/>
      <c r="K286" s="13"/>
    </row>
    <row r="287" spans="1:11" x14ac:dyDescent="0.25">
      <c r="A287" s="15">
        <v>3970124</v>
      </c>
      <c r="B287" s="12" t="s">
        <v>301</v>
      </c>
      <c r="C287" s="13"/>
      <c r="D287" s="13"/>
      <c r="E287" s="13"/>
      <c r="F287" s="13"/>
      <c r="G287" s="13"/>
      <c r="H287" s="3">
        <f t="shared" si="17"/>
        <v>0</v>
      </c>
      <c r="I287" s="13"/>
      <c r="K287" s="13"/>
    </row>
    <row r="288" spans="1:11" x14ac:dyDescent="0.25">
      <c r="A288" s="15">
        <v>3970124</v>
      </c>
      <c r="B288" s="12" t="s">
        <v>302</v>
      </c>
      <c r="C288" s="13"/>
      <c r="D288" s="13"/>
      <c r="E288" s="13"/>
      <c r="F288" s="13"/>
      <c r="G288" s="13"/>
      <c r="H288" s="3">
        <f t="shared" si="17"/>
        <v>0</v>
      </c>
      <c r="I288" s="13"/>
      <c r="K288" s="13"/>
    </row>
    <row r="289" spans="1:12" x14ac:dyDescent="0.25">
      <c r="A289" s="15">
        <v>3970124</v>
      </c>
      <c r="B289" s="12" t="s">
        <v>303</v>
      </c>
      <c r="C289" s="13"/>
      <c r="D289" s="13"/>
      <c r="E289" s="13"/>
      <c r="F289" s="13"/>
      <c r="G289" s="13"/>
      <c r="H289" s="3">
        <f t="shared" si="17"/>
        <v>0</v>
      </c>
      <c r="I289" s="13"/>
      <c r="K289" s="13"/>
    </row>
    <row r="290" spans="1:12" x14ac:dyDescent="0.25">
      <c r="A290" s="15">
        <v>3970124</v>
      </c>
      <c r="B290" s="12" t="s">
        <v>304</v>
      </c>
      <c r="C290" s="13"/>
      <c r="D290" s="13"/>
      <c r="E290" s="13"/>
      <c r="F290" s="13"/>
      <c r="G290" s="13"/>
      <c r="H290" s="3">
        <f t="shared" si="17"/>
        <v>0</v>
      </c>
      <c r="I290" s="13"/>
      <c r="K290" s="13"/>
    </row>
    <row r="291" spans="1:12" x14ac:dyDescent="0.25">
      <c r="A291" s="15">
        <v>3970124</v>
      </c>
      <c r="B291" s="13" t="s">
        <v>270</v>
      </c>
      <c r="C291" s="13"/>
      <c r="D291" s="13"/>
      <c r="E291" s="13"/>
      <c r="F291" s="13"/>
      <c r="G291" s="13"/>
      <c r="H291" s="3">
        <f t="shared" si="17"/>
        <v>0</v>
      </c>
      <c r="I291" s="13"/>
      <c r="K291" s="13"/>
    </row>
    <row r="292" spans="1:12" x14ac:dyDescent="0.25">
      <c r="A292" s="13"/>
      <c r="B292" s="13" t="s">
        <v>270</v>
      </c>
      <c r="C292" s="13"/>
      <c r="D292" s="13"/>
      <c r="E292" s="13"/>
      <c r="F292" s="13"/>
      <c r="G292" s="13"/>
      <c r="H292" s="3">
        <f t="shared" si="17"/>
        <v>0</v>
      </c>
      <c r="I292" s="22">
        <v>3600</v>
      </c>
      <c r="J292" s="23">
        <f t="shared" ref="J292:J296" si="18">SUM(I292*1000)/76650</f>
        <v>46.966731898238748</v>
      </c>
      <c r="K292" s="13">
        <v>3460</v>
      </c>
      <c r="L292" s="23">
        <f t="shared" ref="L292:L325" si="19">SUM(K292*1000)/76650</f>
        <v>45.140247879973906</v>
      </c>
    </row>
    <row r="293" spans="1:12" x14ac:dyDescent="0.25">
      <c r="H293" s="3">
        <f t="shared" si="17"/>
        <v>0</v>
      </c>
    </row>
    <row r="294" spans="1:12" x14ac:dyDescent="0.25">
      <c r="A294" s="1">
        <v>3970055</v>
      </c>
      <c r="B294" t="s">
        <v>305</v>
      </c>
      <c r="C294" t="s">
        <v>306</v>
      </c>
      <c r="D294" s="2">
        <v>12</v>
      </c>
      <c r="E294" s="2">
        <v>14</v>
      </c>
      <c r="F294" s="2">
        <v>8</v>
      </c>
      <c r="G294" s="2">
        <v>6</v>
      </c>
      <c r="H294" s="3">
        <f t="shared" si="17"/>
        <v>40</v>
      </c>
    </row>
    <row r="295" spans="1:12" x14ac:dyDescent="0.25">
      <c r="A295" s="1">
        <v>3970055</v>
      </c>
      <c r="B295" t="s">
        <v>305</v>
      </c>
      <c r="C295" t="s">
        <v>307</v>
      </c>
      <c r="D295" s="2">
        <v>33</v>
      </c>
      <c r="E295" s="2">
        <v>65</v>
      </c>
      <c r="F295" s="2">
        <v>1</v>
      </c>
      <c r="G295" s="2">
        <v>0</v>
      </c>
      <c r="H295" s="3">
        <f t="shared" si="17"/>
        <v>99</v>
      </c>
    </row>
    <row r="296" spans="1:12" x14ac:dyDescent="0.25">
      <c r="A296" s="1">
        <v>3970055</v>
      </c>
      <c r="B296" t="s">
        <v>305</v>
      </c>
      <c r="C296" t="s">
        <v>308</v>
      </c>
      <c r="D296" s="2">
        <v>654</v>
      </c>
      <c r="E296" s="2">
        <v>784</v>
      </c>
      <c r="F296" s="2">
        <v>636</v>
      </c>
      <c r="G296" s="2">
        <v>573</v>
      </c>
      <c r="H296" s="3">
        <f t="shared" si="17"/>
        <v>2647</v>
      </c>
      <c r="I296" s="3">
        <f>SUM(H296-H295+H294)</f>
        <v>2588</v>
      </c>
      <c r="J296" s="23">
        <f t="shared" si="18"/>
        <v>33.763861709067186</v>
      </c>
      <c r="K296">
        <v>2525</v>
      </c>
      <c r="L296" s="23">
        <f t="shared" si="19"/>
        <v>32.94194390084801</v>
      </c>
    </row>
    <row r="297" spans="1:12" x14ac:dyDescent="0.25">
      <c r="H297" s="3">
        <f t="shared" si="17"/>
        <v>0</v>
      </c>
    </row>
    <row r="298" spans="1:12" x14ac:dyDescent="0.25">
      <c r="A298" s="1">
        <v>4320150</v>
      </c>
      <c r="B298" t="s">
        <v>309</v>
      </c>
      <c r="C298" t="s">
        <v>310</v>
      </c>
      <c r="D298" s="2">
        <v>0</v>
      </c>
      <c r="E298" s="2">
        <v>337</v>
      </c>
      <c r="F298" s="2">
        <v>126</v>
      </c>
      <c r="G298" s="2">
        <v>0</v>
      </c>
      <c r="H298" s="3">
        <f t="shared" si="17"/>
        <v>463</v>
      </c>
      <c r="J298" s="23" t="s">
        <v>47</v>
      </c>
    </row>
    <row r="299" spans="1:12" x14ac:dyDescent="0.25">
      <c r="A299" s="1">
        <v>4320150</v>
      </c>
      <c r="B299" t="s">
        <v>311</v>
      </c>
      <c r="C299" t="s">
        <v>310</v>
      </c>
      <c r="D299" s="2">
        <v>101</v>
      </c>
      <c r="E299" s="2">
        <v>80</v>
      </c>
      <c r="F299" s="2">
        <v>70</v>
      </c>
      <c r="G299" s="2">
        <v>61</v>
      </c>
      <c r="H299" s="3">
        <f t="shared" si="17"/>
        <v>312</v>
      </c>
    </row>
    <row r="300" spans="1:12" x14ac:dyDescent="0.25">
      <c r="A300" s="1">
        <v>4320150</v>
      </c>
      <c r="B300" t="s">
        <v>311</v>
      </c>
      <c r="C300" t="s">
        <v>310</v>
      </c>
      <c r="D300" s="2">
        <v>117</v>
      </c>
      <c r="E300" s="2">
        <v>86</v>
      </c>
      <c r="F300" s="2">
        <v>89</v>
      </c>
      <c r="G300" s="2">
        <v>80</v>
      </c>
      <c r="H300" s="3">
        <f t="shared" si="17"/>
        <v>372</v>
      </c>
      <c r="I300" s="3">
        <f>SUM(H299:H300)</f>
        <v>684</v>
      </c>
      <c r="J300" s="23">
        <f>SUM(I300*1000)/76650</f>
        <v>8.9236790606653624</v>
      </c>
      <c r="K300">
        <v>640</v>
      </c>
      <c r="L300" s="23">
        <f t="shared" si="19"/>
        <v>8.3496412263535547</v>
      </c>
    </row>
    <row r="301" spans="1:12" x14ac:dyDescent="0.25">
      <c r="H301" s="3">
        <f t="shared" si="17"/>
        <v>0</v>
      </c>
    </row>
    <row r="302" spans="1:12" x14ac:dyDescent="0.25">
      <c r="A302" s="1">
        <v>4370010</v>
      </c>
      <c r="B302" t="s">
        <v>312</v>
      </c>
      <c r="C302" t="s">
        <v>313</v>
      </c>
      <c r="D302" s="2">
        <v>38</v>
      </c>
      <c r="E302" s="2">
        <v>77</v>
      </c>
      <c r="F302" s="2">
        <v>60</v>
      </c>
      <c r="G302" s="2">
        <v>25</v>
      </c>
      <c r="H302" s="3">
        <f t="shared" si="17"/>
        <v>200</v>
      </c>
      <c r="I302" s="2">
        <v>200</v>
      </c>
      <c r="J302" s="23">
        <f t="shared" ref="J302:J319" si="20">SUM(I302*1000)/76650</f>
        <v>2.6092628832354858</v>
      </c>
      <c r="K302" s="2">
        <v>167</v>
      </c>
      <c r="L302" s="23">
        <f t="shared" si="19"/>
        <v>2.1787345075016309</v>
      </c>
    </row>
    <row r="303" spans="1:12" x14ac:dyDescent="0.25">
      <c r="A303" s="1">
        <v>4370020</v>
      </c>
      <c r="B303" t="s">
        <v>314</v>
      </c>
      <c r="C303" t="s">
        <v>315</v>
      </c>
      <c r="D303" s="2">
        <v>19</v>
      </c>
      <c r="E303" s="2">
        <v>78</v>
      </c>
      <c r="F303" s="2">
        <v>50</v>
      </c>
      <c r="G303" s="2">
        <v>23</v>
      </c>
      <c r="H303" s="3">
        <f t="shared" si="17"/>
        <v>170</v>
      </c>
      <c r="I303" s="2">
        <v>170</v>
      </c>
      <c r="J303" s="23">
        <f t="shared" si="20"/>
        <v>2.217873450750163</v>
      </c>
      <c r="K303" s="2">
        <v>194</v>
      </c>
      <c r="L303" s="23">
        <f t="shared" si="19"/>
        <v>2.5309849967384213</v>
      </c>
    </row>
    <row r="304" spans="1:12" x14ac:dyDescent="0.25">
      <c r="A304" s="1">
        <v>4370030</v>
      </c>
      <c r="B304" t="s">
        <v>316</v>
      </c>
      <c r="C304" t="s">
        <v>317</v>
      </c>
      <c r="D304" s="2">
        <v>23</v>
      </c>
      <c r="E304" s="2">
        <v>33</v>
      </c>
      <c r="F304" s="2">
        <v>21</v>
      </c>
      <c r="G304" s="2">
        <v>7</v>
      </c>
      <c r="H304" s="3">
        <f t="shared" si="17"/>
        <v>84</v>
      </c>
      <c r="I304" s="2">
        <v>84</v>
      </c>
      <c r="J304" s="23">
        <f t="shared" si="20"/>
        <v>1.095890410958904</v>
      </c>
      <c r="K304" s="2">
        <v>100</v>
      </c>
      <c r="L304" s="23">
        <f t="shared" si="19"/>
        <v>1.3046314416177429</v>
      </c>
    </row>
    <row r="305" spans="1:12" x14ac:dyDescent="0.25">
      <c r="A305" s="1">
        <v>4370040</v>
      </c>
      <c r="B305" t="s">
        <v>318</v>
      </c>
      <c r="C305" t="s">
        <v>319</v>
      </c>
      <c r="D305" s="2">
        <v>18</v>
      </c>
      <c r="E305" s="2">
        <v>121</v>
      </c>
      <c r="F305" s="2">
        <v>60</v>
      </c>
      <c r="G305" s="2">
        <v>14</v>
      </c>
      <c r="H305" s="3">
        <f t="shared" si="17"/>
        <v>213</v>
      </c>
      <c r="I305" s="2">
        <v>213</v>
      </c>
      <c r="J305" s="23">
        <f t="shared" si="20"/>
        <v>2.7788649706457926</v>
      </c>
      <c r="K305" s="2">
        <v>196</v>
      </c>
      <c r="L305" s="23">
        <f t="shared" si="19"/>
        <v>2.5570776255707761</v>
      </c>
    </row>
    <row r="306" spans="1:12" x14ac:dyDescent="0.25">
      <c r="A306" s="1">
        <v>4370050</v>
      </c>
      <c r="B306" t="s">
        <v>320</v>
      </c>
      <c r="C306" t="s">
        <v>321</v>
      </c>
      <c r="D306" s="2">
        <v>13</v>
      </c>
      <c r="E306" s="2">
        <v>87</v>
      </c>
      <c r="F306" s="2">
        <v>34</v>
      </c>
      <c r="G306" s="2">
        <v>9</v>
      </c>
      <c r="H306" s="3">
        <f t="shared" si="17"/>
        <v>143</v>
      </c>
      <c r="I306" s="2">
        <v>143</v>
      </c>
      <c r="J306" s="23">
        <f t="shared" si="20"/>
        <v>1.8656229615133724</v>
      </c>
      <c r="K306" s="2">
        <v>122</v>
      </c>
      <c r="L306" s="23">
        <f t="shared" si="19"/>
        <v>1.5916503587736464</v>
      </c>
    </row>
    <row r="307" spans="1:12" x14ac:dyDescent="0.25">
      <c r="H307" s="3">
        <f t="shared" si="17"/>
        <v>0</v>
      </c>
    </row>
    <row r="308" spans="1:12" x14ac:dyDescent="0.25">
      <c r="A308" s="1">
        <v>4380007</v>
      </c>
      <c r="B308" t="s">
        <v>322</v>
      </c>
      <c r="C308" t="s">
        <v>323</v>
      </c>
      <c r="D308" s="2">
        <v>2</v>
      </c>
      <c r="E308" s="2">
        <v>3</v>
      </c>
      <c r="F308" s="2">
        <v>4</v>
      </c>
      <c r="G308" s="2">
        <v>4</v>
      </c>
      <c r="H308" s="3">
        <f t="shared" si="17"/>
        <v>13</v>
      </c>
      <c r="I308" s="2">
        <v>76650</v>
      </c>
      <c r="J308" s="23">
        <v>1</v>
      </c>
      <c r="K308" s="2">
        <v>76650</v>
      </c>
      <c r="L308" s="23">
        <v>1</v>
      </c>
    </row>
    <row r="309" spans="1:12" x14ac:dyDescent="0.25">
      <c r="A309" s="1">
        <v>4500009</v>
      </c>
      <c r="B309" t="s">
        <v>324</v>
      </c>
      <c r="C309" t="s">
        <v>325</v>
      </c>
      <c r="D309" s="2">
        <v>8</v>
      </c>
      <c r="E309" s="2">
        <v>8</v>
      </c>
      <c r="F309" s="2">
        <v>7</v>
      </c>
      <c r="G309" s="2">
        <v>8</v>
      </c>
      <c r="H309" s="3">
        <f t="shared" si="17"/>
        <v>31</v>
      </c>
      <c r="I309" s="2">
        <v>76650</v>
      </c>
      <c r="J309" s="23">
        <v>1</v>
      </c>
      <c r="K309" s="2">
        <v>76650</v>
      </c>
      <c r="L309" s="23">
        <v>1</v>
      </c>
    </row>
    <row r="310" spans="1:12" x14ac:dyDescent="0.25">
      <c r="A310" s="1"/>
      <c r="D310" s="2"/>
      <c r="E310" s="2"/>
      <c r="F310" s="2"/>
      <c r="G310" s="2"/>
      <c r="H310" s="3"/>
      <c r="I310" s="2"/>
      <c r="K310" s="2"/>
    </row>
    <row r="311" spans="1:12" x14ac:dyDescent="0.25">
      <c r="A311" s="1">
        <v>4500021</v>
      </c>
      <c r="C311" t="s">
        <v>555</v>
      </c>
      <c r="D311" s="2"/>
      <c r="E311" s="2"/>
      <c r="F311" s="2"/>
      <c r="G311" s="2"/>
      <c r="H311" s="3"/>
      <c r="I311" s="2">
        <v>100</v>
      </c>
      <c r="J311" s="23">
        <f t="shared" si="20"/>
        <v>1.3046314416177429</v>
      </c>
      <c r="K311" s="2">
        <v>100</v>
      </c>
      <c r="L311" s="23">
        <f t="shared" si="19"/>
        <v>1.3046314416177429</v>
      </c>
    </row>
    <row r="312" spans="1:12" x14ac:dyDescent="0.25">
      <c r="H312" s="3">
        <f t="shared" si="17"/>
        <v>0</v>
      </c>
    </row>
    <row r="313" spans="1:12" x14ac:dyDescent="0.25">
      <c r="A313" s="1">
        <v>4500022</v>
      </c>
      <c r="B313" t="s">
        <v>328</v>
      </c>
      <c r="C313" t="s">
        <v>329</v>
      </c>
      <c r="D313" s="2">
        <v>1</v>
      </c>
      <c r="E313" s="2">
        <v>296</v>
      </c>
      <c r="F313" s="2">
        <v>119</v>
      </c>
      <c r="G313" s="2">
        <v>0</v>
      </c>
      <c r="H313" s="3">
        <f t="shared" si="17"/>
        <v>416</v>
      </c>
    </row>
    <row r="314" spans="1:12" x14ac:dyDescent="0.25">
      <c r="A314" s="1">
        <v>4500022</v>
      </c>
      <c r="B314" t="s">
        <v>328</v>
      </c>
      <c r="C314" t="s">
        <v>330</v>
      </c>
      <c r="D314" s="2">
        <v>2</v>
      </c>
      <c r="E314" s="2">
        <v>320</v>
      </c>
      <c r="F314" s="2">
        <v>156</v>
      </c>
      <c r="G314" s="2">
        <v>24</v>
      </c>
      <c r="H314" s="3">
        <f t="shared" si="17"/>
        <v>502</v>
      </c>
      <c r="I314" s="3">
        <f>SUM(H314-H313)</f>
        <v>86</v>
      </c>
      <c r="J314" s="23">
        <f t="shared" si="20"/>
        <v>1.1219830397912589</v>
      </c>
      <c r="K314">
        <v>136</v>
      </c>
      <c r="L314" s="23">
        <f t="shared" si="19"/>
        <v>1.7742987606001304</v>
      </c>
    </row>
    <row r="315" spans="1:12" x14ac:dyDescent="0.25">
      <c r="H315" s="3">
        <f t="shared" si="17"/>
        <v>0</v>
      </c>
    </row>
    <row r="316" spans="1:12" x14ac:dyDescent="0.25">
      <c r="A316" s="1">
        <v>4500029</v>
      </c>
      <c r="B316" t="s">
        <v>331</v>
      </c>
      <c r="C316" t="s">
        <v>332</v>
      </c>
      <c r="D316" s="2">
        <v>23</v>
      </c>
      <c r="E316" s="2">
        <v>72</v>
      </c>
      <c r="F316" s="2">
        <v>35</v>
      </c>
      <c r="G316" s="2">
        <v>8</v>
      </c>
      <c r="H316" s="3">
        <f t="shared" si="17"/>
        <v>138</v>
      </c>
      <c r="I316" s="2">
        <v>138</v>
      </c>
      <c r="J316" s="23">
        <f t="shared" si="20"/>
        <v>1.8003913894324852</v>
      </c>
      <c r="K316">
        <v>107</v>
      </c>
      <c r="L316" s="23">
        <f t="shared" si="19"/>
        <v>1.3959556425309849</v>
      </c>
    </row>
    <row r="317" spans="1:12" x14ac:dyDescent="0.25">
      <c r="A317" s="1">
        <v>4500035</v>
      </c>
      <c r="B317" t="s">
        <v>333</v>
      </c>
      <c r="C317" t="s">
        <v>334</v>
      </c>
      <c r="D317" s="2">
        <v>15</v>
      </c>
      <c r="E317" s="2">
        <v>19</v>
      </c>
      <c r="F317" s="2">
        <v>18</v>
      </c>
      <c r="G317" s="2">
        <v>17</v>
      </c>
      <c r="H317" s="3">
        <f t="shared" si="17"/>
        <v>69</v>
      </c>
      <c r="I317" s="2">
        <v>76650</v>
      </c>
      <c r="J317" s="23">
        <v>1</v>
      </c>
      <c r="K317">
        <v>76650</v>
      </c>
      <c r="L317" s="23">
        <v>1</v>
      </c>
    </row>
    <row r="318" spans="1:12" x14ac:dyDescent="0.25">
      <c r="A318" s="1">
        <v>4500040</v>
      </c>
      <c r="B318" t="s">
        <v>335</v>
      </c>
      <c r="C318" t="s">
        <v>336</v>
      </c>
      <c r="D318" s="2">
        <v>12</v>
      </c>
      <c r="E318" s="2">
        <v>65</v>
      </c>
      <c r="F318" s="2">
        <v>22</v>
      </c>
      <c r="G318" s="2">
        <v>4</v>
      </c>
      <c r="H318" s="3">
        <f t="shared" si="17"/>
        <v>103</v>
      </c>
      <c r="I318" s="2">
        <v>103</v>
      </c>
      <c r="J318" s="23">
        <f t="shared" si="20"/>
        <v>1.3437703848662752</v>
      </c>
      <c r="K318" s="2">
        <v>153</v>
      </c>
      <c r="L318" s="23">
        <f t="shared" si="19"/>
        <v>1.9960861056751467</v>
      </c>
    </row>
    <row r="319" spans="1:12" x14ac:dyDescent="0.25">
      <c r="A319" s="1">
        <v>4500059</v>
      </c>
      <c r="B319" t="s">
        <v>337</v>
      </c>
      <c r="C319" t="s">
        <v>338</v>
      </c>
      <c r="D319" s="2">
        <v>193</v>
      </c>
      <c r="E319" s="2">
        <v>93</v>
      </c>
      <c r="F319" s="2">
        <v>179</v>
      </c>
      <c r="G319" s="2">
        <v>168</v>
      </c>
      <c r="H319" s="3">
        <f t="shared" si="17"/>
        <v>633</v>
      </c>
      <c r="I319" s="2">
        <v>633</v>
      </c>
      <c r="J319" s="23">
        <f t="shared" si="20"/>
        <v>8.2583170254403129</v>
      </c>
      <c r="K319">
        <v>571</v>
      </c>
      <c r="L319" s="23">
        <f t="shared" si="19"/>
        <v>7.4494455316373127</v>
      </c>
    </row>
    <row r="320" spans="1:12" x14ac:dyDescent="0.25">
      <c r="H320" s="3">
        <f t="shared" si="17"/>
        <v>0</v>
      </c>
    </row>
    <row r="321" spans="1:12" x14ac:dyDescent="0.25">
      <c r="A321" s="1">
        <v>4520012</v>
      </c>
      <c r="B321" t="s">
        <v>339</v>
      </c>
      <c r="C321" t="s">
        <v>340</v>
      </c>
      <c r="D321" s="2">
        <v>3</v>
      </c>
      <c r="E321" s="2">
        <v>2</v>
      </c>
      <c r="F321" s="2">
        <v>3</v>
      </c>
      <c r="G321" s="2">
        <v>3</v>
      </c>
      <c r="H321" s="3">
        <f t="shared" si="17"/>
        <v>11</v>
      </c>
      <c r="I321" s="2">
        <v>76650</v>
      </c>
      <c r="J321" s="23">
        <v>1</v>
      </c>
      <c r="K321" s="2">
        <v>76650</v>
      </c>
      <c r="L321" s="23">
        <v>1</v>
      </c>
    </row>
    <row r="322" spans="1:12" x14ac:dyDescent="0.25">
      <c r="H322" s="3">
        <f t="shared" si="17"/>
        <v>0</v>
      </c>
    </row>
    <row r="323" spans="1:12" x14ac:dyDescent="0.25">
      <c r="A323" s="1">
        <v>4520015</v>
      </c>
      <c r="B323" t="s">
        <v>341</v>
      </c>
      <c r="C323" t="s">
        <v>342</v>
      </c>
      <c r="D323" s="2">
        <v>55</v>
      </c>
      <c r="E323" s="2">
        <v>47</v>
      </c>
      <c r="F323" s="2">
        <v>50</v>
      </c>
      <c r="G323" s="2">
        <v>60</v>
      </c>
      <c r="H323" s="3">
        <f t="shared" si="17"/>
        <v>212</v>
      </c>
    </row>
    <row r="324" spans="1:12" x14ac:dyDescent="0.25">
      <c r="A324" s="1">
        <v>4520015</v>
      </c>
      <c r="B324" t="s">
        <v>343</v>
      </c>
      <c r="C324" t="s">
        <v>344</v>
      </c>
      <c r="D324" s="2">
        <v>251</v>
      </c>
      <c r="E324" s="2">
        <v>405</v>
      </c>
      <c r="F324" s="2">
        <v>423</v>
      </c>
      <c r="G324" s="2">
        <v>167</v>
      </c>
      <c r="H324" s="3">
        <f t="shared" si="17"/>
        <v>1246</v>
      </c>
    </row>
    <row r="325" spans="1:12" x14ac:dyDescent="0.25">
      <c r="A325" s="1">
        <v>4520015</v>
      </c>
      <c r="B325" t="s">
        <v>345</v>
      </c>
      <c r="C325" t="s">
        <v>346</v>
      </c>
      <c r="D325" s="2">
        <v>90</v>
      </c>
      <c r="E325" s="2">
        <v>211</v>
      </c>
      <c r="F325" s="2">
        <v>0</v>
      </c>
      <c r="G325" s="2">
        <v>0</v>
      </c>
      <c r="H325" s="3">
        <f t="shared" si="17"/>
        <v>301</v>
      </c>
      <c r="I325" s="3">
        <f>SUM(H324-301+H323)</f>
        <v>1157</v>
      </c>
      <c r="J325" s="23">
        <f>SUM(I325*1000)/76650</f>
        <v>15.094585779517287</v>
      </c>
      <c r="K325">
        <v>1237</v>
      </c>
      <c r="L325" s="23">
        <f t="shared" si="19"/>
        <v>16.138290932811479</v>
      </c>
    </row>
    <row r="326" spans="1:12" x14ac:dyDescent="0.25">
      <c r="H326" s="3">
        <f t="shared" si="17"/>
        <v>0</v>
      </c>
    </row>
    <row r="327" spans="1:12" x14ac:dyDescent="0.25">
      <c r="A327" s="1">
        <v>4520018</v>
      </c>
      <c r="B327" t="s">
        <v>347</v>
      </c>
      <c r="C327" t="s">
        <v>348</v>
      </c>
      <c r="D327" s="2">
        <v>3</v>
      </c>
      <c r="E327" s="2">
        <v>49</v>
      </c>
      <c r="F327" s="2">
        <v>36</v>
      </c>
      <c r="G327" s="2">
        <v>10</v>
      </c>
      <c r="H327" s="3">
        <f t="shared" si="17"/>
        <v>98</v>
      </c>
      <c r="I327" s="2">
        <v>98</v>
      </c>
      <c r="J327" s="23">
        <f t="shared" ref="J327:J353" si="21">SUM(I327*1000)/76650</f>
        <v>1.2785388127853881</v>
      </c>
      <c r="K327">
        <v>116</v>
      </c>
      <c r="L327" s="23">
        <f t="shared" ref="L327:L388" si="22">SUM(K327*1000)/76650</f>
        <v>1.5133724722765818</v>
      </c>
    </row>
    <row r="328" spans="1:12" x14ac:dyDescent="0.25">
      <c r="A328" s="1">
        <v>4520020</v>
      </c>
      <c r="B328" t="s">
        <v>349</v>
      </c>
      <c r="C328" t="s">
        <v>350</v>
      </c>
      <c r="D328" s="2">
        <v>63</v>
      </c>
      <c r="E328" s="2">
        <v>63</v>
      </c>
      <c r="F328" s="2">
        <v>65</v>
      </c>
      <c r="G328" s="2">
        <v>61</v>
      </c>
      <c r="H328" s="3">
        <f t="shared" si="17"/>
        <v>252</v>
      </c>
      <c r="I328" s="2">
        <v>252</v>
      </c>
      <c r="J328" s="23">
        <f t="shared" si="21"/>
        <v>3.2876712328767121</v>
      </c>
      <c r="K328">
        <v>263</v>
      </c>
      <c r="L328" s="23">
        <f t="shared" si="22"/>
        <v>3.4311806914546641</v>
      </c>
    </row>
    <row r="329" spans="1:12" x14ac:dyDescent="0.25">
      <c r="H329" s="3">
        <f t="shared" si="17"/>
        <v>0</v>
      </c>
    </row>
    <row r="330" spans="1:12" x14ac:dyDescent="0.25">
      <c r="A330" s="1">
        <v>4520046</v>
      </c>
      <c r="B330" t="s">
        <v>351</v>
      </c>
      <c r="C330" t="s">
        <v>352</v>
      </c>
      <c r="D330" s="2">
        <v>0</v>
      </c>
      <c r="E330" s="2">
        <v>0</v>
      </c>
      <c r="F330" s="2">
        <v>0</v>
      </c>
      <c r="G330" s="2">
        <v>0</v>
      </c>
      <c r="H330" s="3">
        <f t="shared" ref="H330:H393" si="23">SUM(D330:G330)</f>
        <v>0</v>
      </c>
    </row>
    <row r="331" spans="1:12" x14ac:dyDescent="0.25">
      <c r="A331" s="1">
        <v>4520046</v>
      </c>
      <c r="B331" t="s">
        <v>353</v>
      </c>
      <c r="C331" t="s">
        <v>352</v>
      </c>
      <c r="D331" s="2">
        <v>14</v>
      </c>
      <c r="E331" s="2">
        <v>54</v>
      </c>
      <c r="F331" s="2">
        <v>27</v>
      </c>
      <c r="G331" s="2">
        <v>18</v>
      </c>
      <c r="H331" s="3">
        <f t="shared" si="23"/>
        <v>113</v>
      </c>
    </row>
    <row r="332" spans="1:12" x14ac:dyDescent="0.25">
      <c r="A332" s="1">
        <v>4520046</v>
      </c>
      <c r="B332" t="s">
        <v>354</v>
      </c>
      <c r="C332" t="s">
        <v>352</v>
      </c>
      <c r="D332" s="2">
        <v>34</v>
      </c>
      <c r="E332" s="2">
        <v>0</v>
      </c>
      <c r="F332" s="2">
        <v>0</v>
      </c>
      <c r="G332" s="2">
        <v>0</v>
      </c>
      <c r="H332" s="3">
        <f t="shared" si="23"/>
        <v>34</v>
      </c>
      <c r="I332" s="3">
        <f>SUM(H330:H332)</f>
        <v>147</v>
      </c>
      <c r="J332" s="23">
        <f t="shared" si="21"/>
        <v>1.9178082191780821</v>
      </c>
      <c r="K332">
        <v>76650</v>
      </c>
      <c r="L332" s="23">
        <v>1</v>
      </c>
    </row>
    <row r="333" spans="1:12" x14ac:dyDescent="0.25">
      <c r="H333" s="3">
        <f t="shared" si="23"/>
        <v>0</v>
      </c>
    </row>
    <row r="334" spans="1:12" x14ac:dyDescent="0.25">
      <c r="A334" s="15">
        <v>4520054</v>
      </c>
      <c r="B334" s="13" t="s">
        <v>355</v>
      </c>
      <c r="C334" s="13" t="s">
        <v>356</v>
      </c>
      <c r="D334" s="16">
        <v>128</v>
      </c>
      <c r="E334" s="16">
        <v>135</v>
      </c>
      <c r="F334" s="16">
        <v>153</v>
      </c>
      <c r="G334" s="16">
        <v>131</v>
      </c>
      <c r="H334" s="3">
        <f t="shared" si="23"/>
        <v>547</v>
      </c>
      <c r="I334" s="13"/>
      <c r="K334" s="13"/>
    </row>
    <row r="335" spans="1:12" x14ac:dyDescent="0.25">
      <c r="A335" s="15">
        <v>4520054</v>
      </c>
      <c r="B335" s="13"/>
      <c r="C335" s="13"/>
      <c r="D335" s="13"/>
      <c r="E335" s="13"/>
      <c r="F335" s="13"/>
      <c r="G335" s="13"/>
      <c r="H335" s="3">
        <f t="shared" si="23"/>
        <v>0</v>
      </c>
      <c r="I335" s="13"/>
      <c r="K335" s="13"/>
    </row>
    <row r="336" spans="1:12" x14ac:dyDescent="0.25">
      <c r="A336" s="15">
        <v>4520054</v>
      </c>
      <c r="B336" s="13"/>
      <c r="C336" s="13"/>
      <c r="D336" s="13"/>
      <c r="E336" s="13"/>
      <c r="F336" s="13"/>
      <c r="G336" s="13"/>
      <c r="H336" s="3">
        <f t="shared" si="23"/>
        <v>0</v>
      </c>
      <c r="I336" s="13"/>
      <c r="K336" s="13"/>
    </row>
    <row r="337" spans="1:12" x14ac:dyDescent="0.25">
      <c r="A337" s="15">
        <v>4520054</v>
      </c>
      <c r="B337" s="13"/>
      <c r="C337" s="13"/>
      <c r="D337" s="13"/>
      <c r="E337" s="13"/>
      <c r="F337" s="13"/>
      <c r="G337" s="13"/>
      <c r="H337" s="3">
        <f t="shared" si="23"/>
        <v>0</v>
      </c>
      <c r="I337" s="13"/>
      <c r="K337" s="13"/>
    </row>
    <row r="338" spans="1:12" x14ac:dyDescent="0.25">
      <c r="A338" s="15">
        <v>4520054</v>
      </c>
      <c r="B338" s="13"/>
      <c r="C338" s="13"/>
      <c r="D338" s="13"/>
      <c r="E338" s="13"/>
      <c r="F338" s="13"/>
      <c r="G338" s="13"/>
      <c r="H338" s="3">
        <f t="shared" si="23"/>
        <v>0</v>
      </c>
      <c r="I338" s="13"/>
      <c r="K338" s="13"/>
    </row>
    <row r="339" spans="1:12" x14ac:dyDescent="0.25">
      <c r="A339" s="15">
        <v>4520054</v>
      </c>
      <c r="B339" s="13"/>
      <c r="C339" s="13"/>
      <c r="D339" s="13"/>
      <c r="E339" s="13"/>
      <c r="F339" s="13"/>
      <c r="G339" s="13"/>
      <c r="H339" s="3">
        <f t="shared" si="23"/>
        <v>0</v>
      </c>
      <c r="I339" s="22">
        <v>1300</v>
      </c>
      <c r="J339" s="23">
        <f t="shared" si="21"/>
        <v>16.960208741030659</v>
      </c>
      <c r="K339" s="13">
        <v>1107</v>
      </c>
      <c r="L339" s="23">
        <f t="shared" si="22"/>
        <v>14.442270058708415</v>
      </c>
    </row>
    <row r="340" spans="1:12" x14ac:dyDescent="0.25">
      <c r="H340" s="3">
        <f t="shared" si="23"/>
        <v>0</v>
      </c>
    </row>
    <row r="341" spans="1:12" x14ac:dyDescent="0.25">
      <c r="A341" s="1">
        <v>4520395</v>
      </c>
      <c r="B341" t="s">
        <v>357</v>
      </c>
      <c r="C341" t="s">
        <v>358</v>
      </c>
      <c r="D341" s="2">
        <v>2</v>
      </c>
      <c r="E341" s="2">
        <v>1</v>
      </c>
      <c r="F341" s="2">
        <v>2</v>
      </c>
      <c r="G341" s="2">
        <v>1</v>
      </c>
      <c r="H341" s="3">
        <f t="shared" si="23"/>
        <v>6</v>
      </c>
    </row>
    <row r="342" spans="1:12" x14ac:dyDescent="0.25">
      <c r="A342" s="1">
        <v>4520395</v>
      </c>
      <c r="B342" t="s">
        <v>357</v>
      </c>
      <c r="C342" t="s">
        <v>358</v>
      </c>
      <c r="D342" s="2">
        <v>1</v>
      </c>
      <c r="E342" s="2">
        <v>0</v>
      </c>
      <c r="F342" s="2">
        <v>0</v>
      </c>
      <c r="G342" s="2">
        <v>1</v>
      </c>
      <c r="H342" s="3">
        <f t="shared" si="23"/>
        <v>2</v>
      </c>
    </row>
    <row r="343" spans="1:12" x14ac:dyDescent="0.25">
      <c r="A343" s="1">
        <v>4520395</v>
      </c>
      <c r="B343" t="s">
        <v>357</v>
      </c>
      <c r="C343" t="s">
        <v>358</v>
      </c>
      <c r="D343" s="2">
        <v>9</v>
      </c>
      <c r="E343" s="2">
        <v>9</v>
      </c>
      <c r="F343" s="2">
        <v>17</v>
      </c>
      <c r="G343" s="2">
        <v>11</v>
      </c>
      <c r="H343" s="3">
        <f t="shared" si="23"/>
        <v>46</v>
      </c>
    </row>
    <row r="344" spans="1:12" x14ac:dyDescent="0.25">
      <c r="A344" s="1">
        <v>4520395</v>
      </c>
      <c r="B344" t="s">
        <v>357</v>
      </c>
      <c r="C344" t="s">
        <v>358</v>
      </c>
      <c r="D344" s="2">
        <v>2</v>
      </c>
      <c r="E344" s="2">
        <v>1</v>
      </c>
      <c r="F344" s="2">
        <v>0</v>
      </c>
      <c r="G344" s="2">
        <v>0</v>
      </c>
      <c r="H344" s="3">
        <f t="shared" si="23"/>
        <v>3</v>
      </c>
    </row>
    <row r="345" spans="1:12" x14ac:dyDescent="0.25">
      <c r="A345" s="1">
        <v>4520395</v>
      </c>
      <c r="B345" t="s">
        <v>359</v>
      </c>
      <c r="C345" t="s">
        <v>358</v>
      </c>
      <c r="D345" s="2">
        <v>8</v>
      </c>
      <c r="E345" s="2">
        <v>9</v>
      </c>
      <c r="F345" s="2">
        <v>10</v>
      </c>
      <c r="G345" s="2">
        <v>10</v>
      </c>
      <c r="H345" s="3">
        <f t="shared" si="23"/>
        <v>37</v>
      </c>
    </row>
    <row r="346" spans="1:12" x14ac:dyDescent="0.25">
      <c r="A346" s="1">
        <v>4520395</v>
      </c>
      <c r="B346" t="s">
        <v>360</v>
      </c>
      <c r="C346" t="s">
        <v>358</v>
      </c>
      <c r="D346" s="2">
        <v>2</v>
      </c>
      <c r="E346" s="2">
        <v>1</v>
      </c>
      <c r="F346" s="2">
        <v>2</v>
      </c>
      <c r="G346" s="2">
        <v>2</v>
      </c>
      <c r="H346" s="3">
        <f t="shared" si="23"/>
        <v>7</v>
      </c>
      <c r="I346" s="3">
        <f>SUM(H341:H346)</f>
        <v>101</v>
      </c>
      <c r="J346" s="23">
        <f t="shared" si="21"/>
        <v>1.3176777560339203</v>
      </c>
      <c r="K346">
        <v>117</v>
      </c>
      <c r="L346" s="23">
        <f t="shared" si="22"/>
        <v>1.5264187866927592</v>
      </c>
    </row>
    <row r="347" spans="1:12" x14ac:dyDescent="0.25">
      <c r="H347" s="3">
        <f t="shared" si="23"/>
        <v>0</v>
      </c>
    </row>
    <row r="348" spans="1:12" x14ac:dyDescent="0.25">
      <c r="A348" s="1">
        <v>4520427</v>
      </c>
      <c r="B348" t="s">
        <v>361</v>
      </c>
      <c r="C348" t="s">
        <v>362</v>
      </c>
      <c r="D348" s="2">
        <v>2</v>
      </c>
      <c r="E348" s="2">
        <v>8</v>
      </c>
      <c r="F348" s="2">
        <v>3</v>
      </c>
      <c r="G348" s="2">
        <v>2</v>
      </c>
      <c r="H348" s="3">
        <f t="shared" si="23"/>
        <v>15</v>
      </c>
    </row>
    <row r="349" spans="1:12" x14ac:dyDescent="0.25">
      <c r="A349" s="1">
        <v>4520427</v>
      </c>
      <c r="B349" t="s">
        <v>363</v>
      </c>
      <c r="C349" t="s">
        <v>362</v>
      </c>
      <c r="D349" s="2">
        <v>1</v>
      </c>
      <c r="E349" s="2">
        <v>1</v>
      </c>
      <c r="F349" s="2">
        <v>1</v>
      </c>
      <c r="G349" s="2">
        <v>0</v>
      </c>
      <c r="H349" s="3">
        <f t="shared" si="23"/>
        <v>3</v>
      </c>
    </row>
    <row r="350" spans="1:12" x14ac:dyDescent="0.25">
      <c r="A350" s="1">
        <v>4520427</v>
      </c>
      <c r="B350" t="s">
        <v>364</v>
      </c>
      <c r="C350" t="s">
        <v>362</v>
      </c>
      <c r="D350" s="2">
        <v>19</v>
      </c>
      <c r="E350" s="2">
        <v>19</v>
      </c>
      <c r="F350" s="2">
        <v>26</v>
      </c>
      <c r="G350" s="2">
        <v>25</v>
      </c>
      <c r="H350" s="3">
        <f t="shared" si="23"/>
        <v>89</v>
      </c>
    </row>
    <row r="351" spans="1:12" x14ac:dyDescent="0.25">
      <c r="A351" s="1">
        <v>4520427</v>
      </c>
      <c r="B351" t="s">
        <v>365</v>
      </c>
      <c r="C351" t="s">
        <v>362</v>
      </c>
      <c r="D351" s="2">
        <v>15</v>
      </c>
      <c r="E351" s="2">
        <v>18</v>
      </c>
      <c r="F351" s="2">
        <v>16</v>
      </c>
      <c r="G351" s="2">
        <v>12</v>
      </c>
      <c r="H351" s="3">
        <f t="shared" si="23"/>
        <v>61</v>
      </c>
    </row>
    <row r="352" spans="1:12" x14ac:dyDescent="0.25">
      <c r="A352" s="1">
        <v>4520427</v>
      </c>
      <c r="B352" t="s">
        <v>366</v>
      </c>
      <c r="C352" t="s">
        <v>362</v>
      </c>
      <c r="D352" s="2">
        <v>14</v>
      </c>
      <c r="E352" s="2">
        <v>13</v>
      </c>
      <c r="F352" s="2">
        <v>12</v>
      </c>
      <c r="G352" s="2">
        <v>13</v>
      </c>
      <c r="H352" s="3">
        <f t="shared" si="23"/>
        <v>52</v>
      </c>
    </row>
    <row r="353" spans="1:12" x14ac:dyDescent="0.25">
      <c r="A353" s="1">
        <v>4520427</v>
      </c>
      <c r="B353" t="s">
        <v>367</v>
      </c>
      <c r="C353" t="s">
        <v>368</v>
      </c>
      <c r="D353" s="2">
        <v>105</v>
      </c>
      <c r="E353" s="2">
        <v>197</v>
      </c>
      <c r="F353" s="2">
        <v>19</v>
      </c>
      <c r="G353" s="2">
        <v>0</v>
      </c>
      <c r="H353" s="3">
        <f t="shared" si="23"/>
        <v>321</v>
      </c>
      <c r="I353" s="3">
        <f>SUM(H348:H352)</f>
        <v>220</v>
      </c>
      <c r="J353" s="23">
        <f t="shared" si="21"/>
        <v>2.8701891715590344</v>
      </c>
      <c r="K353">
        <v>228</v>
      </c>
      <c r="L353" s="23">
        <f t="shared" si="22"/>
        <v>2.9745596868884538</v>
      </c>
    </row>
    <row r="354" spans="1:12" x14ac:dyDescent="0.25">
      <c r="H354" s="3">
        <f t="shared" si="23"/>
        <v>0</v>
      </c>
      <c r="L354" s="23">
        <f t="shared" si="22"/>
        <v>0</v>
      </c>
    </row>
    <row r="355" spans="1:12" x14ac:dyDescent="0.25">
      <c r="A355" s="1">
        <v>4520490</v>
      </c>
      <c r="B355" t="s">
        <v>369</v>
      </c>
      <c r="C355" t="s">
        <v>370</v>
      </c>
      <c r="D355" s="2">
        <v>8</v>
      </c>
      <c r="E355" s="2">
        <v>16</v>
      </c>
      <c r="F355" s="2">
        <v>9</v>
      </c>
      <c r="G355" s="2">
        <v>10</v>
      </c>
      <c r="H355" s="3">
        <f t="shared" si="23"/>
        <v>43</v>
      </c>
      <c r="I355" s="2">
        <v>76650</v>
      </c>
      <c r="J355" s="23">
        <v>1</v>
      </c>
      <c r="K355" s="2">
        <v>76650</v>
      </c>
      <c r="L355" s="23">
        <v>1</v>
      </c>
    </row>
    <row r="356" spans="1:12" x14ac:dyDescent="0.25">
      <c r="H356" s="3">
        <f t="shared" si="23"/>
        <v>0</v>
      </c>
    </row>
    <row r="357" spans="1:12" x14ac:dyDescent="0.25">
      <c r="A357" s="1">
        <v>4520510</v>
      </c>
      <c r="B357" t="s">
        <v>371</v>
      </c>
      <c r="C357" t="s">
        <v>372</v>
      </c>
      <c r="D357" s="2">
        <v>246</v>
      </c>
      <c r="E357" s="2">
        <v>155</v>
      </c>
      <c r="F357" s="2">
        <v>227</v>
      </c>
      <c r="G357" s="2">
        <v>208</v>
      </c>
      <c r="H357" s="3">
        <f t="shared" si="23"/>
        <v>836</v>
      </c>
    </row>
    <row r="358" spans="1:12" x14ac:dyDescent="0.25">
      <c r="A358" s="1">
        <v>4520510</v>
      </c>
      <c r="B358" t="s">
        <v>371</v>
      </c>
      <c r="C358" t="s">
        <v>373</v>
      </c>
      <c r="D358" s="2">
        <v>1</v>
      </c>
      <c r="E358" s="2">
        <v>390</v>
      </c>
      <c r="F358" s="2">
        <v>214</v>
      </c>
      <c r="G358" s="2">
        <v>0</v>
      </c>
      <c r="H358" s="3">
        <f t="shared" si="23"/>
        <v>605</v>
      </c>
      <c r="J358" s="23" t="s">
        <v>47</v>
      </c>
    </row>
    <row r="359" spans="1:12" x14ac:dyDescent="0.25">
      <c r="A359" s="1">
        <v>4520510</v>
      </c>
      <c r="B359" t="s">
        <v>374</v>
      </c>
      <c r="C359" t="s">
        <v>372</v>
      </c>
      <c r="D359" s="2">
        <v>18</v>
      </c>
      <c r="E359" s="2">
        <v>1498</v>
      </c>
      <c r="F359" s="2">
        <v>162</v>
      </c>
      <c r="G359" s="2">
        <v>0</v>
      </c>
      <c r="H359" s="3">
        <f t="shared" si="23"/>
        <v>1678</v>
      </c>
      <c r="I359" s="3">
        <f>SUM(H359+H357)</f>
        <v>2514</v>
      </c>
      <c r="J359" s="23">
        <f>SUM(I359*1000)/76650</f>
        <v>32.798434442270057</v>
      </c>
      <c r="K359">
        <v>710</v>
      </c>
      <c r="L359" s="23">
        <f t="shared" si="22"/>
        <v>9.262883235485976</v>
      </c>
    </row>
    <row r="360" spans="1:12" x14ac:dyDescent="0.25">
      <c r="H360" s="3">
        <f t="shared" si="23"/>
        <v>0</v>
      </c>
    </row>
    <row r="361" spans="1:12" x14ac:dyDescent="0.25">
      <c r="A361" s="1">
        <v>4520590</v>
      </c>
      <c r="B361" t="s">
        <v>375</v>
      </c>
      <c r="C361" t="s">
        <v>376</v>
      </c>
      <c r="D361" s="2">
        <v>167</v>
      </c>
      <c r="E361" s="2">
        <v>314</v>
      </c>
      <c r="F361" s="2">
        <v>0</v>
      </c>
      <c r="G361" s="2">
        <v>0</v>
      </c>
      <c r="H361" s="3">
        <f t="shared" si="23"/>
        <v>481</v>
      </c>
    </row>
    <row r="362" spans="1:12" x14ac:dyDescent="0.25">
      <c r="A362" s="1">
        <v>4520590</v>
      </c>
      <c r="B362" t="s">
        <v>377</v>
      </c>
      <c r="C362" t="s">
        <v>376</v>
      </c>
      <c r="D362" s="2">
        <v>57</v>
      </c>
      <c r="E362" s="2">
        <v>88</v>
      </c>
      <c r="F362" s="2">
        <v>65</v>
      </c>
      <c r="G362" s="2">
        <v>48</v>
      </c>
      <c r="H362" s="3">
        <f t="shared" si="23"/>
        <v>258</v>
      </c>
      <c r="I362" s="2">
        <v>258</v>
      </c>
      <c r="J362" s="23">
        <f t="shared" ref="J362" si="24">SUM(I362*1000)/76650</f>
        <v>3.3659491193737767</v>
      </c>
      <c r="K362">
        <v>157</v>
      </c>
      <c r="L362" s="23">
        <f t="shared" si="22"/>
        <v>2.0482713633398566</v>
      </c>
    </row>
    <row r="363" spans="1:12" x14ac:dyDescent="0.25">
      <c r="H363" s="3">
        <f t="shared" si="23"/>
        <v>0</v>
      </c>
    </row>
    <row r="364" spans="1:12" x14ac:dyDescent="0.25">
      <c r="A364" s="1">
        <v>4520652</v>
      </c>
      <c r="B364" t="s">
        <v>378</v>
      </c>
      <c r="C364" t="s">
        <v>379</v>
      </c>
      <c r="D364" s="2">
        <v>857</v>
      </c>
      <c r="E364" s="2">
        <v>1012</v>
      </c>
      <c r="F364" s="2">
        <v>819</v>
      </c>
      <c r="G364" s="2">
        <v>760</v>
      </c>
      <c r="H364" s="3">
        <f t="shared" si="23"/>
        <v>3448</v>
      </c>
    </row>
    <row r="365" spans="1:12" x14ac:dyDescent="0.25">
      <c r="A365" s="1">
        <v>4520652</v>
      </c>
      <c r="B365" t="s">
        <v>380</v>
      </c>
      <c r="C365" t="s">
        <v>381</v>
      </c>
      <c r="D365" s="2">
        <v>4</v>
      </c>
      <c r="E365" s="2">
        <v>210</v>
      </c>
      <c r="F365" s="2">
        <v>168</v>
      </c>
      <c r="G365" s="2">
        <v>0</v>
      </c>
      <c r="H365" s="3">
        <f t="shared" si="23"/>
        <v>382</v>
      </c>
      <c r="I365" s="3">
        <f>SUM(H364-H365)</f>
        <v>3066</v>
      </c>
      <c r="J365" s="23">
        <f>SUM(I365*1000)/76650</f>
        <v>40</v>
      </c>
      <c r="K365">
        <v>3346</v>
      </c>
      <c r="L365" s="23">
        <f t="shared" si="22"/>
        <v>43.652968036529678</v>
      </c>
    </row>
    <row r="366" spans="1:12" x14ac:dyDescent="0.25">
      <c r="H366" s="3">
        <f t="shared" si="23"/>
        <v>0</v>
      </c>
    </row>
    <row r="367" spans="1:12" x14ac:dyDescent="0.25">
      <c r="A367" s="1">
        <v>4540005</v>
      </c>
      <c r="B367" t="s">
        <v>382</v>
      </c>
      <c r="C367" t="s">
        <v>383</v>
      </c>
      <c r="D367" s="2">
        <v>21</v>
      </c>
      <c r="E367" s="2">
        <v>23</v>
      </c>
      <c r="F367" s="2">
        <v>27</v>
      </c>
      <c r="G367" s="2">
        <v>21</v>
      </c>
      <c r="H367" s="3">
        <f t="shared" si="23"/>
        <v>92</v>
      </c>
      <c r="I367" s="2">
        <v>92</v>
      </c>
      <c r="J367" s="23">
        <f t="shared" ref="J367:J378" si="25">SUM(I367*1000)/76650</f>
        <v>1.2002609262883235</v>
      </c>
      <c r="K367">
        <v>158</v>
      </c>
      <c r="L367" s="23">
        <f t="shared" si="22"/>
        <v>2.0613176777560338</v>
      </c>
    </row>
    <row r="368" spans="1:12" x14ac:dyDescent="0.25">
      <c r="A368" s="1">
        <v>4540011</v>
      </c>
      <c r="B368" t="s">
        <v>384</v>
      </c>
      <c r="C368" t="s">
        <v>385</v>
      </c>
      <c r="D368" s="2">
        <v>3</v>
      </c>
      <c r="E368" s="2">
        <v>3</v>
      </c>
      <c r="F368" s="2">
        <v>2</v>
      </c>
      <c r="G368" s="2">
        <v>2</v>
      </c>
      <c r="H368" s="3">
        <f t="shared" si="23"/>
        <v>10</v>
      </c>
      <c r="I368" s="2">
        <v>76650</v>
      </c>
      <c r="J368" s="23">
        <v>1</v>
      </c>
      <c r="K368">
        <v>76650</v>
      </c>
      <c r="L368" s="23">
        <v>1</v>
      </c>
    </row>
    <row r="369" spans="1:12" x14ac:dyDescent="0.25">
      <c r="A369" s="1">
        <v>4540012</v>
      </c>
      <c r="B369" t="s">
        <v>386</v>
      </c>
      <c r="C369" t="s">
        <v>387</v>
      </c>
      <c r="D369" s="2">
        <v>20</v>
      </c>
      <c r="E369" s="2">
        <v>23</v>
      </c>
      <c r="F369" s="2">
        <v>21</v>
      </c>
      <c r="G369" s="2">
        <v>20</v>
      </c>
      <c r="H369" s="3">
        <f t="shared" si="23"/>
        <v>84</v>
      </c>
      <c r="I369" s="2">
        <v>84</v>
      </c>
      <c r="J369" s="23">
        <f t="shared" si="25"/>
        <v>1.095890410958904</v>
      </c>
      <c r="K369">
        <v>103</v>
      </c>
      <c r="L369" s="23">
        <f t="shared" si="22"/>
        <v>1.3437703848662752</v>
      </c>
    </row>
    <row r="370" spans="1:12" x14ac:dyDescent="0.25">
      <c r="A370" s="1">
        <v>4540016</v>
      </c>
      <c r="B370" t="s">
        <v>388</v>
      </c>
      <c r="C370" t="s">
        <v>389</v>
      </c>
      <c r="D370" s="2">
        <v>28</v>
      </c>
      <c r="E370" s="2">
        <v>63</v>
      </c>
      <c r="F370" s="2">
        <v>29</v>
      </c>
      <c r="G370" s="2">
        <v>3</v>
      </c>
      <c r="H370" s="3">
        <f t="shared" si="23"/>
        <v>123</v>
      </c>
      <c r="I370" s="2">
        <v>123</v>
      </c>
      <c r="J370" s="23">
        <f t="shared" si="25"/>
        <v>1.6046966731898238</v>
      </c>
    </row>
    <row r="371" spans="1:12" x14ac:dyDescent="0.25">
      <c r="A371" s="1">
        <v>4540016</v>
      </c>
      <c r="B371" t="s">
        <v>390</v>
      </c>
      <c r="C371" t="s">
        <v>389</v>
      </c>
      <c r="D371" s="2">
        <v>0</v>
      </c>
      <c r="E371" s="2">
        <v>0</v>
      </c>
      <c r="F371" s="2">
        <v>0</v>
      </c>
      <c r="G371" s="2">
        <v>2</v>
      </c>
      <c r="H371" s="3">
        <f t="shared" si="23"/>
        <v>2</v>
      </c>
      <c r="I371" s="2">
        <v>76650</v>
      </c>
      <c r="J371" s="23">
        <v>1</v>
      </c>
      <c r="K371">
        <v>76650</v>
      </c>
      <c r="L371" s="23">
        <v>1</v>
      </c>
    </row>
    <row r="372" spans="1:12" x14ac:dyDescent="0.25">
      <c r="A372" s="1">
        <v>4540017</v>
      </c>
      <c r="B372" t="s">
        <v>391</v>
      </c>
      <c r="C372" t="s">
        <v>392</v>
      </c>
      <c r="D372" s="2">
        <v>0</v>
      </c>
      <c r="E372" s="2">
        <v>1</v>
      </c>
      <c r="F372" s="2">
        <v>1</v>
      </c>
      <c r="G372" s="2">
        <v>1</v>
      </c>
      <c r="H372" s="3">
        <f t="shared" si="23"/>
        <v>3</v>
      </c>
      <c r="I372" s="2">
        <v>76650</v>
      </c>
      <c r="J372" s="23">
        <v>1</v>
      </c>
      <c r="K372">
        <v>76650</v>
      </c>
      <c r="L372" s="23">
        <v>1</v>
      </c>
    </row>
    <row r="373" spans="1:12" x14ac:dyDescent="0.25">
      <c r="A373" s="1">
        <v>4540020</v>
      </c>
      <c r="B373" t="s">
        <v>393</v>
      </c>
      <c r="C373" t="s">
        <v>394</v>
      </c>
      <c r="D373" s="2">
        <v>31</v>
      </c>
      <c r="E373" s="2">
        <v>34</v>
      </c>
      <c r="F373" s="2">
        <v>30</v>
      </c>
      <c r="G373" s="2">
        <v>27</v>
      </c>
      <c r="H373" s="3">
        <f t="shared" si="23"/>
        <v>122</v>
      </c>
      <c r="I373" s="2">
        <v>122</v>
      </c>
      <c r="J373" s="23">
        <f t="shared" si="25"/>
        <v>1.5916503587736464</v>
      </c>
      <c r="K373">
        <v>263</v>
      </c>
      <c r="L373" s="23">
        <f t="shared" si="22"/>
        <v>3.4311806914546641</v>
      </c>
    </row>
    <row r="374" spans="1:12" x14ac:dyDescent="0.25">
      <c r="A374" s="1">
        <v>4540021</v>
      </c>
      <c r="B374" t="s">
        <v>395</v>
      </c>
      <c r="C374" t="s">
        <v>396</v>
      </c>
      <c r="D374" s="2">
        <v>23</v>
      </c>
      <c r="E374" s="2">
        <v>18</v>
      </c>
      <c r="F374" s="2">
        <v>16</v>
      </c>
      <c r="G374" s="2">
        <v>15</v>
      </c>
      <c r="H374" s="3">
        <f t="shared" si="23"/>
        <v>72</v>
      </c>
      <c r="I374" s="2">
        <v>76650</v>
      </c>
      <c r="J374" s="23">
        <v>1</v>
      </c>
      <c r="K374">
        <v>76650</v>
      </c>
      <c r="L374" s="23">
        <v>1</v>
      </c>
    </row>
    <row r="375" spans="1:12" x14ac:dyDescent="0.25">
      <c r="H375" s="3">
        <f t="shared" si="23"/>
        <v>0</v>
      </c>
    </row>
    <row r="376" spans="1:12" x14ac:dyDescent="0.25">
      <c r="A376" s="15">
        <v>4540026</v>
      </c>
      <c r="B376" s="13" t="s">
        <v>397</v>
      </c>
      <c r="C376" s="13" t="s">
        <v>398</v>
      </c>
      <c r="D376" s="16">
        <v>218</v>
      </c>
      <c r="E376" s="16">
        <v>264</v>
      </c>
      <c r="F376" s="16">
        <v>240</v>
      </c>
      <c r="G376" s="16">
        <v>223</v>
      </c>
      <c r="H376" s="18">
        <f t="shared" si="23"/>
        <v>945</v>
      </c>
      <c r="I376" s="13"/>
      <c r="K376" s="13"/>
    </row>
    <row r="377" spans="1:12" x14ac:dyDescent="0.25">
      <c r="A377" s="15">
        <v>4540026</v>
      </c>
      <c r="B377" s="13" t="s">
        <v>397</v>
      </c>
      <c r="C377" s="13" t="s">
        <v>399</v>
      </c>
      <c r="D377" s="16">
        <v>26</v>
      </c>
      <c r="E377" s="16">
        <v>78</v>
      </c>
      <c r="F377" s="16">
        <v>72</v>
      </c>
      <c r="G377" s="16">
        <v>34</v>
      </c>
      <c r="H377" s="18">
        <f t="shared" si="23"/>
        <v>210</v>
      </c>
      <c r="I377" s="13"/>
      <c r="K377" s="13"/>
    </row>
    <row r="378" spans="1:12" x14ac:dyDescent="0.25">
      <c r="A378" s="15">
        <v>4540026</v>
      </c>
      <c r="B378" s="13"/>
      <c r="C378" s="13">
        <v>24</v>
      </c>
      <c r="D378" s="13"/>
      <c r="E378" s="13"/>
      <c r="F378" s="13"/>
      <c r="G378" s="13"/>
      <c r="H378" s="18">
        <f t="shared" si="23"/>
        <v>0</v>
      </c>
      <c r="I378" s="22">
        <v>1500</v>
      </c>
      <c r="J378" s="23">
        <f t="shared" si="25"/>
        <v>19.569471624266146</v>
      </c>
      <c r="K378" s="13">
        <v>1432</v>
      </c>
      <c r="L378" s="23">
        <f t="shared" si="22"/>
        <v>18.68232224396608</v>
      </c>
    </row>
    <row r="379" spans="1:12" x14ac:dyDescent="0.25">
      <c r="H379" s="19">
        <f t="shared" si="23"/>
        <v>0</v>
      </c>
    </row>
    <row r="380" spans="1:12" x14ac:dyDescent="0.25">
      <c r="A380" s="1">
        <v>4540029</v>
      </c>
      <c r="B380" t="s">
        <v>400</v>
      </c>
      <c r="C380" t="s">
        <v>401</v>
      </c>
      <c r="D380" s="2">
        <v>0</v>
      </c>
      <c r="E380" s="2">
        <v>0</v>
      </c>
      <c r="F380" s="2">
        <v>0</v>
      </c>
      <c r="G380" s="2">
        <v>0</v>
      </c>
      <c r="H380" s="19">
        <f t="shared" si="23"/>
        <v>0</v>
      </c>
    </row>
    <row r="381" spans="1:12" x14ac:dyDescent="0.25">
      <c r="A381" s="1">
        <v>4540029</v>
      </c>
      <c r="B381" s="9" t="s">
        <v>406</v>
      </c>
      <c r="C381" t="s">
        <v>402</v>
      </c>
      <c r="D381" s="2">
        <v>28</v>
      </c>
      <c r="E381" s="2">
        <v>29</v>
      </c>
      <c r="F381" s="2">
        <v>109</v>
      </c>
      <c r="G381" s="2">
        <v>74</v>
      </c>
      <c r="H381" s="19">
        <f t="shared" si="23"/>
        <v>240</v>
      </c>
      <c r="I381" s="2">
        <v>240</v>
      </c>
      <c r="J381" s="23">
        <f>SUM(I381*1000)/76650</f>
        <v>3.131115459882583</v>
      </c>
      <c r="K381">
        <v>174</v>
      </c>
      <c r="L381" s="23">
        <f t="shared" si="22"/>
        <v>2.2700587084148727</v>
      </c>
    </row>
    <row r="382" spans="1:12" x14ac:dyDescent="0.25">
      <c r="A382" s="1">
        <v>4540029</v>
      </c>
      <c r="B382" t="s">
        <v>400</v>
      </c>
      <c r="C382" t="s">
        <v>403</v>
      </c>
      <c r="D382" s="2">
        <v>0</v>
      </c>
      <c r="E382" s="2">
        <v>0</v>
      </c>
      <c r="F382" s="2">
        <v>0</v>
      </c>
      <c r="G382" s="2">
        <v>0</v>
      </c>
      <c r="H382" s="19">
        <f t="shared" si="23"/>
        <v>0</v>
      </c>
    </row>
    <row r="383" spans="1:12" x14ac:dyDescent="0.25">
      <c r="A383" s="1">
        <v>4540029</v>
      </c>
      <c r="B383" t="s">
        <v>400</v>
      </c>
      <c r="C383" t="s">
        <v>404</v>
      </c>
      <c r="D383" s="2">
        <v>0</v>
      </c>
      <c r="E383" s="2">
        <v>0</v>
      </c>
      <c r="F383" s="2">
        <v>0</v>
      </c>
      <c r="G383" s="2">
        <v>0</v>
      </c>
      <c r="H383" s="19">
        <f t="shared" si="23"/>
        <v>0</v>
      </c>
    </row>
    <row r="384" spans="1:12" x14ac:dyDescent="0.25">
      <c r="A384" s="1"/>
      <c r="D384" s="2"/>
      <c r="E384" s="2"/>
      <c r="F384" s="2"/>
      <c r="G384" s="2"/>
      <c r="H384" s="19"/>
    </row>
    <row r="385" spans="1:12" x14ac:dyDescent="0.25">
      <c r="A385" s="1">
        <v>4540037</v>
      </c>
      <c r="B385" t="s">
        <v>400</v>
      </c>
      <c r="C385" t="s">
        <v>405</v>
      </c>
      <c r="D385" s="2">
        <v>25</v>
      </c>
      <c r="E385" s="2">
        <v>24</v>
      </c>
      <c r="F385" s="2">
        <v>24</v>
      </c>
      <c r="G385" s="2">
        <v>21</v>
      </c>
      <c r="H385" s="19">
        <f t="shared" si="23"/>
        <v>94</v>
      </c>
      <c r="I385" s="2">
        <v>94</v>
      </c>
      <c r="J385" s="23">
        <f t="shared" ref="J385" si="26">SUM(I385*1000)/76650</f>
        <v>1.2263535551206783</v>
      </c>
      <c r="K385" s="2">
        <v>78</v>
      </c>
      <c r="L385" s="23">
        <f t="shared" si="22"/>
        <v>1.0176125244618395</v>
      </c>
    </row>
    <row r="386" spans="1:12" x14ac:dyDescent="0.25">
      <c r="H386" s="19">
        <f t="shared" si="23"/>
        <v>0</v>
      </c>
    </row>
    <row r="387" spans="1:12" x14ac:dyDescent="0.25">
      <c r="A387" s="1">
        <v>4540043</v>
      </c>
      <c r="B387" t="s">
        <v>407</v>
      </c>
      <c r="C387" t="s">
        <v>408</v>
      </c>
      <c r="D387" s="2">
        <v>19</v>
      </c>
      <c r="E387" s="2">
        <v>80</v>
      </c>
      <c r="F387" s="2">
        <v>8</v>
      </c>
      <c r="G387" s="2">
        <v>0</v>
      </c>
      <c r="H387" s="19">
        <f t="shared" si="23"/>
        <v>107</v>
      </c>
      <c r="J387" s="23" t="s">
        <v>47</v>
      </c>
    </row>
    <row r="388" spans="1:12" x14ac:dyDescent="0.25">
      <c r="A388" s="1">
        <v>4540043</v>
      </c>
      <c r="B388" t="s">
        <v>407</v>
      </c>
      <c r="C388" t="s">
        <v>409</v>
      </c>
      <c r="D388" s="2">
        <v>28</v>
      </c>
      <c r="E388" s="2">
        <v>93</v>
      </c>
      <c r="F388" s="2">
        <v>27</v>
      </c>
      <c r="G388" s="2">
        <v>29</v>
      </c>
      <c r="H388" s="19">
        <f t="shared" si="23"/>
        <v>177</v>
      </c>
      <c r="I388" s="2">
        <v>177</v>
      </c>
      <c r="J388" s="23">
        <f>SUM(I388*1000)/76650</f>
        <v>2.3091976516634052</v>
      </c>
      <c r="K388">
        <v>183</v>
      </c>
      <c r="L388" s="23">
        <f t="shared" si="22"/>
        <v>2.3874755381604698</v>
      </c>
    </row>
    <row r="389" spans="1:12" x14ac:dyDescent="0.25">
      <c r="H389" s="19">
        <f t="shared" si="23"/>
        <v>0</v>
      </c>
    </row>
    <row r="390" spans="1:12" x14ac:dyDescent="0.25">
      <c r="A390" s="1">
        <v>4540045</v>
      </c>
      <c r="B390" t="s">
        <v>410</v>
      </c>
      <c r="C390" t="s">
        <v>411</v>
      </c>
      <c r="D390" s="2">
        <v>33</v>
      </c>
      <c r="E390" s="2">
        <v>30</v>
      </c>
      <c r="F390" s="2">
        <v>36</v>
      </c>
      <c r="G390" s="2">
        <v>35</v>
      </c>
      <c r="H390" s="19">
        <f t="shared" si="23"/>
        <v>134</v>
      </c>
      <c r="I390" s="2">
        <v>134</v>
      </c>
      <c r="K390">
        <v>142</v>
      </c>
      <c r="L390" s="23">
        <f t="shared" ref="L390:L453" si="27">SUM(K390*1000)/76650</f>
        <v>1.8525766470971949</v>
      </c>
    </row>
    <row r="391" spans="1:12" x14ac:dyDescent="0.25">
      <c r="A391" s="1">
        <v>4540047</v>
      </c>
      <c r="B391" t="s">
        <v>412</v>
      </c>
      <c r="C391" t="s">
        <v>413</v>
      </c>
      <c r="D391" s="2">
        <v>6</v>
      </c>
      <c r="E391" s="2">
        <v>10</v>
      </c>
      <c r="F391" s="2">
        <v>6</v>
      </c>
      <c r="G391" s="2">
        <v>6</v>
      </c>
      <c r="H391" s="19">
        <f t="shared" si="23"/>
        <v>28</v>
      </c>
      <c r="I391" s="2">
        <v>76650</v>
      </c>
      <c r="J391" s="23">
        <v>1</v>
      </c>
      <c r="K391">
        <v>76650</v>
      </c>
      <c r="L391" s="23">
        <v>1</v>
      </c>
    </row>
    <row r="392" spans="1:12" x14ac:dyDescent="0.25">
      <c r="A392" s="1">
        <v>4540049</v>
      </c>
      <c r="B392" t="s">
        <v>407</v>
      </c>
      <c r="C392" t="s">
        <v>414</v>
      </c>
      <c r="D392" s="2">
        <v>76</v>
      </c>
      <c r="E392" s="2">
        <v>86</v>
      </c>
      <c r="F392" s="2">
        <v>61</v>
      </c>
      <c r="G392" s="2">
        <v>44</v>
      </c>
      <c r="H392" s="19">
        <f t="shared" si="23"/>
        <v>267</v>
      </c>
      <c r="I392" s="2">
        <v>267</v>
      </c>
      <c r="J392" s="23">
        <f>SUM(I392*1000)/76650</f>
        <v>3.4833659491193738</v>
      </c>
      <c r="K392">
        <v>76650</v>
      </c>
      <c r="L392" s="23">
        <v>1</v>
      </c>
    </row>
    <row r="393" spans="1:12" x14ac:dyDescent="0.25">
      <c r="H393" s="19">
        <f t="shared" si="23"/>
        <v>0</v>
      </c>
    </row>
    <row r="394" spans="1:12" x14ac:dyDescent="0.25">
      <c r="A394" s="1">
        <v>4540060</v>
      </c>
      <c r="B394" t="s">
        <v>415</v>
      </c>
      <c r="C394" t="s">
        <v>416</v>
      </c>
      <c r="D394" s="2">
        <v>19</v>
      </c>
      <c r="E394" s="2">
        <v>222</v>
      </c>
      <c r="F394" s="2">
        <v>73</v>
      </c>
      <c r="G394" s="2">
        <v>0</v>
      </c>
      <c r="H394" s="19">
        <f t="shared" ref="H394:H457" si="28">SUM(D394:G394)</f>
        <v>314</v>
      </c>
      <c r="J394" s="23" t="s">
        <v>47</v>
      </c>
    </row>
    <row r="395" spans="1:12" x14ac:dyDescent="0.25">
      <c r="A395" s="1">
        <v>4540060</v>
      </c>
      <c r="B395" t="s">
        <v>417</v>
      </c>
      <c r="C395" t="s">
        <v>418</v>
      </c>
      <c r="D395" s="2">
        <v>0</v>
      </c>
      <c r="E395" s="2">
        <v>42</v>
      </c>
      <c r="F395" s="2">
        <v>5</v>
      </c>
      <c r="G395" s="2">
        <v>0</v>
      </c>
      <c r="H395" s="19">
        <f t="shared" si="28"/>
        <v>47</v>
      </c>
    </row>
    <row r="396" spans="1:12" x14ac:dyDescent="0.25">
      <c r="A396" s="1">
        <v>4540060</v>
      </c>
      <c r="B396" t="s">
        <v>419</v>
      </c>
      <c r="C396" t="s">
        <v>420</v>
      </c>
      <c r="D396" s="2">
        <v>14</v>
      </c>
      <c r="E396" s="2">
        <v>16</v>
      </c>
      <c r="F396" s="2">
        <v>15</v>
      </c>
      <c r="G396" s="2">
        <v>17</v>
      </c>
      <c r="H396" s="19">
        <f t="shared" si="28"/>
        <v>62</v>
      </c>
    </row>
    <row r="397" spans="1:12" x14ac:dyDescent="0.25">
      <c r="A397" s="1">
        <v>4540060</v>
      </c>
      <c r="B397" t="s">
        <v>419</v>
      </c>
      <c r="C397" t="s">
        <v>421</v>
      </c>
      <c r="D397" s="2">
        <v>7</v>
      </c>
      <c r="E397" s="2">
        <v>7</v>
      </c>
      <c r="F397" s="2">
        <v>7</v>
      </c>
      <c r="G397" s="2">
        <v>7</v>
      </c>
      <c r="H397" s="19">
        <f t="shared" si="28"/>
        <v>28</v>
      </c>
    </row>
    <row r="398" spans="1:12" x14ac:dyDescent="0.25">
      <c r="A398" s="1">
        <v>4540060</v>
      </c>
      <c r="B398" t="s">
        <v>419</v>
      </c>
      <c r="C398" t="s">
        <v>422</v>
      </c>
      <c r="D398" s="2">
        <v>20</v>
      </c>
      <c r="E398" s="2">
        <v>21</v>
      </c>
      <c r="F398" s="2">
        <v>21</v>
      </c>
      <c r="G398" s="2">
        <v>35</v>
      </c>
      <c r="H398" s="19">
        <f t="shared" si="28"/>
        <v>97</v>
      </c>
    </row>
    <row r="399" spans="1:12" x14ac:dyDescent="0.25">
      <c r="A399" s="1">
        <v>4540060</v>
      </c>
      <c r="B399" t="s">
        <v>417</v>
      </c>
      <c r="C399" t="s">
        <v>423</v>
      </c>
      <c r="D399" s="2">
        <v>9</v>
      </c>
      <c r="E399" s="2">
        <v>52</v>
      </c>
      <c r="F399" s="2">
        <v>15</v>
      </c>
      <c r="G399" s="2">
        <v>7</v>
      </c>
      <c r="H399" s="19">
        <f t="shared" si="28"/>
        <v>83</v>
      </c>
    </row>
    <row r="400" spans="1:12" x14ac:dyDescent="0.25">
      <c r="A400" s="1">
        <v>4540060</v>
      </c>
      <c r="B400" t="s">
        <v>424</v>
      </c>
      <c r="C400" t="s">
        <v>425</v>
      </c>
      <c r="D400" s="2">
        <v>3</v>
      </c>
      <c r="E400" s="2">
        <v>3</v>
      </c>
      <c r="F400" s="2">
        <v>2</v>
      </c>
      <c r="G400" s="2">
        <v>4</v>
      </c>
      <c r="H400" s="19">
        <f t="shared" si="28"/>
        <v>12</v>
      </c>
      <c r="I400" s="3">
        <f>SUM(H395:H400)</f>
        <v>329</v>
      </c>
      <c r="J400" s="23">
        <f>SUM(I400*1000)/76650</f>
        <v>4.2922374429223744</v>
      </c>
      <c r="K400">
        <v>151</v>
      </c>
      <c r="L400" s="23">
        <f>SUM(K400*1000)/76650</f>
        <v>1.9699934768427918</v>
      </c>
    </row>
    <row r="401" spans="1:12" x14ac:dyDescent="0.25">
      <c r="H401" s="19">
        <f t="shared" si="28"/>
        <v>0</v>
      </c>
    </row>
    <row r="402" spans="1:12" x14ac:dyDescent="0.25">
      <c r="A402" s="1">
        <v>4540112</v>
      </c>
      <c r="B402" t="s">
        <v>426</v>
      </c>
      <c r="C402" t="s">
        <v>427</v>
      </c>
      <c r="D402" s="2">
        <v>20</v>
      </c>
      <c r="E402" s="2">
        <v>15</v>
      </c>
      <c r="F402" s="2">
        <v>26</v>
      </c>
      <c r="G402" s="2">
        <v>81</v>
      </c>
      <c r="H402" s="19">
        <f t="shared" si="28"/>
        <v>142</v>
      </c>
      <c r="I402" s="2">
        <v>142</v>
      </c>
      <c r="J402" s="23">
        <f>SUM(I402*1000)/76650</f>
        <v>1.8525766470971949</v>
      </c>
      <c r="K402">
        <v>76650</v>
      </c>
      <c r="L402" s="23">
        <v>1</v>
      </c>
    </row>
    <row r="403" spans="1:12" x14ac:dyDescent="0.25">
      <c r="A403" s="1">
        <v>4540166</v>
      </c>
      <c r="B403" t="s">
        <v>428</v>
      </c>
      <c r="C403" t="s">
        <v>429</v>
      </c>
      <c r="D403" s="2">
        <v>2</v>
      </c>
      <c r="E403" s="2">
        <v>3</v>
      </c>
      <c r="F403" s="2">
        <v>3</v>
      </c>
      <c r="G403" s="2">
        <v>3</v>
      </c>
      <c r="H403" s="19">
        <f t="shared" si="28"/>
        <v>11</v>
      </c>
      <c r="I403" s="2">
        <v>76650</v>
      </c>
      <c r="J403" s="23">
        <v>1</v>
      </c>
      <c r="K403">
        <v>76650</v>
      </c>
      <c r="L403" s="23">
        <v>1</v>
      </c>
    </row>
    <row r="404" spans="1:12" x14ac:dyDescent="0.25">
      <c r="H404" s="19">
        <f t="shared" si="28"/>
        <v>0</v>
      </c>
    </row>
    <row r="405" spans="1:12" x14ac:dyDescent="0.25">
      <c r="A405" s="1">
        <v>4540172</v>
      </c>
      <c r="B405" t="s">
        <v>430</v>
      </c>
      <c r="C405" t="s">
        <v>431</v>
      </c>
      <c r="D405" s="2">
        <v>23</v>
      </c>
      <c r="E405" s="2">
        <v>134</v>
      </c>
      <c r="F405" s="2">
        <v>79</v>
      </c>
      <c r="G405" s="2">
        <v>10</v>
      </c>
      <c r="H405" s="19">
        <f t="shared" si="28"/>
        <v>246</v>
      </c>
    </row>
    <row r="406" spans="1:12" x14ac:dyDescent="0.25">
      <c r="A406" s="1">
        <v>4540172</v>
      </c>
      <c r="B406" t="s">
        <v>430</v>
      </c>
      <c r="C406" t="s">
        <v>432</v>
      </c>
      <c r="D406" s="2">
        <v>11</v>
      </c>
      <c r="E406" s="2">
        <v>124</v>
      </c>
      <c r="F406" s="2">
        <v>69</v>
      </c>
      <c r="G406" s="2">
        <v>0</v>
      </c>
      <c r="H406" s="19">
        <f t="shared" si="28"/>
        <v>204</v>
      </c>
      <c r="I406" s="3">
        <v>76650</v>
      </c>
      <c r="J406" s="23">
        <v>1</v>
      </c>
      <c r="K406">
        <v>76650</v>
      </c>
      <c r="L406" s="23">
        <v>1</v>
      </c>
    </row>
    <row r="407" spans="1:12" x14ac:dyDescent="0.25">
      <c r="H407" s="19">
        <f t="shared" si="28"/>
        <v>0</v>
      </c>
    </row>
    <row r="408" spans="1:12" x14ac:dyDescent="0.25">
      <c r="A408" s="1">
        <v>4540177</v>
      </c>
      <c r="B408" t="s">
        <v>433</v>
      </c>
      <c r="C408" t="s">
        <v>434</v>
      </c>
      <c r="D408" s="2">
        <v>3</v>
      </c>
      <c r="E408" s="2">
        <v>3</v>
      </c>
      <c r="F408" s="2">
        <v>3</v>
      </c>
      <c r="G408" s="2">
        <v>4</v>
      </c>
      <c r="H408" s="19">
        <f t="shared" si="28"/>
        <v>13</v>
      </c>
      <c r="I408" s="2">
        <v>76650</v>
      </c>
      <c r="J408" s="23">
        <v>1</v>
      </c>
      <c r="K408">
        <v>76650</v>
      </c>
      <c r="L408" s="23">
        <v>1</v>
      </c>
    </row>
    <row r="409" spans="1:12" x14ac:dyDescent="0.25">
      <c r="A409" s="1"/>
      <c r="D409" s="2"/>
      <c r="E409" s="2"/>
      <c r="F409" s="2"/>
      <c r="G409" s="2"/>
      <c r="H409" s="19"/>
    </row>
    <row r="410" spans="1:12" x14ac:dyDescent="0.25">
      <c r="A410" s="1">
        <v>4540192</v>
      </c>
      <c r="B410" t="s">
        <v>435</v>
      </c>
      <c r="C410" t="s">
        <v>436</v>
      </c>
      <c r="D410" s="2">
        <v>37</v>
      </c>
      <c r="E410" s="2">
        <v>21</v>
      </c>
      <c r="F410" s="2">
        <v>24</v>
      </c>
      <c r="G410" s="2">
        <v>22</v>
      </c>
      <c r="H410" s="19">
        <f t="shared" si="28"/>
        <v>104</v>
      </c>
    </row>
    <row r="411" spans="1:12" x14ac:dyDescent="0.25">
      <c r="A411" s="1">
        <v>4540192</v>
      </c>
      <c r="B411" t="s">
        <v>437</v>
      </c>
      <c r="C411" t="s">
        <v>436</v>
      </c>
      <c r="D411" s="2">
        <v>360</v>
      </c>
      <c r="E411" s="2">
        <v>368</v>
      </c>
      <c r="F411" s="2">
        <v>367</v>
      </c>
      <c r="G411" s="2">
        <v>314</v>
      </c>
      <c r="H411" s="19">
        <f t="shared" si="28"/>
        <v>1409</v>
      </c>
      <c r="I411" s="3">
        <f>SUM(H410:H411)</f>
        <v>1513</v>
      </c>
      <c r="J411" s="23">
        <f>SUM(I411*1000)/76650</f>
        <v>19.739073711676451</v>
      </c>
      <c r="K411">
        <v>1404</v>
      </c>
      <c r="L411" s="23">
        <f t="shared" si="27"/>
        <v>18.317025440313113</v>
      </c>
    </row>
    <row r="412" spans="1:12" x14ac:dyDescent="0.25">
      <c r="A412" s="1"/>
      <c r="D412" s="2"/>
      <c r="E412" s="2"/>
      <c r="F412" s="2"/>
      <c r="G412" s="2"/>
      <c r="H412" s="19"/>
    </row>
    <row r="413" spans="1:12" x14ac:dyDescent="0.25">
      <c r="A413" s="1">
        <v>4540195</v>
      </c>
      <c r="B413" t="s">
        <v>438</v>
      </c>
      <c r="C413" t="s">
        <v>439</v>
      </c>
      <c r="D413" s="2">
        <v>118</v>
      </c>
      <c r="E413" s="2">
        <v>95</v>
      </c>
      <c r="F413" s="2">
        <v>81</v>
      </c>
      <c r="G413" s="2">
        <v>92</v>
      </c>
      <c r="H413" s="19">
        <f t="shared" si="28"/>
        <v>386</v>
      </c>
      <c r="I413" s="2">
        <v>386</v>
      </c>
      <c r="J413" s="23">
        <f>SUM(I413*1000)/76650</f>
        <v>5.0358773646444881</v>
      </c>
      <c r="K413">
        <v>307</v>
      </c>
      <c r="L413" s="23">
        <f t="shared" si="27"/>
        <v>4.0052185257664714</v>
      </c>
    </row>
    <row r="414" spans="1:12" x14ac:dyDescent="0.25">
      <c r="H414" s="19">
        <f t="shared" si="28"/>
        <v>0</v>
      </c>
    </row>
    <row r="415" spans="1:12" x14ac:dyDescent="0.25">
      <c r="A415" s="1">
        <v>4540200</v>
      </c>
      <c r="B415" t="s">
        <v>440</v>
      </c>
      <c r="C415" t="s">
        <v>441</v>
      </c>
      <c r="D415" s="2">
        <v>28</v>
      </c>
      <c r="E415" s="2">
        <v>109</v>
      </c>
      <c r="F415" s="2">
        <v>50</v>
      </c>
      <c r="G415" s="2">
        <v>3</v>
      </c>
      <c r="H415" s="19">
        <f t="shared" si="28"/>
        <v>190</v>
      </c>
    </row>
    <row r="416" spans="1:12" x14ac:dyDescent="0.25">
      <c r="A416" s="1">
        <v>4540200</v>
      </c>
      <c r="B416" t="s">
        <v>442</v>
      </c>
      <c r="C416" t="s">
        <v>443</v>
      </c>
      <c r="D416" s="2">
        <v>37</v>
      </c>
      <c r="E416" s="2">
        <v>38</v>
      </c>
      <c r="F416" s="2">
        <v>33</v>
      </c>
      <c r="G416" s="2">
        <v>27</v>
      </c>
      <c r="H416" s="19">
        <f t="shared" si="28"/>
        <v>135</v>
      </c>
      <c r="I416" s="3">
        <f>SUM(H415:H416)</f>
        <v>325</v>
      </c>
      <c r="J416" s="23">
        <f>SUM(I416*1000)/76650</f>
        <v>4.2400521852576647</v>
      </c>
      <c r="K416">
        <v>295</v>
      </c>
      <c r="L416" s="23">
        <f t="shared" si="27"/>
        <v>3.8486627527723418</v>
      </c>
    </row>
    <row r="417" spans="1:12" x14ac:dyDescent="0.25">
      <c r="H417" s="19">
        <f t="shared" si="28"/>
        <v>0</v>
      </c>
    </row>
    <row r="418" spans="1:12" x14ac:dyDescent="0.25">
      <c r="A418" s="1">
        <v>4540209</v>
      </c>
      <c r="B418" t="s">
        <v>444</v>
      </c>
      <c r="C418" t="s">
        <v>445</v>
      </c>
      <c r="D418" s="2">
        <v>23</v>
      </c>
      <c r="E418" s="2">
        <v>32</v>
      </c>
      <c r="F418" s="2">
        <v>28</v>
      </c>
      <c r="G418" s="2">
        <v>23</v>
      </c>
      <c r="H418" s="19">
        <f t="shared" si="28"/>
        <v>106</v>
      </c>
      <c r="I418" s="2">
        <v>106</v>
      </c>
      <c r="J418" s="23">
        <f>SUM(I418*1000)/76650</f>
        <v>1.3829093281148075</v>
      </c>
      <c r="K418">
        <v>81</v>
      </c>
      <c r="L418" s="23">
        <f t="shared" si="27"/>
        <v>1.0567514677103718</v>
      </c>
    </row>
    <row r="419" spans="1:12" x14ac:dyDescent="0.25">
      <c r="H419" s="19">
        <f t="shared" si="28"/>
        <v>0</v>
      </c>
    </row>
    <row r="420" spans="1:12" x14ac:dyDescent="0.25">
      <c r="A420" s="15">
        <v>4540210</v>
      </c>
      <c r="B420" s="13" t="s">
        <v>446</v>
      </c>
      <c r="C420" s="13" t="s">
        <v>447</v>
      </c>
      <c r="D420" s="16">
        <v>65</v>
      </c>
      <c r="E420" s="16">
        <v>46</v>
      </c>
      <c r="F420" s="16">
        <v>43</v>
      </c>
      <c r="G420" s="16">
        <v>60</v>
      </c>
      <c r="H420" s="18">
        <f t="shared" si="28"/>
        <v>214</v>
      </c>
      <c r="I420" s="13"/>
      <c r="J420" s="24"/>
      <c r="K420" s="13"/>
    </row>
    <row r="421" spans="1:12" x14ac:dyDescent="0.25">
      <c r="A421" s="15">
        <v>4540210</v>
      </c>
      <c r="B421" s="13" t="s">
        <v>448</v>
      </c>
      <c r="C421" s="13" t="s">
        <v>447</v>
      </c>
      <c r="D421" s="16">
        <v>51</v>
      </c>
      <c r="E421" s="16">
        <v>51</v>
      </c>
      <c r="F421" s="16">
        <v>51</v>
      </c>
      <c r="G421" s="16">
        <v>41</v>
      </c>
      <c r="H421" s="18">
        <f t="shared" si="28"/>
        <v>194</v>
      </c>
      <c r="I421" s="13"/>
      <c r="J421" s="24"/>
      <c r="K421" s="13"/>
    </row>
    <row r="422" spans="1:12" x14ac:dyDescent="0.25">
      <c r="A422" s="15">
        <v>4540210</v>
      </c>
      <c r="B422" s="13"/>
      <c r="C422" s="13"/>
      <c r="D422" s="16"/>
      <c r="E422" s="16"/>
      <c r="F422" s="16"/>
      <c r="G422" s="16"/>
      <c r="H422" s="18">
        <f t="shared" si="28"/>
        <v>0</v>
      </c>
      <c r="I422" s="22">
        <v>560</v>
      </c>
      <c r="J422" s="24">
        <f>SUM(I422*1000)/76650</f>
        <v>7.3059360730593603</v>
      </c>
      <c r="K422" s="13">
        <v>582</v>
      </c>
      <c r="L422" s="23">
        <f t="shared" si="27"/>
        <v>7.5929549902152642</v>
      </c>
    </row>
    <row r="423" spans="1:12" x14ac:dyDescent="0.25">
      <c r="A423" s="1"/>
      <c r="D423" s="2"/>
      <c r="E423" s="2"/>
      <c r="F423" s="2"/>
      <c r="G423" s="2"/>
      <c r="H423" s="19"/>
    </row>
    <row r="424" spans="1:12" x14ac:dyDescent="0.25">
      <c r="A424" s="1">
        <v>4540213</v>
      </c>
      <c r="B424" t="s">
        <v>449</v>
      </c>
      <c r="C424" t="s">
        <v>450</v>
      </c>
      <c r="D424" s="2">
        <v>2</v>
      </c>
      <c r="E424" s="2">
        <v>3</v>
      </c>
      <c r="F424" s="2">
        <v>2</v>
      </c>
      <c r="G424" s="2">
        <v>3</v>
      </c>
      <c r="H424" s="19">
        <f t="shared" si="28"/>
        <v>10</v>
      </c>
      <c r="I424" s="2">
        <v>76650</v>
      </c>
      <c r="J424" s="23">
        <v>1</v>
      </c>
      <c r="K424">
        <v>76650</v>
      </c>
      <c r="L424" s="23">
        <v>1</v>
      </c>
    </row>
    <row r="425" spans="1:12" x14ac:dyDescent="0.25">
      <c r="A425" s="1"/>
      <c r="D425" s="2"/>
      <c r="E425" s="2"/>
      <c r="F425" s="2"/>
      <c r="G425" s="2"/>
      <c r="H425" s="19">
        <f t="shared" si="28"/>
        <v>0</v>
      </c>
    </row>
    <row r="426" spans="1:12" x14ac:dyDescent="0.25">
      <c r="A426" s="1">
        <v>4540214</v>
      </c>
      <c r="B426" t="s">
        <v>451</v>
      </c>
      <c r="C426" t="s">
        <v>452</v>
      </c>
      <c r="D426" s="2">
        <v>3</v>
      </c>
      <c r="E426" s="2">
        <v>5</v>
      </c>
      <c r="F426" s="2">
        <v>3</v>
      </c>
      <c r="G426" s="2">
        <v>4</v>
      </c>
      <c r="H426" s="19">
        <f t="shared" si="28"/>
        <v>15</v>
      </c>
      <c r="I426" s="2">
        <v>76650</v>
      </c>
      <c r="J426" s="23">
        <v>1</v>
      </c>
      <c r="K426">
        <v>76650</v>
      </c>
      <c r="L426" s="23">
        <v>1</v>
      </c>
    </row>
    <row r="427" spans="1:12" x14ac:dyDescent="0.25">
      <c r="A427" s="1"/>
      <c r="D427" s="2"/>
      <c r="E427" s="2"/>
      <c r="F427" s="2"/>
      <c r="G427" s="2"/>
      <c r="H427" s="19"/>
    </row>
    <row r="428" spans="1:12" x14ac:dyDescent="0.25">
      <c r="A428" s="1">
        <v>4540220</v>
      </c>
      <c r="B428" t="s">
        <v>453</v>
      </c>
      <c r="C428" t="s">
        <v>454</v>
      </c>
      <c r="D428" s="2">
        <v>47</v>
      </c>
      <c r="E428" s="2">
        <v>73</v>
      </c>
      <c r="F428" s="2">
        <v>29</v>
      </c>
      <c r="G428" s="2">
        <v>25</v>
      </c>
      <c r="H428" s="19">
        <f t="shared" si="28"/>
        <v>174</v>
      </c>
      <c r="I428" s="2">
        <v>174</v>
      </c>
      <c r="J428" s="23">
        <f>SUM(I428*1000)/76650</f>
        <v>2.2700587084148727</v>
      </c>
      <c r="K428">
        <v>101</v>
      </c>
      <c r="L428" s="23">
        <f t="shared" si="27"/>
        <v>1.3176777560339203</v>
      </c>
    </row>
    <row r="429" spans="1:12" x14ac:dyDescent="0.25">
      <c r="A429" s="1">
        <v>4540224</v>
      </c>
      <c r="B429" t="s">
        <v>455</v>
      </c>
      <c r="C429" t="s">
        <v>456</v>
      </c>
      <c r="D429" s="2">
        <v>6</v>
      </c>
      <c r="E429" s="2">
        <v>8</v>
      </c>
      <c r="F429" s="2">
        <v>10</v>
      </c>
      <c r="G429" s="2">
        <v>7</v>
      </c>
      <c r="H429" s="19">
        <f t="shared" si="28"/>
        <v>31</v>
      </c>
      <c r="I429" s="2">
        <v>76650</v>
      </c>
      <c r="J429" s="23">
        <v>1</v>
      </c>
      <c r="K429">
        <v>76650</v>
      </c>
      <c r="L429" s="23">
        <v>1</v>
      </c>
    </row>
    <row r="430" spans="1:12" x14ac:dyDescent="0.25">
      <c r="A430" s="1">
        <v>4540232</v>
      </c>
      <c r="B430" t="s">
        <v>457</v>
      </c>
      <c r="C430" t="s">
        <v>458</v>
      </c>
      <c r="D430" s="2">
        <v>2</v>
      </c>
      <c r="E430" s="2">
        <v>2</v>
      </c>
      <c r="F430" s="2">
        <v>1</v>
      </c>
      <c r="G430" s="2">
        <v>2</v>
      </c>
      <c r="H430" s="19">
        <f t="shared" si="28"/>
        <v>7</v>
      </c>
      <c r="I430" s="2">
        <v>76650</v>
      </c>
      <c r="J430" s="23">
        <v>1</v>
      </c>
      <c r="K430">
        <v>76650</v>
      </c>
      <c r="L430" s="23">
        <v>1</v>
      </c>
    </row>
    <row r="431" spans="1:12" x14ac:dyDescent="0.25">
      <c r="A431" s="1">
        <v>4540240</v>
      </c>
      <c r="B431" t="s">
        <v>459</v>
      </c>
      <c r="C431" t="s">
        <v>460</v>
      </c>
      <c r="D431" s="2">
        <v>3</v>
      </c>
      <c r="E431" s="2">
        <v>6</v>
      </c>
      <c r="F431" s="2">
        <v>4</v>
      </c>
      <c r="G431" s="2">
        <v>4</v>
      </c>
      <c r="H431" s="19">
        <f t="shared" si="28"/>
        <v>17</v>
      </c>
      <c r="I431" s="2">
        <v>76650</v>
      </c>
      <c r="J431" s="23">
        <v>1</v>
      </c>
      <c r="K431">
        <v>76650</v>
      </c>
      <c r="L431" s="23">
        <v>1</v>
      </c>
    </row>
    <row r="432" spans="1:12" x14ac:dyDescent="0.25">
      <c r="A432" s="1">
        <v>4540248</v>
      </c>
      <c r="B432" t="s">
        <v>461</v>
      </c>
      <c r="C432" t="s">
        <v>462</v>
      </c>
      <c r="D432" s="2">
        <v>7</v>
      </c>
      <c r="E432" s="2">
        <v>10</v>
      </c>
      <c r="F432" s="2">
        <v>6</v>
      </c>
      <c r="G432" s="2">
        <v>7</v>
      </c>
      <c r="H432" s="19">
        <f t="shared" si="28"/>
        <v>30</v>
      </c>
      <c r="I432" s="2">
        <v>76650</v>
      </c>
      <c r="J432" s="23">
        <v>1</v>
      </c>
      <c r="K432">
        <v>76650</v>
      </c>
      <c r="L432" s="23">
        <v>1</v>
      </c>
    </row>
    <row r="433" spans="1:12" x14ac:dyDescent="0.25">
      <c r="H433" s="19">
        <f t="shared" si="28"/>
        <v>0</v>
      </c>
    </row>
    <row r="434" spans="1:12" x14ac:dyDescent="0.25">
      <c r="A434" s="1">
        <v>4540260</v>
      </c>
      <c r="B434" t="s">
        <v>463</v>
      </c>
      <c r="C434" t="s">
        <v>464</v>
      </c>
      <c r="D434" s="2">
        <v>200</v>
      </c>
      <c r="E434" s="2">
        <v>185</v>
      </c>
      <c r="F434" s="2">
        <v>125</v>
      </c>
      <c r="G434" s="2">
        <v>60</v>
      </c>
      <c r="H434" s="19">
        <f t="shared" si="28"/>
        <v>570</v>
      </c>
      <c r="I434" s="2">
        <v>570</v>
      </c>
      <c r="J434" s="23">
        <f>SUM(I434*1000)/76650</f>
        <v>7.4363992172211351</v>
      </c>
      <c r="K434">
        <v>175</v>
      </c>
      <c r="L434" s="23">
        <f t="shared" si="27"/>
        <v>2.2831050228310503</v>
      </c>
    </row>
    <row r="435" spans="1:12" x14ac:dyDescent="0.25">
      <c r="H435" s="19">
        <f t="shared" si="28"/>
        <v>0</v>
      </c>
    </row>
    <row r="436" spans="1:12" x14ac:dyDescent="0.25">
      <c r="A436" s="15">
        <v>4540255</v>
      </c>
      <c r="B436" s="14" t="s">
        <v>465</v>
      </c>
      <c r="C436" s="13" t="s">
        <v>466</v>
      </c>
      <c r="D436" s="16">
        <v>37</v>
      </c>
      <c r="E436" s="16">
        <v>257</v>
      </c>
      <c r="F436" s="16">
        <v>93</v>
      </c>
      <c r="G436" s="16">
        <v>0</v>
      </c>
      <c r="H436" s="18">
        <f t="shared" si="28"/>
        <v>387</v>
      </c>
      <c r="I436" s="13"/>
      <c r="J436" s="24" t="s">
        <v>47</v>
      </c>
      <c r="K436" s="13"/>
    </row>
    <row r="437" spans="1:12" x14ac:dyDescent="0.25">
      <c r="A437" s="15">
        <v>4540255</v>
      </c>
      <c r="B437" s="14" t="s">
        <v>465</v>
      </c>
      <c r="C437" s="13" t="s">
        <v>467</v>
      </c>
      <c r="D437" s="16">
        <v>147</v>
      </c>
      <c r="E437" s="16">
        <v>164</v>
      </c>
      <c r="F437" s="16">
        <v>141</v>
      </c>
      <c r="G437" s="16">
        <v>131</v>
      </c>
      <c r="H437" s="18">
        <f t="shared" si="28"/>
        <v>583</v>
      </c>
      <c r="I437" s="13"/>
      <c r="J437" s="24"/>
      <c r="K437" s="13"/>
    </row>
    <row r="438" spans="1:12" x14ac:dyDescent="0.25">
      <c r="A438" s="15"/>
      <c r="B438" s="14"/>
      <c r="C438" s="13"/>
      <c r="D438" s="16"/>
      <c r="E438" s="16"/>
      <c r="F438" s="16"/>
      <c r="G438" s="16"/>
      <c r="H438" s="18"/>
      <c r="I438" s="13"/>
      <c r="J438" s="24"/>
      <c r="K438" s="13"/>
    </row>
    <row r="439" spans="1:12" x14ac:dyDescent="0.25">
      <c r="A439" s="15">
        <v>4540255</v>
      </c>
      <c r="B439" s="14" t="s">
        <v>468</v>
      </c>
      <c r="C439" s="13" t="s">
        <v>469</v>
      </c>
      <c r="D439" s="16">
        <v>40</v>
      </c>
      <c r="E439" s="16">
        <v>443</v>
      </c>
      <c r="F439" s="16">
        <v>303</v>
      </c>
      <c r="G439" s="16">
        <v>204</v>
      </c>
      <c r="H439" s="18">
        <f t="shared" si="28"/>
        <v>990</v>
      </c>
      <c r="I439" s="13"/>
      <c r="J439" s="24"/>
      <c r="K439" s="13"/>
    </row>
    <row r="440" spans="1:12" x14ac:dyDescent="0.25">
      <c r="A440" s="15">
        <v>4540255</v>
      </c>
      <c r="B440" s="14" t="s">
        <v>468</v>
      </c>
      <c r="C440" s="13" t="s">
        <v>470</v>
      </c>
      <c r="D440" s="16">
        <v>676</v>
      </c>
      <c r="E440" s="16">
        <v>888</v>
      </c>
      <c r="F440" s="16">
        <v>595</v>
      </c>
      <c r="G440" s="16">
        <v>459</v>
      </c>
      <c r="H440" s="18">
        <f t="shared" si="28"/>
        <v>2618</v>
      </c>
      <c r="I440" s="18">
        <f>SUM(H440-H439)</f>
        <v>1628</v>
      </c>
      <c r="J440" s="24"/>
      <c r="K440" s="13"/>
    </row>
    <row r="441" spans="1:12" x14ac:dyDescent="0.25">
      <c r="A441" s="15"/>
      <c r="B441" s="14"/>
      <c r="C441" s="13"/>
      <c r="D441" s="16"/>
      <c r="E441" s="16"/>
      <c r="F441" s="16"/>
      <c r="G441" s="16"/>
      <c r="H441" s="18">
        <f t="shared" si="28"/>
        <v>0</v>
      </c>
      <c r="I441" s="13"/>
      <c r="J441" s="24"/>
      <c r="K441" s="13"/>
    </row>
    <row r="442" spans="1:12" x14ac:dyDescent="0.25">
      <c r="A442" s="15">
        <v>4540255</v>
      </c>
      <c r="B442" s="14" t="s">
        <v>471</v>
      </c>
      <c r="C442" s="13" t="s">
        <v>469</v>
      </c>
      <c r="D442" s="16">
        <v>89</v>
      </c>
      <c r="E442" s="16">
        <v>98</v>
      </c>
      <c r="F442" s="16">
        <v>76</v>
      </c>
      <c r="G442" s="16">
        <v>66</v>
      </c>
      <c r="H442" s="18">
        <f t="shared" si="28"/>
        <v>329</v>
      </c>
      <c r="I442" s="13"/>
      <c r="J442" s="24"/>
      <c r="K442" s="13"/>
    </row>
    <row r="443" spans="1:12" x14ac:dyDescent="0.25">
      <c r="A443" s="15">
        <v>4540255</v>
      </c>
      <c r="B443" s="14" t="s">
        <v>472</v>
      </c>
      <c r="C443" s="13" t="s">
        <v>469</v>
      </c>
      <c r="D443" s="16">
        <v>8</v>
      </c>
      <c r="E443" s="16">
        <v>7</v>
      </c>
      <c r="F443" s="16">
        <v>7</v>
      </c>
      <c r="G443" s="16">
        <v>6</v>
      </c>
      <c r="H443" s="18">
        <f t="shared" si="28"/>
        <v>28</v>
      </c>
      <c r="I443" s="13"/>
      <c r="J443" s="24"/>
      <c r="K443" s="13"/>
    </row>
    <row r="444" spans="1:12" x14ac:dyDescent="0.25">
      <c r="A444" s="15">
        <v>4540255</v>
      </c>
      <c r="B444" s="14" t="s">
        <v>473</v>
      </c>
      <c r="C444" s="13" t="s">
        <v>469</v>
      </c>
      <c r="D444" s="16">
        <v>48</v>
      </c>
      <c r="E444" s="16">
        <v>56</v>
      </c>
      <c r="F444" s="16">
        <v>56</v>
      </c>
      <c r="G444" s="16">
        <v>56</v>
      </c>
      <c r="H444" s="18">
        <f t="shared" si="28"/>
        <v>216</v>
      </c>
      <c r="I444" s="18">
        <v>10</v>
      </c>
      <c r="J444" s="24"/>
      <c r="K444" s="13"/>
    </row>
    <row r="445" spans="1:12" x14ac:dyDescent="0.25">
      <c r="A445" s="15"/>
      <c r="B445" s="14"/>
      <c r="C445" s="13"/>
      <c r="D445" s="16"/>
      <c r="E445" s="16"/>
      <c r="F445" s="16"/>
      <c r="G445" s="16"/>
      <c r="H445" s="18"/>
      <c r="I445" s="13"/>
      <c r="J445" s="24"/>
      <c r="K445" s="13"/>
    </row>
    <row r="446" spans="1:12" x14ac:dyDescent="0.25">
      <c r="A446" s="15">
        <v>4540255</v>
      </c>
      <c r="B446" s="14" t="s">
        <v>474</v>
      </c>
      <c r="C446" s="13" t="s">
        <v>475</v>
      </c>
      <c r="D446" s="16">
        <v>2</v>
      </c>
      <c r="E446" s="16">
        <v>2</v>
      </c>
      <c r="F446" s="16">
        <v>3</v>
      </c>
      <c r="G446" s="16">
        <v>2</v>
      </c>
      <c r="H446" s="18">
        <f t="shared" si="28"/>
        <v>9</v>
      </c>
      <c r="I446" s="13"/>
      <c r="J446" s="24"/>
      <c r="K446" s="13"/>
    </row>
    <row r="447" spans="1:12" x14ac:dyDescent="0.25">
      <c r="A447" s="15">
        <v>4540255</v>
      </c>
      <c r="B447" s="14" t="s">
        <v>476</v>
      </c>
      <c r="C447" s="13" t="s">
        <v>475</v>
      </c>
      <c r="D447" s="16">
        <v>104</v>
      </c>
      <c r="E447" s="16">
        <v>131</v>
      </c>
      <c r="F447" s="16">
        <v>193</v>
      </c>
      <c r="G447" s="16">
        <v>105</v>
      </c>
      <c r="H447" s="18">
        <f t="shared" si="28"/>
        <v>533</v>
      </c>
      <c r="I447" s="13"/>
      <c r="J447" s="24"/>
      <c r="K447" s="13"/>
    </row>
    <row r="448" spans="1:12" x14ac:dyDescent="0.25">
      <c r="A448" s="15">
        <v>4540255</v>
      </c>
      <c r="B448" t="s">
        <v>477</v>
      </c>
      <c r="C448" s="13"/>
      <c r="D448" s="13"/>
      <c r="E448" s="13"/>
      <c r="F448" s="13"/>
      <c r="G448" s="13"/>
      <c r="H448" s="18">
        <f t="shared" si="28"/>
        <v>0</v>
      </c>
      <c r="I448" s="18">
        <f>SUM(H447+H446+I444+I440)</f>
        <v>2180</v>
      </c>
      <c r="J448" s="24">
        <f>SUM(I448*1000)/76650</f>
        <v>28.440965427266796</v>
      </c>
      <c r="K448" s="13">
        <v>2125</v>
      </c>
      <c r="L448" s="23">
        <f t="shared" si="27"/>
        <v>27.723418134377038</v>
      </c>
    </row>
    <row r="449" spans="1:12" x14ac:dyDescent="0.25">
      <c r="H449" s="18">
        <f t="shared" si="28"/>
        <v>0</v>
      </c>
    </row>
    <row r="450" spans="1:12" x14ac:dyDescent="0.25">
      <c r="A450" s="1">
        <v>4540265</v>
      </c>
      <c r="B450" t="s">
        <v>478</v>
      </c>
      <c r="C450" t="s">
        <v>479</v>
      </c>
      <c r="D450" s="2">
        <v>121</v>
      </c>
      <c r="E450" s="2">
        <v>132</v>
      </c>
      <c r="F450" s="2">
        <v>154</v>
      </c>
      <c r="G450" s="2">
        <v>152</v>
      </c>
      <c r="H450" s="18">
        <f t="shared" si="28"/>
        <v>559</v>
      </c>
    </row>
    <row r="451" spans="1:12" x14ac:dyDescent="0.25">
      <c r="A451" s="1">
        <v>4540265</v>
      </c>
      <c r="B451" t="s">
        <v>478</v>
      </c>
      <c r="C451" t="s">
        <v>480</v>
      </c>
      <c r="D451" s="2">
        <v>1932</v>
      </c>
      <c r="E451" s="2">
        <v>2442</v>
      </c>
      <c r="F451" s="2">
        <v>2533</v>
      </c>
      <c r="G451" s="2">
        <v>2337</v>
      </c>
      <c r="H451" s="18">
        <f t="shared" si="28"/>
        <v>9244</v>
      </c>
      <c r="I451" s="3">
        <f>SUM(H451-H450)</f>
        <v>8685</v>
      </c>
      <c r="J451" s="23">
        <f>SUM(I451*1000)/76650</f>
        <v>113.30724070450098</v>
      </c>
      <c r="K451">
        <v>8201</v>
      </c>
      <c r="L451" s="23">
        <f t="shared" si="27"/>
        <v>106.99282452707111</v>
      </c>
    </row>
    <row r="452" spans="1:12" x14ac:dyDescent="0.25">
      <c r="A452" s="1"/>
      <c r="D452" s="2"/>
      <c r="E452" s="2"/>
      <c r="F452" s="2"/>
      <c r="G452" s="2"/>
      <c r="H452" s="18"/>
    </row>
    <row r="453" spans="1:12" x14ac:dyDescent="0.25">
      <c r="A453" s="1">
        <v>4540290</v>
      </c>
      <c r="B453" t="s">
        <v>481</v>
      </c>
      <c r="C453" t="s">
        <v>482</v>
      </c>
      <c r="D453" s="2">
        <v>42</v>
      </c>
      <c r="E453" s="2">
        <v>42</v>
      </c>
      <c r="F453" s="2">
        <v>43</v>
      </c>
      <c r="G453" s="2">
        <v>60</v>
      </c>
      <c r="H453" s="18">
        <f t="shared" si="28"/>
        <v>187</v>
      </c>
      <c r="I453" s="2">
        <v>187</v>
      </c>
      <c r="J453" s="23">
        <f>SUM(I453*1000)/76650</f>
        <v>2.4396607958251795</v>
      </c>
      <c r="K453" s="2">
        <v>299</v>
      </c>
      <c r="L453" s="23">
        <f t="shared" si="27"/>
        <v>3.9008480104370515</v>
      </c>
    </row>
    <row r="454" spans="1:12" x14ac:dyDescent="0.25">
      <c r="H454" s="18">
        <f t="shared" si="28"/>
        <v>0</v>
      </c>
    </row>
    <row r="455" spans="1:12" x14ac:dyDescent="0.25">
      <c r="A455" s="1">
        <v>4540300</v>
      </c>
      <c r="B455" t="s">
        <v>483</v>
      </c>
      <c r="C455" t="s">
        <v>484</v>
      </c>
      <c r="D455" s="2">
        <v>117</v>
      </c>
      <c r="E455" s="2">
        <v>93</v>
      </c>
      <c r="F455" s="2">
        <v>85</v>
      </c>
      <c r="G455" s="2">
        <v>67</v>
      </c>
      <c r="H455" s="18">
        <f t="shared" si="28"/>
        <v>362</v>
      </c>
      <c r="I455" s="2">
        <v>362</v>
      </c>
      <c r="J455" s="23">
        <f>SUM(I455*1000)/76650</f>
        <v>4.7227658186562298</v>
      </c>
      <c r="K455">
        <v>344</v>
      </c>
      <c r="L455" s="23">
        <f t="shared" ref="L455:L516" si="29">SUM(K455*1000)/76650</f>
        <v>4.4879321591650356</v>
      </c>
    </row>
    <row r="456" spans="1:12" x14ac:dyDescent="0.25">
      <c r="A456" s="1">
        <v>4540300</v>
      </c>
      <c r="B456" t="s">
        <v>485</v>
      </c>
      <c r="C456" t="s">
        <v>486</v>
      </c>
      <c r="D456" s="2">
        <v>0</v>
      </c>
      <c r="E456" s="2">
        <v>110</v>
      </c>
      <c r="F456" s="2">
        <v>184</v>
      </c>
      <c r="G456" s="2">
        <v>0</v>
      </c>
      <c r="H456" s="18">
        <f t="shared" si="28"/>
        <v>294</v>
      </c>
      <c r="J456" s="23" t="s">
        <v>47</v>
      </c>
    </row>
    <row r="457" spans="1:12" x14ac:dyDescent="0.25">
      <c r="A457" s="1"/>
      <c r="D457" s="2"/>
      <c r="E457" s="2"/>
      <c r="F457" s="2"/>
      <c r="G457" s="2"/>
      <c r="H457" s="18">
        <f t="shared" si="28"/>
        <v>0</v>
      </c>
    </row>
    <row r="458" spans="1:12" x14ac:dyDescent="0.25">
      <c r="A458" s="1">
        <v>4540302</v>
      </c>
      <c r="B458" t="s">
        <v>487</v>
      </c>
      <c r="C458" t="s">
        <v>488</v>
      </c>
      <c r="D458" s="2">
        <v>54</v>
      </c>
      <c r="E458" s="2">
        <v>85</v>
      </c>
      <c r="F458" s="2">
        <v>53</v>
      </c>
      <c r="G458" s="2">
        <v>39</v>
      </c>
      <c r="H458" s="18">
        <f t="shared" ref="H458:H516" si="30">SUM(D458:G458)</f>
        <v>231</v>
      </c>
      <c r="I458" s="2">
        <v>231</v>
      </c>
      <c r="J458" s="23">
        <f>SUM(I458*1000)/76650</f>
        <v>3.0136986301369864</v>
      </c>
      <c r="K458">
        <v>211</v>
      </c>
      <c r="L458" s="23">
        <f t="shared" si="29"/>
        <v>2.7527723418134378</v>
      </c>
    </row>
    <row r="459" spans="1:12" x14ac:dyDescent="0.25">
      <c r="A459" s="1"/>
      <c r="D459" s="2"/>
      <c r="E459" s="2"/>
      <c r="F459" s="2"/>
      <c r="G459" s="2"/>
      <c r="H459" s="18">
        <f t="shared" si="30"/>
        <v>0</v>
      </c>
    </row>
    <row r="460" spans="1:12" x14ac:dyDescent="0.25">
      <c r="A460" s="1">
        <v>4540310</v>
      </c>
      <c r="B460" t="s">
        <v>489</v>
      </c>
      <c r="C460" t="s">
        <v>490</v>
      </c>
      <c r="D460" s="2">
        <v>9</v>
      </c>
      <c r="E460" s="2">
        <v>68</v>
      </c>
      <c r="F460" s="2">
        <v>16</v>
      </c>
      <c r="G460" s="2">
        <v>5</v>
      </c>
      <c r="H460" s="18">
        <f t="shared" si="30"/>
        <v>98</v>
      </c>
      <c r="I460" s="2">
        <v>98</v>
      </c>
      <c r="J460" s="23">
        <f>SUM(I460*1000)/76650</f>
        <v>1.2785388127853881</v>
      </c>
      <c r="K460" s="2">
        <v>119</v>
      </c>
      <c r="L460" s="23">
        <f t="shared" si="29"/>
        <v>1.5525114155251141</v>
      </c>
    </row>
    <row r="461" spans="1:12" x14ac:dyDescent="0.25">
      <c r="H461" s="18">
        <f t="shared" si="30"/>
        <v>0</v>
      </c>
    </row>
    <row r="462" spans="1:12" x14ac:dyDescent="0.25">
      <c r="A462" s="1">
        <v>4540315</v>
      </c>
      <c r="B462" t="s">
        <v>491</v>
      </c>
      <c r="C462" t="s">
        <v>492</v>
      </c>
      <c r="D462" s="2">
        <v>14</v>
      </c>
      <c r="E462" s="2">
        <v>17</v>
      </c>
      <c r="F462" s="2">
        <v>47</v>
      </c>
      <c r="G462" s="2">
        <v>33</v>
      </c>
      <c r="H462" s="18">
        <f t="shared" si="30"/>
        <v>111</v>
      </c>
    </row>
    <row r="463" spans="1:12" x14ac:dyDescent="0.25">
      <c r="A463" s="1">
        <v>4540315</v>
      </c>
      <c r="B463" t="s">
        <v>493</v>
      </c>
      <c r="C463" t="s">
        <v>492</v>
      </c>
      <c r="D463" s="2">
        <v>41</v>
      </c>
      <c r="E463" s="2">
        <v>40</v>
      </c>
      <c r="F463" s="2">
        <v>17</v>
      </c>
      <c r="G463" s="2">
        <v>34</v>
      </c>
      <c r="H463" s="18">
        <f t="shared" si="30"/>
        <v>132</v>
      </c>
    </row>
    <row r="464" spans="1:12" x14ac:dyDescent="0.25">
      <c r="A464" s="1">
        <v>4540315</v>
      </c>
      <c r="B464" t="s">
        <v>494</v>
      </c>
      <c r="C464" t="s">
        <v>495</v>
      </c>
      <c r="D464" s="2">
        <v>13</v>
      </c>
      <c r="E464" s="2">
        <v>18</v>
      </c>
      <c r="F464" s="2">
        <v>19</v>
      </c>
      <c r="G464" s="2">
        <v>16</v>
      </c>
      <c r="H464" s="18">
        <f t="shared" si="30"/>
        <v>66</v>
      </c>
    </row>
    <row r="465" spans="1:12" x14ac:dyDescent="0.25">
      <c r="A465" s="1">
        <v>4540315</v>
      </c>
      <c r="B465" t="s">
        <v>496</v>
      </c>
      <c r="C465" t="s">
        <v>497</v>
      </c>
      <c r="D465" s="2">
        <v>0</v>
      </c>
      <c r="E465" s="2">
        <v>3</v>
      </c>
      <c r="F465" s="2">
        <v>1</v>
      </c>
      <c r="G465" s="2">
        <v>74</v>
      </c>
      <c r="H465" s="18">
        <f t="shared" si="30"/>
        <v>78</v>
      </c>
    </row>
    <row r="466" spans="1:12" x14ac:dyDescent="0.25">
      <c r="A466" s="1">
        <v>4540315</v>
      </c>
      <c r="B466" t="s">
        <v>498</v>
      </c>
      <c r="C466" t="s">
        <v>499</v>
      </c>
      <c r="D466" s="2">
        <v>2</v>
      </c>
      <c r="E466" s="2">
        <v>7</v>
      </c>
      <c r="F466" s="2">
        <v>7</v>
      </c>
      <c r="G466" s="2">
        <v>7</v>
      </c>
      <c r="H466" s="18">
        <f t="shared" si="30"/>
        <v>23</v>
      </c>
    </row>
    <row r="467" spans="1:12" x14ac:dyDescent="0.25">
      <c r="A467" s="1">
        <v>4540315</v>
      </c>
      <c r="B467" t="s">
        <v>500</v>
      </c>
      <c r="C467" t="s">
        <v>501</v>
      </c>
      <c r="D467" s="2">
        <v>0</v>
      </c>
      <c r="E467" s="2">
        <v>0</v>
      </c>
      <c r="F467" s="2">
        <v>1</v>
      </c>
      <c r="G467" s="2">
        <v>0</v>
      </c>
      <c r="H467" s="18">
        <f t="shared" si="30"/>
        <v>1</v>
      </c>
    </row>
    <row r="468" spans="1:12" x14ac:dyDescent="0.25">
      <c r="A468" s="1">
        <v>4540315</v>
      </c>
      <c r="B468" t="s">
        <v>500</v>
      </c>
      <c r="C468" t="s">
        <v>501</v>
      </c>
      <c r="D468" s="2">
        <v>4</v>
      </c>
      <c r="E468" s="2">
        <v>2</v>
      </c>
      <c r="F468" s="2">
        <v>2</v>
      </c>
      <c r="G468" s="2">
        <v>0</v>
      </c>
      <c r="H468" s="18">
        <f t="shared" si="30"/>
        <v>8</v>
      </c>
    </row>
    <row r="469" spans="1:12" x14ac:dyDescent="0.25">
      <c r="A469" s="1">
        <v>4540315</v>
      </c>
      <c r="B469" t="s">
        <v>500</v>
      </c>
      <c r="C469" t="s">
        <v>502</v>
      </c>
      <c r="D469" s="2">
        <v>0</v>
      </c>
      <c r="E469" s="2">
        <v>0</v>
      </c>
      <c r="F469" s="2">
        <v>0</v>
      </c>
      <c r="G469" s="2">
        <v>0</v>
      </c>
      <c r="H469" s="18">
        <f t="shared" si="30"/>
        <v>0</v>
      </c>
    </row>
    <row r="470" spans="1:12" x14ac:dyDescent="0.25">
      <c r="A470" s="1">
        <v>4540315</v>
      </c>
      <c r="B470" t="s">
        <v>503</v>
      </c>
      <c r="C470" t="s">
        <v>501</v>
      </c>
      <c r="D470" s="2">
        <v>0</v>
      </c>
      <c r="E470" s="2">
        <v>0</v>
      </c>
      <c r="F470" s="2">
        <v>0</v>
      </c>
      <c r="G470" s="2">
        <v>3</v>
      </c>
      <c r="H470" s="18">
        <f t="shared" si="30"/>
        <v>3</v>
      </c>
    </row>
    <row r="471" spans="1:12" x14ac:dyDescent="0.25">
      <c r="A471" s="1">
        <v>4540315</v>
      </c>
      <c r="B471" t="s">
        <v>503</v>
      </c>
      <c r="C471" t="s">
        <v>501</v>
      </c>
      <c r="D471" s="2">
        <v>0</v>
      </c>
      <c r="E471" s="2">
        <v>0</v>
      </c>
      <c r="F471" s="2">
        <v>0</v>
      </c>
      <c r="G471" s="2">
        <v>2</v>
      </c>
      <c r="H471" s="18">
        <f t="shared" si="30"/>
        <v>2</v>
      </c>
    </row>
    <row r="472" spans="1:12" x14ac:dyDescent="0.25">
      <c r="A472" s="1">
        <v>4540315</v>
      </c>
      <c r="B472" t="s">
        <v>504</v>
      </c>
      <c r="C472" t="s">
        <v>502</v>
      </c>
      <c r="D472" s="2">
        <v>0</v>
      </c>
      <c r="E472" s="2">
        <v>0</v>
      </c>
      <c r="F472" s="2">
        <v>0</v>
      </c>
      <c r="G472" s="2">
        <v>17</v>
      </c>
      <c r="H472" s="18">
        <f t="shared" si="30"/>
        <v>17</v>
      </c>
    </row>
    <row r="473" spans="1:12" x14ac:dyDescent="0.25">
      <c r="A473" s="1">
        <v>4540315</v>
      </c>
      <c r="B473" t="s">
        <v>505</v>
      </c>
      <c r="C473" t="s">
        <v>506</v>
      </c>
      <c r="D473" s="2">
        <v>0</v>
      </c>
      <c r="E473" s="2">
        <v>0</v>
      </c>
      <c r="F473" s="2">
        <v>0</v>
      </c>
      <c r="G473" s="2">
        <v>1</v>
      </c>
      <c r="H473" s="18">
        <f t="shared" si="30"/>
        <v>1</v>
      </c>
    </row>
    <row r="474" spans="1:12" x14ac:dyDescent="0.25">
      <c r="A474" s="1">
        <v>4540315</v>
      </c>
      <c r="B474" t="s">
        <v>507</v>
      </c>
      <c r="C474" t="s">
        <v>508</v>
      </c>
      <c r="D474" s="2">
        <v>10</v>
      </c>
      <c r="E474" s="2">
        <v>15</v>
      </c>
      <c r="F474" s="2">
        <v>12</v>
      </c>
      <c r="G474" s="2">
        <v>9</v>
      </c>
      <c r="H474" s="18">
        <f t="shared" si="30"/>
        <v>46</v>
      </c>
    </row>
    <row r="475" spans="1:12" x14ac:dyDescent="0.25">
      <c r="A475" s="1">
        <v>4540315</v>
      </c>
      <c r="B475" s="20" t="s">
        <v>509</v>
      </c>
      <c r="H475" s="18">
        <f t="shared" si="30"/>
        <v>0</v>
      </c>
      <c r="I475" s="3">
        <f>SUM(H462:H475)</f>
        <v>488</v>
      </c>
      <c r="J475" s="23">
        <f>SUM(I475*1000)/76650</f>
        <v>6.3666014350945854</v>
      </c>
      <c r="K475">
        <v>1274</v>
      </c>
      <c r="L475" s="23">
        <f t="shared" si="29"/>
        <v>16.621004566210047</v>
      </c>
    </row>
    <row r="476" spans="1:12" x14ac:dyDescent="0.25">
      <c r="H476" s="18">
        <f t="shared" si="30"/>
        <v>0</v>
      </c>
    </row>
    <row r="477" spans="1:12" x14ac:dyDescent="0.25">
      <c r="A477" s="1">
        <v>4540320</v>
      </c>
      <c r="B477" t="s">
        <v>510</v>
      </c>
      <c r="C477" t="s">
        <v>511</v>
      </c>
      <c r="D477" s="2">
        <v>152</v>
      </c>
      <c r="E477" s="2">
        <v>230</v>
      </c>
      <c r="F477" s="2">
        <v>120</v>
      </c>
      <c r="G477" s="2">
        <v>93</v>
      </c>
      <c r="H477" s="18">
        <f t="shared" si="30"/>
        <v>595</v>
      </c>
      <c r="I477" s="2">
        <v>595</v>
      </c>
      <c r="K477">
        <v>554</v>
      </c>
      <c r="L477" s="23">
        <f t="shared" si="29"/>
        <v>7.2276581865622962</v>
      </c>
    </row>
    <row r="478" spans="1:12" x14ac:dyDescent="0.25">
      <c r="A478" s="1">
        <v>4540332</v>
      </c>
      <c r="B478" t="s">
        <v>512</v>
      </c>
      <c r="C478" t="s">
        <v>513</v>
      </c>
      <c r="D478" s="2">
        <v>4</v>
      </c>
      <c r="E478" s="2">
        <v>5</v>
      </c>
      <c r="F478" s="2">
        <v>5</v>
      </c>
      <c r="G478" s="2">
        <v>4</v>
      </c>
      <c r="H478" s="18">
        <f t="shared" si="30"/>
        <v>18</v>
      </c>
      <c r="I478" s="2">
        <v>76650</v>
      </c>
      <c r="J478" s="23">
        <v>1</v>
      </c>
      <c r="K478" s="2">
        <v>76650</v>
      </c>
      <c r="L478" s="23">
        <v>1</v>
      </c>
    </row>
    <row r="479" spans="1:12" x14ac:dyDescent="0.25">
      <c r="A479" s="1">
        <v>4540336</v>
      </c>
      <c r="B479" t="s">
        <v>514</v>
      </c>
      <c r="C479" t="s">
        <v>515</v>
      </c>
      <c r="D479" s="2">
        <v>128</v>
      </c>
      <c r="E479" s="2">
        <v>124</v>
      </c>
      <c r="F479" s="2">
        <v>150</v>
      </c>
      <c r="G479" s="2">
        <v>230</v>
      </c>
      <c r="H479" s="18">
        <f t="shared" si="30"/>
        <v>632</v>
      </c>
      <c r="I479" s="2">
        <v>632</v>
      </c>
      <c r="K479">
        <v>1359</v>
      </c>
      <c r="L479" s="23">
        <f t="shared" si="29"/>
        <v>17.729941291585128</v>
      </c>
    </row>
    <row r="480" spans="1:12" x14ac:dyDescent="0.25">
      <c r="A480" s="1">
        <v>4540339</v>
      </c>
      <c r="B480" t="s">
        <v>510</v>
      </c>
      <c r="C480" t="s">
        <v>516</v>
      </c>
      <c r="D480" s="2">
        <v>13</v>
      </c>
      <c r="E480" s="2">
        <v>170</v>
      </c>
      <c r="F480" s="2">
        <v>43</v>
      </c>
      <c r="G480" s="2">
        <v>14</v>
      </c>
      <c r="H480" s="18">
        <f t="shared" si="30"/>
        <v>240</v>
      </c>
      <c r="I480" s="2">
        <v>240</v>
      </c>
      <c r="K480">
        <v>375</v>
      </c>
      <c r="L480" s="23">
        <f t="shared" si="29"/>
        <v>4.8923679060665366</v>
      </c>
    </row>
    <row r="481" spans="1:12" x14ac:dyDescent="0.25">
      <c r="A481" s="1">
        <v>4540347</v>
      </c>
      <c r="B481" t="s">
        <v>517</v>
      </c>
      <c r="C481" t="s">
        <v>518</v>
      </c>
      <c r="D481" s="2">
        <v>159</v>
      </c>
      <c r="E481" s="2">
        <v>136</v>
      </c>
      <c r="F481" s="2">
        <v>130</v>
      </c>
      <c r="G481" s="2">
        <v>115</v>
      </c>
      <c r="H481" s="18">
        <f t="shared" si="30"/>
        <v>540</v>
      </c>
      <c r="I481" s="2">
        <v>540</v>
      </c>
      <c r="K481">
        <v>458</v>
      </c>
      <c r="L481" s="23">
        <f t="shared" si="29"/>
        <v>5.975212002609263</v>
      </c>
    </row>
    <row r="482" spans="1:12" x14ac:dyDescent="0.25">
      <c r="A482" s="1">
        <v>4540353</v>
      </c>
      <c r="B482" t="s">
        <v>519</v>
      </c>
      <c r="C482" t="s">
        <v>520</v>
      </c>
      <c r="D482" s="2">
        <v>6</v>
      </c>
      <c r="E482" s="2">
        <v>6</v>
      </c>
      <c r="F482" s="2">
        <v>8</v>
      </c>
      <c r="G482" s="2">
        <v>6</v>
      </c>
      <c r="H482" s="18">
        <f t="shared" si="30"/>
        <v>26</v>
      </c>
      <c r="I482" s="2">
        <v>76650</v>
      </c>
      <c r="J482" s="23">
        <v>1</v>
      </c>
      <c r="K482">
        <v>76650</v>
      </c>
      <c r="L482" s="23">
        <v>1</v>
      </c>
    </row>
    <row r="483" spans="1:12" x14ac:dyDescent="0.25">
      <c r="H483" s="18">
        <f t="shared" si="30"/>
        <v>0</v>
      </c>
    </row>
    <row r="484" spans="1:12" x14ac:dyDescent="0.25">
      <c r="A484" s="1">
        <v>4540358</v>
      </c>
      <c r="B484" t="s">
        <v>521</v>
      </c>
      <c r="C484" t="s">
        <v>522</v>
      </c>
      <c r="D484" s="2">
        <v>13</v>
      </c>
      <c r="E484" s="2">
        <v>13</v>
      </c>
      <c r="F484" s="2">
        <v>13</v>
      </c>
      <c r="G484" s="2">
        <v>12</v>
      </c>
      <c r="H484" s="18">
        <f t="shared" si="30"/>
        <v>51</v>
      </c>
      <c r="I484" s="2">
        <v>76650</v>
      </c>
      <c r="J484" s="23">
        <v>1</v>
      </c>
      <c r="K484">
        <v>76650</v>
      </c>
      <c r="L484" s="23">
        <v>1</v>
      </c>
    </row>
    <row r="485" spans="1:12" x14ac:dyDescent="0.25">
      <c r="A485" s="1">
        <v>4540358</v>
      </c>
      <c r="B485" t="s">
        <v>523</v>
      </c>
      <c r="C485" t="s">
        <v>522</v>
      </c>
      <c r="D485" s="2">
        <v>0</v>
      </c>
      <c r="E485" s="2">
        <v>0</v>
      </c>
      <c r="F485" s="2">
        <v>0</v>
      </c>
      <c r="G485" s="2">
        <v>0</v>
      </c>
      <c r="H485" s="18">
        <f t="shared" si="30"/>
        <v>0</v>
      </c>
    </row>
    <row r="486" spans="1:12" x14ac:dyDescent="0.25">
      <c r="H486" s="18">
        <f t="shared" si="30"/>
        <v>0</v>
      </c>
    </row>
    <row r="487" spans="1:12" x14ac:dyDescent="0.25">
      <c r="A487" s="1">
        <v>4540369</v>
      </c>
      <c r="B487" t="s">
        <v>524</v>
      </c>
      <c r="C487" t="s">
        <v>525</v>
      </c>
      <c r="D487" s="2">
        <v>371</v>
      </c>
      <c r="E487" s="2">
        <v>392</v>
      </c>
      <c r="F487" s="2">
        <v>397</v>
      </c>
      <c r="G487" s="2">
        <v>329</v>
      </c>
      <c r="H487" s="18">
        <f t="shared" si="30"/>
        <v>1489</v>
      </c>
    </row>
    <row r="488" spans="1:12" x14ac:dyDescent="0.25">
      <c r="A488" s="1">
        <v>4540369</v>
      </c>
      <c r="B488" t="s">
        <v>526</v>
      </c>
      <c r="C488" t="s">
        <v>527</v>
      </c>
      <c r="D488" s="2">
        <v>6</v>
      </c>
      <c r="E488" s="2">
        <v>17</v>
      </c>
      <c r="F488" s="2">
        <v>31</v>
      </c>
      <c r="G488" s="2">
        <v>9</v>
      </c>
      <c r="H488" s="18">
        <f t="shared" si="30"/>
        <v>63</v>
      </c>
      <c r="I488" s="3">
        <v>1426</v>
      </c>
      <c r="J488" s="23">
        <f>SUM(I488*1000)/76650</f>
        <v>18.604044357469014</v>
      </c>
      <c r="K488">
        <v>1359</v>
      </c>
      <c r="L488" s="23">
        <f t="shared" si="29"/>
        <v>17.729941291585128</v>
      </c>
    </row>
    <row r="489" spans="1:12" x14ac:dyDescent="0.25">
      <c r="H489" s="18">
        <f t="shared" si="30"/>
        <v>0</v>
      </c>
    </row>
    <row r="490" spans="1:12" x14ac:dyDescent="0.25">
      <c r="A490" s="15">
        <v>4540380</v>
      </c>
      <c r="B490" s="13" t="s">
        <v>528</v>
      </c>
      <c r="C490" s="13" t="s">
        <v>529</v>
      </c>
      <c r="D490" s="16">
        <v>152</v>
      </c>
      <c r="E490" s="16">
        <v>0</v>
      </c>
      <c r="F490" s="16">
        <v>2</v>
      </c>
      <c r="G490" s="16">
        <v>3</v>
      </c>
      <c r="H490" s="18">
        <f t="shared" si="30"/>
        <v>157</v>
      </c>
      <c r="I490" s="13"/>
      <c r="J490" s="24" t="s">
        <v>47</v>
      </c>
      <c r="K490" s="13"/>
    </row>
    <row r="491" spans="1:12" x14ac:dyDescent="0.25">
      <c r="A491" s="15">
        <v>4540380</v>
      </c>
      <c r="B491" s="13" t="s">
        <v>528</v>
      </c>
      <c r="C491" s="13" t="s">
        <v>530</v>
      </c>
      <c r="D491" s="16">
        <v>9</v>
      </c>
      <c r="E491" s="16">
        <v>5</v>
      </c>
      <c r="F491" s="16">
        <v>5</v>
      </c>
      <c r="G491" s="16">
        <v>5</v>
      </c>
      <c r="H491" s="18">
        <f t="shared" si="30"/>
        <v>24</v>
      </c>
      <c r="I491" s="13"/>
      <c r="J491" s="24"/>
      <c r="K491" s="13"/>
    </row>
    <row r="492" spans="1:12" x14ac:dyDescent="0.25">
      <c r="A492" s="15">
        <v>4540380</v>
      </c>
      <c r="B492" s="13" t="s">
        <v>528</v>
      </c>
      <c r="C492" s="13" t="s">
        <v>531</v>
      </c>
      <c r="D492" s="16">
        <v>83</v>
      </c>
      <c r="E492" s="16">
        <v>102</v>
      </c>
      <c r="F492" s="16">
        <v>111</v>
      </c>
      <c r="G492" s="16">
        <v>163</v>
      </c>
      <c r="H492" s="18">
        <f t="shared" si="30"/>
        <v>459</v>
      </c>
      <c r="I492" s="13"/>
      <c r="J492" s="24"/>
      <c r="K492" s="13"/>
    </row>
    <row r="493" spans="1:12" x14ac:dyDescent="0.25">
      <c r="A493" s="15">
        <v>4540380</v>
      </c>
      <c r="B493" s="13" t="s">
        <v>532</v>
      </c>
      <c r="C493" s="13" t="s">
        <v>533</v>
      </c>
      <c r="D493" s="16">
        <v>134</v>
      </c>
      <c r="E493" s="16">
        <v>191</v>
      </c>
      <c r="F493" s="16">
        <v>114</v>
      </c>
      <c r="G493" s="16">
        <v>154</v>
      </c>
      <c r="H493" s="18">
        <f t="shared" si="30"/>
        <v>593</v>
      </c>
      <c r="I493" s="13"/>
      <c r="J493" s="24"/>
      <c r="K493" s="13"/>
    </row>
    <row r="494" spans="1:12" x14ac:dyDescent="0.25">
      <c r="A494" s="15">
        <v>4540380</v>
      </c>
      <c r="B494" s="13" t="s">
        <v>534</v>
      </c>
      <c r="C494" s="13" t="s">
        <v>533</v>
      </c>
      <c r="D494" s="16">
        <v>63</v>
      </c>
      <c r="E494" s="16">
        <v>20</v>
      </c>
      <c r="F494" s="16">
        <v>20</v>
      </c>
      <c r="G494" s="16">
        <v>20</v>
      </c>
      <c r="H494" s="18">
        <f t="shared" si="30"/>
        <v>123</v>
      </c>
      <c r="I494" s="13"/>
      <c r="J494" s="24"/>
      <c r="K494" s="13"/>
    </row>
    <row r="495" spans="1:12" x14ac:dyDescent="0.25">
      <c r="A495" s="15">
        <v>4540380</v>
      </c>
      <c r="B495" s="13" t="s">
        <v>535</v>
      </c>
      <c r="C495" s="13" t="s">
        <v>533</v>
      </c>
      <c r="D495" s="16">
        <v>75</v>
      </c>
      <c r="E495" s="16">
        <v>73</v>
      </c>
      <c r="F495" s="16">
        <v>78</v>
      </c>
      <c r="G495" s="16">
        <v>72</v>
      </c>
      <c r="H495" s="18">
        <f t="shared" si="30"/>
        <v>298</v>
      </c>
      <c r="I495" s="13"/>
      <c r="J495" s="24"/>
      <c r="K495" s="13"/>
    </row>
    <row r="496" spans="1:12" x14ac:dyDescent="0.25">
      <c r="A496" s="15">
        <v>4540380</v>
      </c>
      <c r="B496" s="13" t="s">
        <v>536</v>
      </c>
      <c r="C496" s="13" t="s">
        <v>537</v>
      </c>
      <c r="D496" s="16">
        <v>4</v>
      </c>
      <c r="E496" s="16">
        <v>5</v>
      </c>
      <c r="F496" s="16">
        <v>3</v>
      </c>
      <c r="G496" s="16">
        <v>3</v>
      </c>
      <c r="H496" s="18">
        <f t="shared" si="30"/>
        <v>15</v>
      </c>
      <c r="I496" s="13"/>
      <c r="J496" s="24"/>
      <c r="K496" s="13"/>
    </row>
    <row r="497" spans="1:12" x14ac:dyDescent="0.25">
      <c r="A497" s="15">
        <v>4540380</v>
      </c>
      <c r="B497" s="13"/>
      <c r="C497" s="13"/>
      <c r="D497" s="13"/>
      <c r="E497" s="13"/>
      <c r="F497" s="13"/>
      <c r="G497" s="13"/>
      <c r="H497" s="18">
        <f t="shared" si="30"/>
        <v>0</v>
      </c>
      <c r="I497" s="18">
        <f>SUM(H491:H497)</f>
        <v>1512</v>
      </c>
      <c r="J497" s="24">
        <f>SUM(I497*1000)/76650</f>
        <v>19.726027397260275</v>
      </c>
      <c r="K497" s="13">
        <v>1326</v>
      </c>
      <c r="L497" s="23">
        <f t="shared" si="29"/>
        <v>17.299412915851271</v>
      </c>
    </row>
    <row r="498" spans="1:12" x14ac:dyDescent="0.25">
      <c r="H498" s="18">
        <f t="shared" si="30"/>
        <v>0</v>
      </c>
    </row>
    <row r="499" spans="1:12" x14ac:dyDescent="0.25">
      <c r="A499" s="15">
        <v>4540385</v>
      </c>
      <c r="B499" s="13" t="s">
        <v>538</v>
      </c>
      <c r="C499" s="13" t="s">
        <v>539</v>
      </c>
      <c r="D499" s="16">
        <v>8</v>
      </c>
      <c r="E499" s="16">
        <v>9</v>
      </c>
      <c r="F499" s="16">
        <v>8</v>
      </c>
      <c r="G499" s="16">
        <v>6</v>
      </c>
      <c r="H499" s="18">
        <f t="shared" si="30"/>
        <v>31</v>
      </c>
      <c r="I499" s="13"/>
      <c r="J499" s="24"/>
      <c r="K499" s="13"/>
    </row>
    <row r="500" spans="1:12" x14ac:dyDescent="0.25">
      <c r="A500" s="15">
        <v>4540385</v>
      </c>
      <c r="B500" s="13" t="s">
        <v>538</v>
      </c>
      <c r="C500" s="13" t="s">
        <v>539</v>
      </c>
      <c r="D500" s="16">
        <v>9</v>
      </c>
      <c r="E500" s="16">
        <v>10</v>
      </c>
      <c r="F500" s="16">
        <v>8</v>
      </c>
      <c r="G500" s="16">
        <v>8</v>
      </c>
      <c r="H500" s="18">
        <f t="shared" si="30"/>
        <v>35</v>
      </c>
      <c r="I500" s="13"/>
      <c r="J500" s="24"/>
      <c r="K500" s="13"/>
    </row>
    <row r="501" spans="1:12" x14ac:dyDescent="0.25">
      <c r="A501" s="15">
        <v>4540385</v>
      </c>
      <c r="B501" s="13" t="s">
        <v>538</v>
      </c>
      <c r="C501" s="13" t="s">
        <v>539</v>
      </c>
      <c r="D501" s="16">
        <v>0</v>
      </c>
      <c r="E501" s="16">
        <v>0</v>
      </c>
      <c r="F501" s="16">
        <v>0</v>
      </c>
      <c r="G501" s="16">
        <v>0</v>
      </c>
      <c r="H501" s="18">
        <f t="shared" si="30"/>
        <v>0</v>
      </c>
      <c r="I501" s="13"/>
      <c r="J501" s="24"/>
      <c r="K501" s="13"/>
    </row>
    <row r="502" spans="1:12" x14ac:dyDescent="0.25">
      <c r="A502" s="15">
        <v>4540385</v>
      </c>
      <c r="B502" s="13" t="s">
        <v>540</v>
      </c>
      <c r="C502" s="13" t="s">
        <v>539</v>
      </c>
      <c r="D502" s="16">
        <v>123</v>
      </c>
      <c r="E502" s="16">
        <v>128</v>
      </c>
      <c r="F502" s="16">
        <v>133</v>
      </c>
      <c r="G502" s="16">
        <v>125</v>
      </c>
      <c r="H502" s="18">
        <f t="shared" si="30"/>
        <v>509</v>
      </c>
      <c r="I502" s="13"/>
      <c r="J502" s="24"/>
      <c r="K502" s="13"/>
    </row>
    <row r="503" spans="1:12" x14ac:dyDescent="0.25">
      <c r="A503" s="15">
        <v>4540385</v>
      </c>
      <c r="B503" s="13" t="s">
        <v>541</v>
      </c>
      <c r="C503" s="13" t="s">
        <v>539</v>
      </c>
      <c r="D503" s="16">
        <v>43</v>
      </c>
      <c r="E503" s="16">
        <v>38</v>
      </c>
      <c r="F503" s="16">
        <v>37</v>
      </c>
      <c r="G503" s="16">
        <v>37</v>
      </c>
      <c r="H503" s="18">
        <f t="shared" si="30"/>
        <v>155</v>
      </c>
      <c r="I503" s="13"/>
      <c r="J503" s="24"/>
      <c r="K503" s="13"/>
    </row>
    <row r="504" spans="1:12" x14ac:dyDescent="0.25">
      <c r="A504" s="15">
        <v>4540385</v>
      </c>
      <c r="B504" s="13" t="s">
        <v>542</v>
      </c>
      <c r="C504" s="13" t="s">
        <v>539</v>
      </c>
      <c r="D504" s="16">
        <v>11</v>
      </c>
      <c r="E504" s="16">
        <v>13</v>
      </c>
      <c r="F504" s="16">
        <v>11</v>
      </c>
      <c r="G504" s="16">
        <v>11</v>
      </c>
      <c r="H504" s="18">
        <f t="shared" si="30"/>
        <v>46</v>
      </c>
      <c r="I504" s="13"/>
      <c r="J504" s="24"/>
      <c r="K504" s="13"/>
    </row>
    <row r="505" spans="1:12" x14ac:dyDescent="0.25">
      <c r="A505" s="15">
        <v>4540385</v>
      </c>
      <c r="B505" s="13" t="s">
        <v>543</v>
      </c>
      <c r="C505" s="13" t="s">
        <v>544</v>
      </c>
      <c r="D505" s="16">
        <v>37</v>
      </c>
      <c r="E505" s="16">
        <v>249</v>
      </c>
      <c r="F505" s="16">
        <v>101</v>
      </c>
      <c r="G505" s="16">
        <v>0</v>
      </c>
      <c r="H505" s="18">
        <f t="shared" si="30"/>
        <v>387</v>
      </c>
      <c r="I505" s="13"/>
      <c r="J505" s="24"/>
      <c r="K505" s="13"/>
    </row>
    <row r="506" spans="1:12" x14ac:dyDescent="0.25">
      <c r="A506" s="15">
        <v>4540385</v>
      </c>
      <c r="B506" s="13"/>
      <c r="C506" s="13"/>
      <c r="D506" s="13"/>
      <c r="E506" s="13"/>
      <c r="F506" s="13"/>
      <c r="G506" s="13"/>
      <c r="H506" s="18">
        <f t="shared" si="30"/>
        <v>0</v>
      </c>
      <c r="I506" s="18">
        <f>SUM(H499:H506)</f>
        <v>1163</v>
      </c>
      <c r="J506" s="24">
        <f>SUM(I506*1000)/76650</f>
        <v>15.172863666014351</v>
      </c>
      <c r="K506" s="13">
        <v>1122</v>
      </c>
      <c r="L506" s="23">
        <f t="shared" si="29"/>
        <v>14.637964774951076</v>
      </c>
    </row>
    <row r="507" spans="1:12" x14ac:dyDescent="0.25">
      <c r="H507" s="18">
        <f t="shared" si="30"/>
        <v>0</v>
      </c>
    </row>
    <row r="508" spans="1:12" x14ac:dyDescent="0.25">
      <c r="A508" s="21">
        <v>4540392</v>
      </c>
      <c r="H508" s="18"/>
      <c r="J508" s="23">
        <v>1</v>
      </c>
      <c r="K508">
        <v>76650</v>
      </c>
      <c r="L508" s="23">
        <v>1</v>
      </c>
    </row>
    <row r="509" spans="1:12" x14ac:dyDescent="0.25">
      <c r="A509" s="21">
        <v>4540394</v>
      </c>
      <c r="H509" s="18"/>
      <c r="I509">
        <v>152</v>
      </c>
      <c r="J509" s="23">
        <f>SUM(I509*1000)/76650</f>
        <v>1.9830397912589692</v>
      </c>
      <c r="K509">
        <v>152</v>
      </c>
      <c r="L509" s="23">
        <f t="shared" si="29"/>
        <v>1.9830397912589692</v>
      </c>
    </row>
    <row r="510" spans="1:12" x14ac:dyDescent="0.25">
      <c r="H510" s="18"/>
    </row>
    <row r="511" spans="1:12" x14ac:dyDescent="0.25">
      <c r="H511" s="18"/>
    </row>
    <row r="512" spans="1:12" x14ac:dyDescent="0.25">
      <c r="A512" s="1">
        <v>4540395</v>
      </c>
      <c r="B512" t="s">
        <v>545</v>
      </c>
      <c r="C512" t="s">
        <v>546</v>
      </c>
      <c r="D512" s="2">
        <v>65</v>
      </c>
      <c r="E512" s="2">
        <v>66</v>
      </c>
      <c r="F512" s="2">
        <v>66</v>
      </c>
      <c r="G512" s="2">
        <v>59</v>
      </c>
      <c r="H512" s="18">
        <f t="shared" si="30"/>
        <v>256</v>
      </c>
      <c r="I512" s="2">
        <v>256</v>
      </c>
      <c r="J512" s="23">
        <f>SUM(I512*1000)/76650</f>
        <v>3.3398564905414219</v>
      </c>
      <c r="K512">
        <v>247</v>
      </c>
      <c r="L512" s="23">
        <f t="shared" si="29"/>
        <v>3.2224396607958252</v>
      </c>
    </row>
    <row r="513" spans="1:12" x14ac:dyDescent="0.25">
      <c r="H513" s="18">
        <f t="shared" si="30"/>
        <v>0</v>
      </c>
    </row>
    <row r="514" spans="1:12" x14ac:dyDescent="0.25">
      <c r="A514" s="1">
        <v>4540401</v>
      </c>
      <c r="B514" t="s">
        <v>547</v>
      </c>
      <c r="C514" t="s">
        <v>548</v>
      </c>
      <c r="D514" s="2">
        <v>491</v>
      </c>
      <c r="E514" s="2">
        <v>528</v>
      </c>
      <c r="F514" s="2">
        <v>433</v>
      </c>
      <c r="G514" s="2">
        <v>362</v>
      </c>
      <c r="H514" s="18">
        <f t="shared" si="30"/>
        <v>1814</v>
      </c>
      <c r="I514" s="2">
        <v>1814</v>
      </c>
      <c r="J514" s="23">
        <f>SUM(I514*1000)/76650</f>
        <v>23.666014350945858</v>
      </c>
      <c r="K514">
        <v>1396</v>
      </c>
      <c r="L514" s="23">
        <f t="shared" si="29"/>
        <v>18.212654924983692</v>
      </c>
    </row>
    <row r="515" spans="1:12" x14ac:dyDescent="0.25">
      <c r="A515" s="1">
        <v>4540411</v>
      </c>
      <c r="B515" t="s">
        <v>549</v>
      </c>
      <c r="C515" t="s">
        <v>550</v>
      </c>
      <c r="D515" s="2">
        <v>7</v>
      </c>
      <c r="E515" s="2">
        <v>7</v>
      </c>
      <c r="F515" s="2">
        <v>10</v>
      </c>
      <c r="G515" s="2">
        <v>0</v>
      </c>
      <c r="H515" s="18">
        <f t="shared" si="30"/>
        <v>24</v>
      </c>
    </row>
    <row r="516" spans="1:12" x14ac:dyDescent="0.25">
      <c r="A516" s="1">
        <v>4540411</v>
      </c>
      <c r="B516" t="s">
        <v>551</v>
      </c>
      <c r="C516" t="s">
        <v>550</v>
      </c>
      <c r="D516" s="2">
        <v>0</v>
      </c>
      <c r="E516" s="2">
        <v>0</v>
      </c>
      <c r="F516" s="2">
        <v>0</v>
      </c>
      <c r="G516" s="2">
        <v>6</v>
      </c>
      <c r="H516" s="18">
        <f t="shared" si="30"/>
        <v>6</v>
      </c>
      <c r="I516" s="3">
        <v>76650</v>
      </c>
      <c r="J516" s="23">
        <v>1</v>
      </c>
      <c r="K516">
        <v>92</v>
      </c>
      <c r="L516" s="23">
        <f t="shared" si="29"/>
        <v>1.2002609262883235</v>
      </c>
    </row>
    <row r="518" spans="1:12" x14ac:dyDescent="0.25">
      <c r="J518" s="23">
        <f>SUM(J2:J516)</f>
        <v>1316.9262883235485</v>
      </c>
      <c r="L518" s="23">
        <f>SUM(L4:L516)</f>
        <v>1281.135029354208</v>
      </c>
    </row>
    <row r="520" spans="1:12" x14ac:dyDescent="0.25">
      <c r="J520" s="23">
        <f>SUM(J518*636.54)</f>
        <v>838276.25956947159</v>
      </c>
      <c r="L520" s="23">
        <f>SUM(L518*615)</f>
        <v>787898.04305283795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Foster</dc:creator>
  <cp:lastModifiedBy>Tim Foster</cp:lastModifiedBy>
  <dcterms:created xsi:type="dcterms:W3CDTF">2023-01-13T16:07:48Z</dcterms:created>
  <dcterms:modified xsi:type="dcterms:W3CDTF">2023-01-23T14:20:27Z</dcterms:modified>
</cp:coreProperties>
</file>