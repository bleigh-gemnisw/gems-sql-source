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ems Source SQL\Conversions\QDS\Winchester\"/>
    </mc:Choice>
  </mc:AlternateContent>
  <xr:revisionPtr revIDLastSave="0" documentId="13_ncr:1_{17191475-CED0-440C-8B50-B138CAD8B99E}" xr6:coauthVersionLast="47" xr6:coauthVersionMax="47" xr10:uidLastSave="{00000000-0000-0000-0000-000000000000}"/>
  <bookViews>
    <workbookView xWindow="8415" yWindow="1290" windowWidth="18000" windowHeight="9360" activeTab="3" xr2:uid="{DE79703C-E24D-4FCF-AA99-DFD0C012C800}"/>
  </bookViews>
  <sheets>
    <sheet name="assess 3.25" sheetId="9" r:id="rId1"/>
    <sheet name="Assess" sheetId="1" r:id="rId2"/>
    <sheet name="15 YEAR BAL" sheetId="8" r:id="rId3"/>
    <sheet name="notes" sheetId="12" r:id="rId4"/>
    <sheet name="Sheet1" sheetId="10" r:id="rId5"/>
    <sheet name="Sheet2" sheetId="11" r:id="rId6"/>
    <sheet name="Collect20" sheetId="2" r:id="rId7"/>
    <sheet name="UB BILLING" sheetId="5" r:id="rId8"/>
    <sheet name="ASSESSMENT" sheetId="3" r:id="rId9"/>
    <sheet name="LEFTTOCONV" sheetId="7" r:id="rId10"/>
    <sheet name="Duplicate assessments" sheetId="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9" l="1"/>
  <c r="G4" i="9"/>
  <c r="G3" i="9"/>
  <c r="I6" i="9"/>
  <c r="H6" i="9"/>
  <c r="J5" i="9"/>
  <c r="J4" i="9"/>
  <c r="J3" i="9"/>
  <c r="J9" i="9"/>
  <c r="J10" i="9"/>
  <c r="J8" i="9"/>
  <c r="K8" i="9" s="1"/>
  <c r="I11" i="9"/>
  <c r="H11" i="9"/>
  <c r="F7" i="2"/>
  <c r="D16" i="8"/>
  <c r="I15" i="8"/>
  <c r="I3" i="8"/>
  <c r="I4" i="8"/>
  <c r="I5" i="8"/>
  <c r="I6" i="8"/>
  <c r="I7" i="8"/>
  <c r="I8" i="8"/>
  <c r="I9" i="8"/>
  <c r="I10" i="8"/>
  <c r="I11" i="8"/>
  <c r="I12" i="8"/>
  <c r="I13" i="8"/>
  <c r="I14" i="8"/>
  <c r="I2" i="8"/>
  <c r="D15" i="8"/>
  <c r="D3" i="8"/>
  <c r="D4" i="8"/>
  <c r="D5" i="8"/>
  <c r="D6" i="8"/>
  <c r="D7" i="8"/>
  <c r="D8" i="8"/>
  <c r="D9" i="8"/>
  <c r="D10" i="8"/>
  <c r="D11" i="8"/>
  <c r="D12" i="8"/>
  <c r="D13" i="8"/>
  <c r="D14" i="8"/>
  <c r="D2" i="8"/>
  <c r="I15" i="1"/>
  <c r="J6" i="1"/>
  <c r="I6" i="1"/>
  <c r="J5" i="1"/>
  <c r="I5" i="1"/>
  <c r="D5" i="1"/>
  <c r="J4" i="1"/>
  <c r="I4" i="1"/>
  <c r="D4" i="1"/>
  <c r="J3" i="1"/>
  <c r="I3" i="1"/>
  <c r="D3" i="1"/>
  <c r="I12" i="1"/>
  <c r="I14" i="1"/>
  <c r="I13" i="1"/>
  <c r="I11" i="1"/>
  <c r="K11" i="2"/>
  <c r="O13" i="2"/>
  <c r="N13" i="2"/>
  <c r="M13" i="2"/>
  <c r="K12" i="2"/>
  <c r="K10" i="2"/>
  <c r="J12" i="2"/>
  <c r="J11" i="2"/>
  <c r="J10" i="2"/>
  <c r="J9" i="2"/>
  <c r="H4" i="2"/>
  <c r="F11" i="2"/>
  <c r="L12" i="2"/>
  <c r="G12" i="2"/>
  <c r="F12" i="2"/>
  <c r="E12" i="2"/>
  <c r="E7" i="2"/>
  <c r="G7" i="2"/>
  <c r="I7" i="2"/>
  <c r="J7" i="2"/>
  <c r="G11" i="2"/>
  <c r="G10" i="2"/>
  <c r="G9" i="2"/>
  <c r="F10" i="2"/>
  <c r="F9" i="2"/>
  <c r="E10" i="2"/>
  <c r="E9" i="2"/>
  <c r="E11" i="2"/>
  <c r="K4" i="2"/>
  <c r="H5" i="2"/>
  <c r="H3" i="2"/>
  <c r="H2" i="2"/>
  <c r="K5" i="2"/>
  <c r="K2" i="2"/>
  <c r="K9" i="2" s="1"/>
  <c r="K3" i="2"/>
  <c r="J15" i="1"/>
  <c r="J14" i="1"/>
  <c r="J13" i="1"/>
  <c r="J11" i="1"/>
  <c r="D14" i="1"/>
  <c r="D13" i="1"/>
  <c r="D12" i="1"/>
  <c r="D11" i="1"/>
  <c r="J6" i="9" l="1"/>
  <c r="J11" i="9"/>
  <c r="H12" i="2"/>
  <c r="K7" i="2"/>
  <c r="H7" i="2"/>
  <c r="L4" i="2"/>
  <c r="L11" i="2" s="1"/>
  <c r="H9" i="2"/>
  <c r="H11" i="2"/>
  <c r="H10" i="2"/>
  <c r="L2" i="2"/>
  <c r="L3" i="2"/>
  <c r="L10" i="2" s="1"/>
  <c r="L9" i="2" l="1"/>
  <c r="L7" i="2"/>
</calcChain>
</file>

<file path=xl/sharedStrings.xml><?xml version="1.0" encoding="utf-8"?>
<sst xmlns="http://schemas.openxmlformats.org/spreadsheetml/2006/main" count="1461" uniqueCount="592">
  <si>
    <t>Motor Vehicle</t>
  </si>
  <si>
    <t>Real Estate</t>
  </si>
  <si>
    <t>Personal Property</t>
  </si>
  <si>
    <t>Suppl MV</t>
  </si>
  <si>
    <t>TBD</t>
  </si>
  <si>
    <t>Diff</t>
  </si>
  <si>
    <t>GEMS Bal</t>
  </si>
  <si>
    <t>Real Estate Exempt</t>
  </si>
  <si>
    <t>GEMS Bal/Net</t>
  </si>
  <si>
    <t>R</t>
  </si>
  <si>
    <t>Payments</t>
  </si>
  <si>
    <t>Adj Payments</t>
  </si>
  <si>
    <t>Billed</t>
  </si>
  <si>
    <t>Adds</t>
  </si>
  <si>
    <t>Del/Refunds</t>
  </si>
  <si>
    <t>Adj Balance</t>
  </si>
  <si>
    <t>Amount Due</t>
  </si>
  <si>
    <t>Ovr/Refunds</t>
  </si>
  <si>
    <t>Interest</t>
  </si>
  <si>
    <t>Fees</t>
  </si>
  <si>
    <t>Liens</t>
  </si>
  <si>
    <t>M</t>
  </si>
  <si>
    <t>P</t>
  </si>
  <si>
    <t>S</t>
  </si>
  <si>
    <t>Starting Bal</t>
  </si>
  <si>
    <t>C/C Adds</t>
  </si>
  <si>
    <t>C/C Reductions</t>
  </si>
  <si>
    <t>Over Payments</t>
  </si>
  <si>
    <t>Ending Bal</t>
  </si>
  <si>
    <t>Total Collect</t>
  </si>
  <si>
    <t>Total</t>
  </si>
  <si>
    <t>Avon Bills</t>
  </si>
  <si>
    <t>GEMS BalSheet</t>
  </si>
  <si>
    <t>X</t>
  </si>
  <si>
    <t>Refunds</t>
  </si>
  <si>
    <t>Gems Exemptions</t>
  </si>
  <si>
    <t>Diff NET</t>
  </si>
  <si>
    <t>Diff Exempts</t>
  </si>
  <si>
    <t xml:space="preserve">A </t>
  </si>
  <si>
    <t>I</t>
  </si>
  <si>
    <t>A</t>
  </si>
  <si>
    <t xml:space="preserve">CRAM SHIRLEY A                     </t>
  </si>
  <si>
    <t xml:space="preserve">                                   </t>
  </si>
  <si>
    <t xml:space="preserve">11 DEEPWOOD DRIVE                  </t>
  </si>
  <si>
    <t xml:space="preserve">AVON                     </t>
  </si>
  <si>
    <t>CT</t>
  </si>
  <si>
    <t xml:space="preserve">DEEPWOOD DRIVE           </t>
  </si>
  <si>
    <t xml:space="preserve"> </t>
  </si>
  <si>
    <t xml:space="preserve">                 </t>
  </si>
  <si>
    <t xml:space="preserve">  </t>
  </si>
  <si>
    <t xml:space="preserve">     </t>
  </si>
  <si>
    <t xml:space="preserve">        </t>
  </si>
  <si>
    <t xml:space="preserve">      </t>
  </si>
  <si>
    <t>C</t>
  </si>
  <si>
    <t xml:space="preserve">   </t>
  </si>
  <si>
    <t xml:space="preserve">Deferred                      </t>
  </si>
  <si>
    <t xml:space="preserve">               </t>
  </si>
  <si>
    <t xml:space="preserve">          </t>
  </si>
  <si>
    <t xml:space="preserve">DONAHUE CHRISTOPHER                </t>
  </si>
  <si>
    <t xml:space="preserve">64 AVONWOOD RD C6                  </t>
  </si>
  <si>
    <t xml:space="preserve">FERNWOOD ROAD            </t>
  </si>
  <si>
    <t>D</t>
  </si>
  <si>
    <t xml:space="preserve">KALL  RUSSELL O                    </t>
  </si>
  <si>
    <t xml:space="preserve">CONNOY MARGARET                    </t>
  </si>
  <si>
    <t xml:space="preserve">97 SECRET LAKE ROAD                </t>
  </si>
  <si>
    <t xml:space="preserve">SECRET LAKE ROAD         </t>
  </si>
  <si>
    <t>K</t>
  </si>
  <si>
    <t>.ACCT</t>
  </si>
  <si>
    <t>ID</t>
  </si>
  <si>
    <t>.BILL</t>
  </si>
  <si>
    <t>TASSESS</t>
  </si>
  <si>
    <t>AINSTAL</t>
  </si>
  <si>
    <t>.VOL</t>
  </si>
  <si>
    <t>.PAGE</t>
  </si>
  <si>
    <t>ASSESSDA</t>
  </si>
  <si>
    <t>TERM</t>
  </si>
  <si>
    <t>INTRA</t>
  </si>
  <si>
    <t>SHED</t>
  </si>
  <si>
    <t>STATUS</t>
  </si>
  <si>
    <t>COMM</t>
  </si>
  <si>
    <t>PPTD</t>
  </si>
  <si>
    <t>IPTD</t>
  </si>
  <si>
    <t>DATEPD</t>
  </si>
  <si>
    <t>PDINT</t>
  </si>
  <si>
    <t>PRINPD</t>
  </si>
  <si>
    <t>NAME</t>
  </si>
  <si>
    <t>SNAME</t>
  </si>
  <si>
    <t>BADDR1</t>
  </si>
  <si>
    <t>BADDR2</t>
  </si>
  <si>
    <t>BCITYST</t>
  </si>
  <si>
    <t>BZIP</t>
  </si>
  <si>
    <t>LIENPD</t>
  </si>
  <si>
    <t>UNPAID</t>
  </si>
  <si>
    <t>"TAXREF.                       "</t>
  </si>
  <si>
    <t>0904210</t>
  </si>
  <si>
    <t>000</t>
  </si>
  <si>
    <t>0000</t>
  </si>
  <si>
    <t>12-30-1981</t>
  </si>
  <si>
    <t>00</t>
  </si>
  <si>
    <t>08-03-1992</t>
  </si>
  <si>
    <t>LORENSEN JON T</t>
  </si>
  <si>
    <t>00360 WEST MAIN STREET</t>
  </si>
  <si>
    <t>31 MOUNTAIN BROOK ROAD</t>
  </si>
  <si>
    <t>NORTH HAVEN  CT</t>
  </si>
  <si>
    <t>06473</t>
  </si>
  <si>
    <t>127</t>
  </si>
  <si>
    <t>0434</t>
  </si>
  <si>
    <t>11</t>
  </si>
  <si>
    <t>RESTAURANT # 795</t>
  </si>
  <si>
    <t>P O BOX 864 WESTBROOK CT  06498</t>
  </si>
  <si>
    <t>1232700</t>
  </si>
  <si>
    <t>0735</t>
  </si>
  <si>
    <t>05-15-2000</t>
  </si>
  <si>
    <t>RICHARDS JACQUELINE</t>
  </si>
  <si>
    <t>00336 WEST MAIN STREET</t>
  </si>
  <si>
    <t>/ALBEMARLE AVON LLC</t>
  </si>
  <si>
    <t>942 MAIN STREET STE 300</t>
  </si>
  <si>
    <t>HARTFORD  CT</t>
  </si>
  <si>
    <t>06103</t>
  </si>
  <si>
    <t>RICHARDS JACQUELINE G</t>
  </si>
  <si>
    <t>942 MAIN STREET, S 300</t>
  </si>
  <si>
    <t>4540265</t>
  </si>
  <si>
    <t>03-18-2008</t>
  </si>
  <si>
    <t>FORTY FOUR ASSOCIATES LTD PTNSHP</t>
  </si>
  <si>
    <t>00265 WEST MAIN STREET</t>
  </si>
  <si>
    <t>16910 BAY STREET</t>
  </si>
  <si>
    <t>JUNIPER  FL</t>
  </si>
  <si>
    <t>33479</t>
  </si>
  <si>
    <t>265</t>
  </si>
  <si>
    <t>1021</t>
  </si>
  <si>
    <t>C/O RYSSEKK SOEEDER'S MGTMT CO</t>
  </si>
  <si>
    <t>297 MAIN AVENUE</t>
  </si>
  <si>
    <t>NORWALK  CT</t>
  </si>
  <si>
    <t>06851</t>
  </si>
  <si>
    <t>DUPLICATES</t>
  </si>
  <si>
    <t>00007 TOWPATH LANE</t>
  </si>
  <si>
    <t>0932900</t>
  </si>
  <si>
    <t>128</t>
  </si>
  <si>
    <t>0662</t>
  </si>
  <si>
    <t>02-03-1992</t>
  </si>
  <si>
    <t>MAHERAS, PANAGIOTIS</t>
  </si>
  <si>
    <t>P.O. BOX 20</t>
  </si>
  <si>
    <t>AVON, CT</t>
  </si>
  <si>
    <t>06001</t>
  </si>
  <si>
    <t>4380007</t>
  </si>
  <si>
    <t>401</t>
  </si>
  <si>
    <t>0064</t>
  </si>
  <si>
    <t>01-07-2004</t>
  </si>
  <si>
    <t>SEVEN TOWPATH LLC</t>
  </si>
  <si>
    <t>296 COUNTRY CLUB ROAD</t>
  </si>
  <si>
    <t>AVON  CT</t>
  </si>
  <si>
    <t>00019 EAST MAIN STREET</t>
  </si>
  <si>
    <t>2140019</t>
  </si>
  <si>
    <t>04-16-2001</t>
  </si>
  <si>
    <t>EAST MAIN STREET ASSOCIATES</t>
  </si>
  <si>
    <t>5 EAST MAIN STREET</t>
  </si>
  <si>
    <t>1209300</t>
  </si>
  <si>
    <t>0359</t>
  </si>
  <si>
    <t>07-31-1993</t>
  </si>
  <si>
    <t>RAVEIS WILLIAM M</t>
  </si>
  <si>
    <t>7 TRAP FALLS ROAD</t>
  </si>
  <si>
    <t>SHELDON  CT</t>
  </si>
  <si>
    <t>06084</t>
  </si>
  <si>
    <t>00029 WEST MAIN STREET</t>
  </si>
  <si>
    <t>0391853</t>
  </si>
  <si>
    <t>06-01-1998</t>
  </si>
  <si>
    <t>DICLEMENTE LORENZO</t>
  </si>
  <si>
    <t>170 HIGHWOOD DRIVE</t>
  </si>
  <si>
    <t>SOUTH GLASTONBURY  CT</t>
  </si>
  <si>
    <t>06073</t>
  </si>
  <si>
    <t>0532800</t>
  </si>
  <si>
    <t>299</t>
  </si>
  <si>
    <t>0202</t>
  </si>
  <si>
    <t>07-11-2089</t>
  </si>
  <si>
    <t>TWENTY NINE WEST MAIN ASSOC</t>
  </si>
  <si>
    <t>SUPP ASSESS PD AS S C #1395</t>
  </si>
  <si>
    <t>00000</t>
  </si>
  <si>
    <t>0436070</t>
  </si>
  <si>
    <t>0431</t>
  </si>
  <si>
    <t>07-27-1993</t>
  </si>
  <si>
    <t>ELIHU REALTY HOLDINGS</t>
  </si>
  <si>
    <t>29 WEST MAIN STREET</t>
  </si>
  <si>
    <t>00035 LAKEVIEW BOULEVARD</t>
  </si>
  <si>
    <t>0334900</t>
  </si>
  <si>
    <t>04-19-1982</t>
  </si>
  <si>
    <t>F</t>
  </si>
  <si>
    <t>CROCKER, SAMUEL L &amp; KAREN M</t>
  </si>
  <si>
    <t>35 LAKEVIEW BOULEVARD</t>
  </si>
  <si>
    <t>0334910</t>
  </si>
  <si>
    <t>361</t>
  </si>
  <si>
    <t>0424</t>
  </si>
  <si>
    <t>CROCKER  KAREN M</t>
  </si>
  <si>
    <t>FORMERLY LAKEVIEW BLVD LOT 2-66</t>
  </si>
  <si>
    <t>00037 WEST MAIN STREET</t>
  </si>
  <si>
    <t>0818010</t>
  </si>
  <si>
    <t>0448</t>
  </si>
  <si>
    <t>10-29-1992</t>
  </si>
  <si>
    <t>KLATT LINDA C</t>
  </si>
  <si>
    <t>P O  BOX 4664</t>
  </si>
  <si>
    <t>HILTON HEAD ISLAND  SC</t>
  </si>
  <si>
    <t>29938</t>
  </si>
  <si>
    <t>0081801</t>
  </si>
  <si>
    <t>01-19-1988</t>
  </si>
  <si>
    <t>P O  BOX 1949</t>
  </si>
  <si>
    <t>PAWLEY ISLAND  S.C.</t>
  </si>
  <si>
    <t>29585</t>
  </si>
  <si>
    <t>00054 EDDY STREET</t>
  </si>
  <si>
    <t>0346550</t>
  </si>
  <si>
    <t>0307</t>
  </si>
  <si>
    <t>12-03-2003</t>
  </si>
  <si>
    <t>DALBON HELGA H</t>
  </si>
  <si>
    <t>247 ROSA ROJO</t>
  </si>
  <si>
    <t>WINTER HAVEN  FL</t>
  </si>
  <si>
    <t>33884</t>
  </si>
  <si>
    <t>2170054</t>
  </si>
  <si>
    <t>09-03-2013</t>
  </si>
  <si>
    <t>AVON HOLDINGS LLC</t>
  </si>
  <si>
    <t>/ZP GROUP LLC</t>
  </si>
  <si>
    <t>PO BOX 270754</t>
  </si>
  <si>
    <t>WEST HARTFORD CT</t>
  </si>
  <si>
    <t>06127</t>
  </si>
  <si>
    <t>00183 WEST MAIN STREET</t>
  </si>
  <si>
    <t>1513751</t>
  </si>
  <si>
    <t>11-16-1987</t>
  </si>
  <si>
    <t>VIEIRA ALBERT</t>
  </si>
  <si>
    <t>183 WEST MAIN STREET</t>
  </si>
  <si>
    <t>1513750</t>
  </si>
  <si>
    <t>0235</t>
  </si>
  <si>
    <t>08-02-1993</t>
  </si>
  <si>
    <t>VIEIRA ALBERT &amp; CARMELA</t>
  </si>
  <si>
    <t>00195 WEST MAIN STREET</t>
  </si>
  <si>
    <t>1287701</t>
  </si>
  <si>
    <t>11-14-1997</t>
  </si>
  <si>
    <t>RUTENBERG GIDEON TRUSTEE</t>
  </si>
  <si>
    <t>C/O RUBI MANAGEMENT</t>
  </si>
  <si>
    <t>195 WEST MAIN STREET</t>
  </si>
  <si>
    <t>1287700</t>
  </si>
  <si>
    <t>0441</t>
  </si>
  <si>
    <t>00205 WEST MAIN STREET</t>
  </si>
  <si>
    <t>4540205</t>
  </si>
  <si>
    <t>486</t>
  </si>
  <si>
    <t>1163</t>
  </si>
  <si>
    <t>08-16-2004</t>
  </si>
  <si>
    <t>FOUR SQUARE ASSOC INC</t>
  </si>
  <si>
    <t>/ROYAL PLAZA ASSOCIATES</t>
  </si>
  <si>
    <t>1281110</t>
  </si>
  <si>
    <t>0429</t>
  </si>
  <si>
    <t>RUDDER, DONALD &amp; ANNE</t>
  </si>
  <si>
    <t>121 PINE HILL ROAD</t>
  </si>
  <si>
    <t>00210 WEST MAIN STREET</t>
  </si>
  <si>
    <t>0954000</t>
  </si>
  <si>
    <t>0440</t>
  </si>
  <si>
    <t>MARTINO, JOSEPH A &amp; MARY H</t>
  </si>
  <si>
    <t>HIGHFIELDS DRIVE</t>
  </si>
  <si>
    <t>CANTON, CT</t>
  </si>
  <si>
    <t>06019</t>
  </si>
  <si>
    <t>0954001</t>
  </si>
  <si>
    <t>06-24-1983</t>
  </si>
  <si>
    <t>MARTINO JOSEPH ET AL</t>
  </si>
  <si>
    <t>CANTON CT</t>
  </si>
  <si>
    <t>00214 WEST MAIN STREET</t>
  </si>
  <si>
    <t>1275000</t>
  </si>
  <si>
    <t>0445</t>
  </si>
  <si>
    <t>ROUNSEVILLE, ROY H</t>
  </si>
  <si>
    <t>6434 BRANDYWINE CT. APT.108</t>
  </si>
  <si>
    <t>STUART, FL.</t>
  </si>
  <si>
    <t>33497</t>
  </si>
  <si>
    <t>1275001</t>
  </si>
  <si>
    <t>ROUNSEVILLE ROY H</t>
  </si>
  <si>
    <t>%CHARITABLE REMAINDER UNIT TR</t>
  </si>
  <si>
    <t>5381 BURNING TREE CIRCLE</t>
  </si>
  <si>
    <t>STUART FL</t>
  </si>
  <si>
    <t>34997</t>
  </si>
  <si>
    <t>00224 WEST MAIN STREET</t>
  </si>
  <si>
    <t>0398666</t>
  </si>
  <si>
    <t>Y</t>
  </si>
  <si>
    <t>03-13-1995</t>
  </si>
  <si>
    <t>DOLINSKY REALITY CORP</t>
  </si>
  <si>
    <t>P O BOX 999</t>
  </si>
  <si>
    <t>WINSTED  CT</t>
  </si>
  <si>
    <t>06098</t>
  </si>
  <si>
    <t>0398665</t>
  </si>
  <si>
    <t>0239</t>
  </si>
  <si>
    <t>01-28-1992</t>
  </si>
  <si>
    <t>DOLINSKY REALTY CORP.</t>
  </si>
  <si>
    <t>22 ROWLEY STREET</t>
  </si>
  <si>
    <t>P.O. BOX 270</t>
  </si>
  <si>
    <t>WINSTED, CT</t>
  </si>
  <si>
    <t>00225 WEST MAIN STREET</t>
  </si>
  <si>
    <t>0460802</t>
  </si>
  <si>
    <t>06-09-1994</t>
  </si>
  <si>
    <t>08-02-1994</t>
  </si>
  <si>
    <t>FAZIO/PERRY RESTAURANT GROUP</t>
  </si>
  <si>
    <t>1908 SHELBURNE</t>
  </si>
  <si>
    <t>SHELBURNE  VT</t>
  </si>
  <si>
    <t>05482</t>
  </si>
  <si>
    <t>0460800</t>
  </si>
  <si>
    <t>0733</t>
  </si>
  <si>
    <t>FAZIO, JAMES V JR</t>
  </si>
  <si>
    <t>C/O J COPPERFIELD, INC</t>
  </si>
  <si>
    <t>225 WEST MAIN STREET</t>
  </si>
  <si>
    <t>0460801</t>
  </si>
  <si>
    <t>12-29-1987</t>
  </si>
  <si>
    <t>FAZIO JAMES V JR</t>
  </si>
  <si>
    <t>%J COPPERFIELD INC</t>
  </si>
  <si>
    <t>00240 WEST MAIN STREET</t>
  </si>
  <si>
    <t>0979100</t>
  </si>
  <si>
    <t>0439</t>
  </si>
  <si>
    <t>01-06-1983</t>
  </si>
  <si>
    <t>MCILVEEN MARGARET T</t>
  </si>
  <si>
    <t>3 VALLEY VIEW ROAD</t>
  </si>
  <si>
    <t>SIMSBURY, CT</t>
  </si>
  <si>
    <t>06070</t>
  </si>
  <si>
    <t>1428035</t>
  </si>
  <si>
    <t>10-03-1997</t>
  </si>
  <si>
    <t>SUNSET OF AVON II LLC</t>
  </si>
  <si>
    <t>28 NORTH MAIN STREET</t>
  </si>
  <si>
    <t>WEST HARTFORD  CT</t>
  </si>
  <si>
    <t>06107</t>
  </si>
  <si>
    <t>00255 WEST MAIN STREET</t>
  </si>
  <si>
    <t>0781001</t>
  </si>
  <si>
    <t>0436</t>
  </si>
  <si>
    <t>01</t>
  </si>
  <si>
    <t>JUSTER HOWARD,ANN &amp; GARY</t>
  </si>
  <si>
    <t>P O  BOX 365</t>
  </si>
  <si>
    <t>YONKERS NY</t>
  </si>
  <si>
    <t>10704</t>
  </si>
  <si>
    <t>4540255</t>
  </si>
  <si>
    <t>355</t>
  </si>
  <si>
    <t>0783</t>
  </si>
  <si>
    <t>11-05-2002</t>
  </si>
  <si>
    <t>TWO FIFTY FIVE WEST MAIN LLC</t>
  </si>
  <si>
    <t>C/O BIG Y-REAL ESTATE DEPT</t>
  </si>
  <si>
    <t>*PO BOX 7840</t>
  </si>
  <si>
    <t>SPRINGFIELD MA</t>
  </si>
  <si>
    <t>01102</t>
  </si>
  <si>
    <t>0781000</t>
  </si>
  <si>
    <t>04-11-1996</t>
  </si>
  <si>
    <t>00260 WEST MAIN STREET</t>
  </si>
  <si>
    <t>1428010</t>
  </si>
  <si>
    <t>01-23-1995</t>
  </si>
  <si>
    <t>SUNSET OF AVON LTD</t>
  </si>
  <si>
    <t>WEST HARTFORD</t>
  </si>
  <si>
    <t>0240300</t>
  </si>
  <si>
    <t>12-06-1993</t>
  </si>
  <si>
    <t>C&amp;M PARTNERS</t>
  </si>
  <si>
    <t>FORMERLY 254-260 WEST MAIN STREE</t>
  </si>
  <si>
    <t>P.O. BOX 525</t>
  </si>
  <si>
    <t>0240320</t>
  </si>
  <si>
    <t>C &amp; M / SUNSET OF AVON</t>
  </si>
  <si>
    <t>C/O EDWARD ROSENFIELD</t>
  </si>
  <si>
    <t>0418400</t>
  </si>
  <si>
    <t>0432</t>
  </si>
  <si>
    <t>DRUBNER, NORMAN S TRUSTEE</t>
  </si>
  <si>
    <t>P.O. BOX 346</t>
  </si>
  <si>
    <t>WATERBURY, CT</t>
  </si>
  <si>
    <t>06720</t>
  </si>
  <si>
    <t>00290 WEST MAIN STREET</t>
  </si>
  <si>
    <t>1475250</t>
  </si>
  <si>
    <t>07-15-1993</t>
  </si>
  <si>
    <t>THREE I. S. ASSOCIATES</t>
  </si>
  <si>
    <t>FORMERLY WEST MAIN STREET L 40</t>
  </si>
  <si>
    <t>P O BOX 1201</t>
  </si>
  <si>
    <t>AVON CT</t>
  </si>
  <si>
    <t>1475251</t>
  </si>
  <si>
    <t>01-06-1988</t>
  </si>
  <si>
    <t>THE THREE I.S. ASSOCIATES</t>
  </si>
  <si>
    <t>P O  BOX 1201</t>
  </si>
  <si>
    <t>00300 WEST MAIN STREET</t>
  </si>
  <si>
    <t>1212501</t>
  </si>
  <si>
    <t>REALTEX</t>
  </si>
  <si>
    <t>300 WEST MAIN STREET</t>
  </si>
  <si>
    <t>1212500</t>
  </si>
  <si>
    <t>0444</t>
  </si>
  <si>
    <t>10-12-1993</t>
  </si>
  <si>
    <t>00310 WEST MAIN STREET</t>
  </si>
  <si>
    <t>1475201</t>
  </si>
  <si>
    <t>THREE HUNDRED GROUP, THE</t>
  </si>
  <si>
    <t>310 WEST MAIN STREET</t>
  </si>
  <si>
    <t>1475202</t>
  </si>
  <si>
    <t>03-19-1986</t>
  </si>
  <si>
    <t>THREE HUNDRED GROUP THE</t>
  </si>
  <si>
    <t>AVON,  CT.</t>
  </si>
  <si>
    <t>00315 WEST MAIN STREET</t>
  </si>
  <si>
    <t>0274225</t>
  </si>
  <si>
    <t>CAVALIER KEVIN M &amp; KATHLEEN B</t>
  </si>
  <si>
    <t>FORMERLY 287 &amp; 291 WEST MAIN ST</t>
  </si>
  <si>
    <t>10 SELDEN HILL ROAD</t>
  </si>
  <si>
    <t>WEST HARTFORD, CT</t>
  </si>
  <si>
    <t>1106501</t>
  </si>
  <si>
    <t>10-08-1998</t>
  </si>
  <si>
    <t>10-09-1998</t>
  </si>
  <si>
    <t>OLD FARMS REALTY INC/NOD BROOK</t>
  </si>
  <si>
    <t>C/O MIDWOOD MANAGEMENT CORP</t>
  </si>
  <si>
    <t>60 E 42ND ST, SUITE 1814</t>
  </si>
  <si>
    <t>NEW YORK, N Y</t>
  </si>
  <si>
    <t>10165</t>
  </si>
  <si>
    <t>1106500</t>
  </si>
  <si>
    <t>0742</t>
  </si>
  <si>
    <t>07-06-1993</t>
  </si>
  <si>
    <t>OLD FARMS REALTY, INC</t>
  </si>
  <si>
    <t>C/O DAY BERRY &amp; HOWARD</t>
  </si>
  <si>
    <t>CITY PLACE</t>
  </si>
  <si>
    <t>00332 WEST MAIN STREET</t>
  </si>
  <si>
    <t>0210425</t>
  </si>
  <si>
    <t>0228</t>
  </si>
  <si>
    <t>04-03-1997</t>
  </si>
  <si>
    <t>BUCHBINDER, STEVEN</t>
  </si>
  <si>
    <t>332 WEST MAIN STREET</t>
  </si>
  <si>
    <t>4540332</t>
  </si>
  <si>
    <t>325</t>
  </si>
  <si>
    <t>0481</t>
  </si>
  <si>
    <t>08-01-2005</t>
  </si>
  <si>
    <t>GDK  LLC</t>
  </si>
  <si>
    <t>1 HIGHWOOD ROAD</t>
  </si>
  <si>
    <t>SIMSBURY  CT</t>
  </si>
  <si>
    <t>4540336</t>
  </si>
  <si>
    <t>11-07-2001</t>
  </si>
  <si>
    <t>ALBRMARLE AVON  LLC</t>
  </si>
  <si>
    <t>942 MAIN STREET, STE 300</t>
  </si>
  <si>
    <t>HARTFORD CT</t>
  </si>
  <si>
    <t>00353 WEST MAIN STREET</t>
  </si>
  <si>
    <t>0548201</t>
  </si>
  <si>
    <t>08-27-1986</t>
  </si>
  <si>
    <t>GOLD-BORG ASSOCIATES</t>
  </si>
  <si>
    <t>P O BOX 945</t>
  </si>
  <si>
    <t>FARMINGTON CT</t>
  </si>
  <si>
    <t>06034</t>
  </si>
  <si>
    <t>0548200</t>
  </si>
  <si>
    <t>0435</t>
  </si>
  <si>
    <t>07-21-1993</t>
  </si>
  <si>
    <t>PO BOX 945</t>
  </si>
  <si>
    <t>FARMINGTON, CT</t>
  </si>
  <si>
    <t>00375 WEST MAIN STREET</t>
  </si>
  <si>
    <t>0665650</t>
  </si>
  <si>
    <t>HOFFMAN, BURTON C</t>
  </si>
  <si>
    <t>385 WEST MAIN STREET</t>
  </si>
  <si>
    <t>0665651</t>
  </si>
  <si>
    <t>HOFFMAN BURTON C</t>
  </si>
  <si>
    <t>00380 WEST MAIN STREET</t>
  </si>
  <si>
    <t>4540380</t>
  </si>
  <si>
    <t>10-17-2001</t>
  </si>
  <si>
    <t>WALTMAN A ASSOC LTD ET AL</t>
  </si>
  <si>
    <t>C/O DAVID ADAM REALTY</t>
  </si>
  <si>
    <t>61 WILTON ROAD</t>
  </si>
  <si>
    <t>WESTPORT  CT</t>
  </si>
  <si>
    <t>06880</t>
  </si>
  <si>
    <t>0904201</t>
  </si>
  <si>
    <t>166</t>
  </si>
  <si>
    <t>0485</t>
  </si>
  <si>
    <t>12-30-1993</t>
  </si>
  <si>
    <t>P O BOX 864</t>
  </si>
  <si>
    <t>WESTBROOK CT</t>
  </si>
  <si>
    <t>06498</t>
  </si>
  <si>
    <t>00385 WEST MAIN STREET</t>
  </si>
  <si>
    <t>0665600</t>
  </si>
  <si>
    <t>0725</t>
  </si>
  <si>
    <t>02-05-1987</t>
  </si>
  <si>
    <t>4540385</t>
  </si>
  <si>
    <t>01-10-2017</t>
  </si>
  <si>
    <t>SHOPS AT DALE CORNER  LLC</t>
  </si>
  <si>
    <t>C/O HOFFMAN ENTERPRISES</t>
  </si>
  <si>
    <t>700 CONNECTICUT BLVD</t>
  </si>
  <si>
    <t>EAST HARTFORD  CT</t>
  </si>
  <si>
    <t>06108</t>
  </si>
  <si>
    <t>00406 HUCKLEBERRY HILL ROAD</t>
  </si>
  <si>
    <t>2810406</t>
  </si>
  <si>
    <t>06-18-2021</t>
  </si>
  <si>
    <t>ROBIN WHITTMORE</t>
  </si>
  <si>
    <t>406 HUCKLEBERRY HILL ROAD</t>
  </si>
  <si>
    <t>0810406</t>
  </si>
  <si>
    <t>UB BILLING</t>
  </si>
  <si>
    <t>ACCTS  4145</t>
  </si>
  <si>
    <t>Larry has been running his own totals</t>
  </si>
  <si>
    <t>We need to decide on who maintains accts and changes</t>
  </si>
  <si>
    <t xml:space="preserve">ub  to have a field for NBR  ETC talk </t>
  </si>
  <si>
    <t>LEFT TO DO  for Conversion</t>
  </si>
  <si>
    <t>DONE</t>
  </si>
  <si>
    <t>Assessor  TXREAL/PP /MV  are done waiting on CC and ELDLY</t>
  </si>
  <si>
    <t>UB   Larry to see what is next</t>
  </si>
  <si>
    <t xml:space="preserve">Assessments Halary Billed her 4/1… </t>
  </si>
  <si>
    <t>NBHD</t>
  </si>
  <si>
    <t xml:space="preserve">N_DESC                        </t>
  </si>
  <si>
    <t>AP</t>
  </si>
  <si>
    <t xml:space="preserve">AVON PLACE                    </t>
  </si>
  <si>
    <t>AR</t>
  </si>
  <si>
    <t xml:space="preserve">AVONRIDGE                     </t>
  </si>
  <si>
    <t>BH</t>
  </si>
  <si>
    <t xml:space="preserve">BUCKINGHAM HERITAGE           </t>
  </si>
  <si>
    <t>BV</t>
  </si>
  <si>
    <t xml:space="preserve">BUCKINGHAM VILLAGE            </t>
  </si>
  <si>
    <t>FM</t>
  </si>
  <si>
    <t xml:space="preserve">FOREST MEWS                   </t>
  </si>
  <si>
    <t>FW</t>
  </si>
  <si>
    <t xml:space="preserve">FARMINGTON WOODS              </t>
  </si>
  <si>
    <t>HR</t>
  </si>
  <si>
    <t xml:space="preserve">HUNTER'S RUN                  </t>
  </si>
  <si>
    <t>LV</t>
  </si>
  <si>
    <t xml:space="preserve">LAKEVIEW                      </t>
  </si>
  <si>
    <t>PP</t>
  </si>
  <si>
    <t xml:space="preserve">POND PLACE                    </t>
  </si>
  <si>
    <t>RM</t>
  </si>
  <si>
    <t xml:space="preserve">RIVER MEAD                    </t>
  </si>
  <si>
    <t>SL</t>
  </si>
  <si>
    <t xml:space="preserve">SECRET LAKE                   </t>
  </si>
  <si>
    <t>SM</t>
  </si>
  <si>
    <t xml:space="preserve">SPRING MEADOW                 </t>
  </si>
  <si>
    <t>SP</t>
  </si>
  <si>
    <t xml:space="preserve">SCONSETT POINT                </t>
  </si>
  <si>
    <t>TP</t>
  </si>
  <si>
    <t xml:space="preserve">TOWPATH                       </t>
  </si>
  <si>
    <t>AVON</t>
  </si>
  <si>
    <t>GEMS</t>
  </si>
  <si>
    <t>Totals match File given to us</t>
  </si>
  <si>
    <t>C Of C's they only have one file</t>
  </si>
  <si>
    <t xml:space="preserve">baa fixed acct 2090385 </t>
  </si>
  <si>
    <t>List of Batch jobs to Ken/COOPPSYS sent</t>
  </si>
  <si>
    <t>bank codes</t>
  </si>
  <si>
    <t>leasing</t>
  </si>
  <si>
    <t>Elderly local elderly only 500 off  ta601</t>
  </si>
  <si>
    <t>connection form</t>
  </si>
  <si>
    <t>MISC program Halaree collecting</t>
  </si>
  <si>
    <t>STARTING BAL</t>
  </si>
  <si>
    <t>gems</t>
  </si>
  <si>
    <t>avon</t>
  </si>
  <si>
    <t>DIFF</t>
  </si>
  <si>
    <t>CCADD</t>
  </si>
  <si>
    <t>STARTING</t>
  </si>
  <si>
    <t>ENDING</t>
  </si>
  <si>
    <t>LOOK UP ACCT</t>
  </si>
  <si>
    <t>INTEREST gems</t>
  </si>
  <si>
    <t>AVON interest</t>
  </si>
  <si>
    <t>PY AVON</t>
  </si>
  <si>
    <t>PY GEMS</t>
  </si>
  <si>
    <t>FEES</t>
  </si>
  <si>
    <t>2021 S</t>
  </si>
  <si>
    <t>UB READINGS PRIOR YEAR</t>
  </si>
  <si>
    <t>UB202 put total on last page</t>
  </si>
  <si>
    <t>UB210 LIST#    ####### on report</t>
  </si>
  <si>
    <t xml:space="preserve">UB502  (list# looks cut off) </t>
  </si>
  <si>
    <t>TX304 LIEN NOTICE  #### LIST#</t>
  </si>
  <si>
    <t>TX302* statements   Grand year####</t>
  </si>
  <si>
    <t>tx302DEMANDS   GRAND YEAR####</t>
  </si>
  <si>
    <t xml:space="preserve"> TX302  WARRANTS LIST# cut off </t>
  </si>
  <si>
    <t>TAX FORM INFO collector and UB</t>
  </si>
  <si>
    <t>PROFILE ASK MARK   A   all we have is 2023</t>
  </si>
  <si>
    <t>PROFILE UB  I set up 2020 2021 2022???</t>
  </si>
  <si>
    <t>ENDORSEMENT INFO COLLECTOR</t>
  </si>
  <si>
    <t>FEE CODES TALK WITH HALAREE</t>
  </si>
  <si>
    <t>MARK LIENED ACCOUNTS??????</t>
  </si>
  <si>
    <t>GEMS CONTROL FILE   empty</t>
  </si>
  <si>
    <t>TA9******  extracts list#?? 6</t>
  </si>
  <si>
    <t>TXMVD   NO LOCATION</t>
  </si>
  <si>
    <t xml:space="preserve">TXE05  NEED REFRESH I HAVE TO GET OUT </t>
  </si>
  <si>
    <t>SUSPENSE??? No payments txe05</t>
  </si>
  <si>
    <t>FINANCE BRIDGE I have in temp a file</t>
  </si>
  <si>
    <t>PARCEL.TXT  bridge set up feb throuh baa manual</t>
  </si>
  <si>
    <t>FILES TO EXPLAIN TO TOWN</t>
  </si>
  <si>
    <t>UPDATE SOLD PROPERTIES  UB431</t>
  </si>
  <si>
    <t>IMPORT PARCEL  CAMA TAC01</t>
  </si>
  <si>
    <t>IMPORT ELDERLY  CUSTOM ta601</t>
  </si>
  <si>
    <t>IMPORT FOR READINGS UB306</t>
  </si>
  <si>
    <t>IMPORT FOR DEDUCTS UB307</t>
  </si>
  <si>
    <t>Wisted GL 2022</t>
  </si>
  <si>
    <t>winsted GL 2021</t>
  </si>
  <si>
    <t>lis#80075 B&amp;D</t>
  </si>
  <si>
    <t>Wins Accts</t>
  </si>
  <si>
    <t>Wins Exemptions</t>
  </si>
  <si>
    <t xml:space="preserve">Wins Bal/G/Net   </t>
  </si>
  <si>
    <t>Wins Bal/G/Net</t>
  </si>
  <si>
    <t>Gems
Gross</t>
  </si>
  <si>
    <t>GEMS
Exempt</t>
  </si>
  <si>
    <t>GEMS
NET</t>
  </si>
  <si>
    <t>Winstead QDS
Gross</t>
  </si>
  <si>
    <t>Winstead QDS
Exempt</t>
  </si>
  <si>
    <t>Winstead QDS
Net</t>
  </si>
  <si>
    <t>Fix acct 402164(exempt)</t>
  </si>
  <si>
    <t>Net difference</t>
  </si>
  <si>
    <t>MV</t>
  </si>
  <si>
    <t>review exempt</t>
  </si>
  <si>
    <t>NOTES</t>
  </si>
  <si>
    <t>insert into gemsqds..utcustrt select * from gemswin..utcustrt where crtype='A'</t>
  </si>
  <si>
    <t xml:space="preserve">update utcustas set capno=b.capno from utcustas as a left join gemswin..utcustas as b on a.caacct=b.caacct </t>
  </si>
  <si>
    <t>402164  fix pprp and pprpc  u(5583185   5583185</t>
  </si>
  <si>
    <t>net is 11596190-11166370=429820</t>
  </si>
  <si>
    <t xml:space="preserve">comments notes </t>
  </si>
  <si>
    <t>Assessments GEMSWIN data then update last 2 year manually (TXINV/TXHST)</t>
  </si>
  <si>
    <t>P 2016  RZ  PAINTING\\\</t>
  </si>
  <si>
    <t>exemption with 9999999  for PP manual fix after conversion</t>
  </si>
  <si>
    <t>supplemental is not done yet</t>
  </si>
  <si>
    <t>all grandlist for 2023 run frozen 2023 to get balanced</t>
  </si>
  <si>
    <t>RE/PP/MV/SU Archive copy data from GEMSWIN for years 2020 and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</si>
</sst>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4" fontId="0" fillId="0" borderId="0" xfId="0" applyNumberFormat="1"/>
    <xf numFmtId="4" fontId="2" fillId="0" borderId="0" xfId="0" applyNumberFormat="1" applyFont="1"/>
    <xf numFmtId="3" fontId="0" fillId="0" borderId="0" xfId="0" applyNumberFormat="1"/>
    <xf numFmtId="3" fontId="2" fillId="0" borderId="0" xfId="0" applyNumberFormat="1" applyFont="1"/>
    <xf numFmtId="3" fontId="0" fillId="0" borderId="0" xfId="1" applyNumberFormat="1" applyFont="1"/>
    <xf numFmtId="4" fontId="3" fillId="0" borderId="0" xfId="0" applyNumberFormat="1" applyFont="1"/>
    <xf numFmtId="4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2" borderId="0" xfId="0" applyFill="1"/>
    <xf numFmtId="2" fontId="0" fillId="0" borderId="0" xfId="0" applyNumberFormat="1"/>
    <xf numFmtId="0" fontId="4" fillId="0" borderId="0" xfId="0" applyFont="1"/>
    <xf numFmtId="3" fontId="0" fillId="2" borderId="0" xfId="0" applyNumberFormat="1" applyFill="1"/>
    <xf numFmtId="4" fontId="0" fillId="2" borderId="0" xfId="0" applyNumberFormat="1" applyFill="1"/>
    <xf numFmtId="3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164" fontId="0" fillId="0" borderId="0" xfId="0" applyNumberFormat="1"/>
    <xf numFmtId="0" fontId="2" fillId="0" borderId="0" xfId="0" applyFon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C93B-7530-492A-9AFB-860B974AC78D}">
  <dimension ref="A2:L18"/>
  <sheetViews>
    <sheetView workbookViewId="0">
      <selection activeCell="G15" sqref="G15"/>
    </sheetView>
  </sheetViews>
  <sheetFormatPr defaultRowHeight="15" x14ac:dyDescent="0.25"/>
  <cols>
    <col min="1" max="1" width="19" customWidth="1"/>
    <col min="2" max="2" width="10.140625" style="4" customWidth="1"/>
    <col min="3" max="3" width="12.28515625" style="4" customWidth="1"/>
    <col min="4" max="4" width="5.140625" style="4" customWidth="1"/>
    <col min="5" max="5" width="17.140625" style="2" customWidth="1"/>
    <col min="6" max="7" width="15.85546875" customWidth="1"/>
    <col min="8" max="8" width="16.42578125" style="4" customWidth="1"/>
    <col min="9" max="9" width="18.140625" style="2" customWidth="1"/>
    <col min="10" max="10" width="16" customWidth="1"/>
    <col min="11" max="11" width="13.85546875" customWidth="1"/>
    <col min="12" max="12" width="12.5703125" customWidth="1"/>
  </cols>
  <sheetData>
    <row r="2" spans="1:12" ht="30" x14ac:dyDescent="0.25">
      <c r="A2" s="1">
        <v>2023</v>
      </c>
      <c r="B2" s="5" t="s">
        <v>47</v>
      </c>
      <c r="C2" s="5" t="s">
        <v>47</v>
      </c>
      <c r="D2" s="5" t="s">
        <v>5</v>
      </c>
      <c r="E2" s="16" t="s">
        <v>570</v>
      </c>
      <c r="F2" s="18" t="s">
        <v>571</v>
      </c>
      <c r="G2" s="18" t="s">
        <v>572</v>
      </c>
      <c r="H2" s="15" t="s">
        <v>573</v>
      </c>
      <c r="I2" s="16" t="s">
        <v>574</v>
      </c>
      <c r="J2" s="18" t="s">
        <v>575</v>
      </c>
      <c r="K2" s="1" t="s">
        <v>577</v>
      </c>
    </row>
    <row r="3" spans="1:12" x14ac:dyDescent="0.25">
      <c r="A3" t="s">
        <v>1</v>
      </c>
      <c r="B3" s="6" t="s">
        <v>47</v>
      </c>
      <c r="C3" s="4" t="s">
        <v>47</v>
      </c>
      <c r="E3" s="17">
        <v>875643445</v>
      </c>
      <c r="F3" s="4">
        <v>1223570</v>
      </c>
      <c r="G3" s="4">
        <f>SUM(E3-F3)</f>
        <v>874419875</v>
      </c>
      <c r="H3" s="17">
        <v>875643445</v>
      </c>
      <c r="I3" s="4">
        <v>1223570</v>
      </c>
      <c r="J3" s="4">
        <f>SUM(H3-I3)</f>
        <v>874419875</v>
      </c>
      <c r="K3" s="4"/>
    </row>
    <row r="4" spans="1:12" x14ac:dyDescent="0.25">
      <c r="A4" t="s">
        <v>0</v>
      </c>
      <c r="B4" s="4" t="s">
        <v>47</v>
      </c>
      <c r="C4" s="4" t="s">
        <v>47</v>
      </c>
      <c r="E4" s="17">
        <v>97762236</v>
      </c>
      <c r="F4" s="4">
        <v>2165390</v>
      </c>
      <c r="G4" s="4">
        <f t="shared" ref="G4" si="0">SUM(E4-F4)</f>
        <v>95596846</v>
      </c>
      <c r="H4" s="17">
        <v>97762236</v>
      </c>
      <c r="I4" s="4">
        <v>2165390</v>
      </c>
      <c r="J4" s="4">
        <f t="shared" ref="J4:J5" si="1">SUM(H4-I4)</f>
        <v>95596846</v>
      </c>
      <c r="K4" s="4"/>
      <c r="L4" t="s">
        <v>47</v>
      </c>
    </row>
    <row r="5" spans="1:12" x14ac:dyDescent="0.25">
      <c r="A5" t="s">
        <v>2</v>
      </c>
      <c r="B5" s="6" t="s">
        <v>47</v>
      </c>
      <c r="C5" s="4" t="s">
        <v>47</v>
      </c>
      <c r="E5" s="17">
        <v>90942147</v>
      </c>
      <c r="F5" s="4"/>
      <c r="G5" s="4"/>
      <c r="H5" s="17">
        <v>90942147</v>
      </c>
      <c r="I5" s="4">
        <v>30963309</v>
      </c>
      <c r="J5" s="4">
        <f t="shared" si="1"/>
        <v>59978838</v>
      </c>
      <c r="K5" s="4" t="s">
        <v>576</v>
      </c>
    </row>
    <row r="6" spans="1:12" x14ac:dyDescent="0.25">
      <c r="E6" s="17"/>
      <c r="F6" s="4"/>
      <c r="G6" s="4"/>
      <c r="H6" s="17">
        <f>SUM(H3:H5)</f>
        <v>1064347828</v>
      </c>
      <c r="I6" s="4">
        <f>SUM(I3:I5)</f>
        <v>34352269</v>
      </c>
      <c r="J6" s="4">
        <f>SUM(H6-I6)</f>
        <v>1029995559</v>
      </c>
      <c r="K6" s="4"/>
    </row>
    <row r="7" spans="1:12" ht="30" x14ac:dyDescent="0.25">
      <c r="A7" s="1">
        <v>2022</v>
      </c>
      <c r="D7" s="5" t="s">
        <v>5</v>
      </c>
      <c r="E7" s="16" t="s">
        <v>570</v>
      </c>
      <c r="F7" s="18" t="s">
        <v>571</v>
      </c>
      <c r="G7" s="18" t="s">
        <v>572</v>
      </c>
      <c r="H7" s="15" t="s">
        <v>573</v>
      </c>
      <c r="I7" s="16" t="s">
        <v>574</v>
      </c>
      <c r="J7" s="18" t="s">
        <v>575</v>
      </c>
      <c r="K7" s="1" t="s">
        <v>577</v>
      </c>
    </row>
    <row r="8" spans="1:12" x14ac:dyDescent="0.25">
      <c r="A8" t="s">
        <v>1</v>
      </c>
      <c r="E8" s="2">
        <v>884771690</v>
      </c>
      <c r="F8">
        <v>1181605</v>
      </c>
      <c r="G8">
        <v>883601085</v>
      </c>
      <c r="H8" s="17">
        <v>884894820</v>
      </c>
      <c r="I8" s="4">
        <v>1170605</v>
      </c>
      <c r="J8" s="4">
        <f>SUM(H8-I8)</f>
        <v>883724215</v>
      </c>
      <c r="K8" s="4">
        <f>SUM(G8-J8)</f>
        <v>-123130</v>
      </c>
    </row>
    <row r="9" spans="1:12" x14ac:dyDescent="0.25">
      <c r="A9" t="s">
        <v>578</v>
      </c>
      <c r="E9" s="2">
        <v>103590620</v>
      </c>
      <c r="F9">
        <v>1758900</v>
      </c>
      <c r="G9">
        <v>101831720</v>
      </c>
      <c r="H9" s="17">
        <v>105349520</v>
      </c>
      <c r="I9" s="4">
        <v>1758900</v>
      </c>
      <c r="J9" s="4">
        <f t="shared" ref="J9:J11" si="2">SUM(H9-I9)</f>
        <v>103590620</v>
      </c>
      <c r="K9" s="4">
        <f>SUM(G9-J9)</f>
        <v>-1758900</v>
      </c>
      <c r="L9" t="s">
        <v>579</v>
      </c>
    </row>
    <row r="10" spans="1:12" x14ac:dyDescent="0.25">
      <c r="A10" t="s">
        <v>2</v>
      </c>
      <c r="E10" s="2">
        <v>85140748</v>
      </c>
      <c r="H10" s="17">
        <v>85140748</v>
      </c>
      <c r="I10" s="4">
        <v>29489130</v>
      </c>
      <c r="J10" s="4">
        <f t="shared" si="2"/>
        <v>55651618</v>
      </c>
    </row>
    <row r="11" spans="1:12" x14ac:dyDescent="0.25">
      <c r="H11" s="17">
        <f>SUM(H8:H10)</f>
        <v>1075385088</v>
      </c>
      <c r="I11" s="4">
        <f>SUM(I8:I10)</f>
        <v>32418635</v>
      </c>
      <c r="J11" s="4">
        <f t="shared" si="2"/>
        <v>1042966453</v>
      </c>
      <c r="K11" t="s">
        <v>47</v>
      </c>
    </row>
    <row r="12" spans="1:12" x14ac:dyDescent="0.25">
      <c r="E12" s="17"/>
    </row>
    <row r="13" spans="1:12" x14ac:dyDescent="0.25">
      <c r="E13" s="17"/>
    </row>
    <row r="14" spans="1:12" x14ac:dyDescent="0.25">
      <c r="E14" s="17"/>
    </row>
    <row r="15" spans="1:12" x14ac:dyDescent="0.25">
      <c r="E15" s="17"/>
    </row>
    <row r="16" spans="1:12" x14ac:dyDescent="0.25">
      <c r="E16" s="17"/>
    </row>
    <row r="17" spans="6:8" x14ac:dyDescent="0.25">
      <c r="F17" t="s">
        <v>47</v>
      </c>
    </row>
    <row r="18" spans="6:8" x14ac:dyDescent="0.25">
      <c r="H18" s="4" t="s">
        <v>47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2AFA-F1F7-4982-8D4D-B19B800968FA}">
  <dimension ref="A2:K17"/>
  <sheetViews>
    <sheetView workbookViewId="0">
      <selection activeCell="G7" sqref="G7"/>
    </sheetView>
  </sheetViews>
  <sheetFormatPr defaultRowHeight="15" x14ac:dyDescent="0.25"/>
  <cols>
    <col min="1" max="1" width="19" customWidth="1"/>
    <col min="2" max="2" width="6.85546875" style="4" customWidth="1"/>
    <col min="3" max="3" width="9.140625" style="4"/>
    <col min="4" max="4" width="12.85546875" style="4" customWidth="1"/>
    <col min="5" max="5" width="14.42578125" style="4" customWidth="1"/>
    <col min="6" max="6" width="13.7109375" style="2" customWidth="1"/>
    <col min="7" max="7" width="13.5703125" style="2" customWidth="1"/>
    <col min="8" max="8" width="15.85546875" customWidth="1"/>
    <col min="9" max="9" width="16" customWidth="1"/>
    <col min="10" max="10" width="13.85546875" customWidth="1"/>
    <col min="11" max="11" width="12.5703125" customWidth="1"/>
  </cols>
  <sheetData>
    <row r="2" spans="1:11" x14ac:dyDescent="0.25">
      <c r="A2" s="1" t="s">
        <v>563</v>
      </c>
      <c r="B2" s="5" t="s">
        <v>566</v>
      </c>
      <c r="C2" s="5" t="s">
        <v>6</v>
      </c>
      <c r="D2" s="5" t="s">
        <v>5</v>
      </c>
      <c r="E2" s="5" t="s">
        <v>567</v>
      </c>
      <c r="F2" s="3" t="s">
        <v>569</v>
      </c>
      <c r="G2" s="3" t="s">
        <v>35</v>
      </c>
      <c r="H2" s="1" t="s">
        <v>8</v>
      </c>
      <c r="I2" s="1" t="s">
        <v>37</v>
      </c>
      <c r="J2" s="1" t="s">
        <v>36</v>
      </c>
    </row>
    <row r="3" spans="1:11" x14ac:dyDescent="0.25">
      <c r="A3" t="s">
        <v>0</v>
      </c>
      <c r="B3" s="6" t="s">
        <v>47</v>
      </c>
      <c r="C3" s="4" t="s">
        <v>47</v>
      </c>
      <c r="D3" s="4" t="e">
        <f>C3-B3</f>
        <v>#VALUE!</v>
      </c>
      <c r="F3" s="4"/>
      <c r="G3" s="4"/>
      <c r="H3" s="4"/>
      <c r="I3" s="4">
        <f>E3-G3</f>
        <v>0</v>
      </c>
      <c r="J3" s="4">
        <f>H3-F3</f>
        <v>0</v>
      </c>
    </row>
    <row r="4" spans="1:11" x14ac:dyDescent="0.25">
      <c r="A4" t="s">
        <v>1</v>
      </c>
      <c r="B4" s="4" t="s">
        <v>47</v>
      </c>
      <c r="C4" s="4" t="s">
        <v>47</v>
      </c>
      <c r="D4" s="4" t="e">
        <f t="shared" ref="D4:D5" si="0">C4-B4</f>
        <v>#VALUE!</v>
      </c>
      <c r="F4" s="4" t="s">
        <v>47</v>
      </c>
      <c r="G4" s="4" t="s">
        <v>47</v>
      </c>
      <c r="H4" s="4" t="s">
        <v>47</v>
      </c>
      <c r="I4" s="4" t="e">
        <f t="shared" ref="I4:I6" si="1">E4-G4</f>
        <v>#VALUE!</v>
      </c>
      <c r="J4" s="4" t="e">
        <f>H4-F4</f>
        <v>#VALUE!</v>
      </c>
      <c r="K4" t="s">
        <v>47</v>
      </c>
    </row>
    <row r="5" spans="1:11" x14ac:dyDescent="0.25">
      <c r="A5" t="s">
        <v>7</v>
      </c>
      <c r="D5" s="4">
        <f t="shared" si="0"/>
        <v>0</v>
      </c>
      <c r="F5" s="4"/>
      <c r="G5" s="4"/>
      <c r="H5" s="4"/>
      <c r="I5" s="4">
        <f t="shared" si="1"/>
        <v>0</v>
      </c>
      <c r="J5" s="4">
        <f>H5-F5</f>
        <v>0</v>
      </c>
    </row>
    <row r="6" spans="1:11" x14ac:dyDescent="0.25">
      <c r="A6" t="s">
        <v>2</v>
      </c>
      <c r="B6" s="6" t="s">
        <v>47</v>
      </c>
      <c r="C6" s="4" t="s">
        <v>47</v>
      </c>
      <c r="D6" s="4" t="s">
        <v>47</v>
      </c>
      <c r="E6" s="4" t="s">
        <v>47</v>
      </c>
      <c r="F6" s="4" t="s">
        <v>47</v>
      </c>
      <c r="G6" s="4" t="s">
        <v>47</v>
      </c>
      <c r="H6" s="4" t="s">
        <v>47</v>
      </c>
      <c r="I6" s="4" t="e">
        <f t="shared" si="1"/>
        <v>#VALUE!</v>
      </c>
      <c r="J6" s="4" t="e">
        <f>H6-F6</f>
        <v>#VALUE!</v>
      </c>
    </row>
    <row r="7" spans="1:11" x14ac:dyDescent="0.25">
      <c r="H7" s="4"/>
      <c r="I7" s="4"/>
      <c r="J7" s="4"/>
    </row>
    <row r="8" spans="1:11" x14ac:dyDescent="0.25">
      <c r="H8" s="4"/>
      <c r="I8" s="4"/>
      <c r="J8" s="4"/>
    </row>
    <row r="9" spans="1:11" x14ac:dyDescent="0.25">
      <c r="H9" s="4"/>
      <c r="I9" s="4"/>
      <c r="J9" s="4"/>
    </row>
    <row r="10" spans="1:11" x14ac:dyDescent="0.25">
      <c r="A10" s="1" t="s">
        <v>564</v>
      </c>
      <c r="B10" s="5" t="s">
        <v>566</v>
      </c>
      <c r="C10" s="5" t="s">
        <v>6</v>
      </c>
      <c r="D10" s="5" t="s">
        <v>5</v>
      </c>
      <c r="E10" s="5" t="s">
        <v>567</v>
      </c>
      <c r="F10" s="3" t="s">
        <v>568</v>
      </c>
      <c r="G10" s="3" t="s">
        <v>35</v>
      </c>
      <c r="H10" s="1" t="s">
        <v>8</v>
      </c>
      <c r="I10" s="1" t="s">
        <v>37</v>
      </c>
      <c r="J10" s="1" t="s">
        <v>36</v>
      </c>
    </row>
    <row r="11" spans="1:11" x14ac:dyDescent="0.25">
      <c r="A11" t="s">
        <v>0</v>
      </c>
      <c r="B11" s="6"/>
      <c r="D11" s="4">
        <f>C11-B11</f>
        <v>0</v>
      </c>
      <c r="F11" s="4"/>
      <c r="G11" s="4"/>
      <c r="H11" s="4"/>
      <c r="I11" s="4">
        <f>E11-G11</f>
        <v>0</v>
      </c>
      <c r="J11" s="4">
        <f>H11-F11</f>
        <v>0</v>
      </c>
      <c r="K11" t="s">
        <v>513</v>
      </c>
    </row>
    <row r="12" spans="1:11" x14ac:dyDescent="0.25">
      <c r="A12" t="s">
        <v>1</v>
      </c>
      <c r="D12" s="4">
        <f t="shared" ref="D12:D14" si="2">C12-B12</f>
        <v>0</v>
      </c>
      <c r="F12" s="4"/>
      <c r="G12" s="4"/>
      <c r="H12" s="4"/>
      <c r="I12" s="4">
        <f t="shared" ref="I12:I15" si="3">E12-G12</f>
        <v>0</v>
      </c>
      <c r="J12" s="4" t="s">
        <v>47</v>
      </c>
      <c r="K12" t="s">
        <v>515</v>
      </c>
    </row>
    <row r="13" spans="1:11" x14ac:dyDescent="0.25">
      <c r="A13" t="s">
        <v>7</v>
      </c>
      <c r="D13" s="4">
        <f t="shared" si="2"/>
        <v>0</v>
      </c>
      <c r="F13" s="4"/>
      <c r="G13" s="4"/>
      <c r="H13" s="4"/>
      <c r="I13" s="4">
        <f t="shared" si="3"/>
        <v>0</v>
      </c>
      <c r="J13" s="4">
        <f>H13-F13</f>
        <v>0</v>
      </c>
    </row>
    <row r="14" spans="1:11" x14ac:dyDescent="0.25">
      <c r="A14" t="s">
        <v>2</v>
      </c>
      <c r="B14" s="6" t="s">
        <v>47</v>
      </c>
      <c r="C14" s="4" t="s">
        <v>47</v>
      </c>
      <c r="D14" s="4" t="e">
        <f t="shared" si="2"/>
        <v>#VALUE!</v>
      </c>
      <c r="F14" s="4"/>
      <c r="G14" s="4"/>
      <c r="H14" s="4"/>
      <c r="I14" s="4">
        <f t="shared" si="3"/>
        <v>0</v>
      </c>
      <c r="J14" s="4">
        <f>H14-F14</f>
        <v>0</v>
      </c>
    </row>
    <row r="15" spans="1:11" s="10" customFormat="1" x14ac:dyDescent="0.25">
      <c r="A15" s="10" t="s">
        <v>3</v>
      </c>
      <c r="B15" s="13">
        <v>1641</v>
      </c>
      <c r="C15" s="13">
        <v>1641</v>
      </c>
      <c r="D15" s="13" t="s">
        <v>47</v>
      </c>
      <c r="E15" s="13">
        <v>76322</v>
      </c>
      <c r="F15" s="13">
        <v>76640</v>
      </c>
      <c r="G15" s="14">
        <v>76322</v>
      </c>
      <c r="H15" s="13">
        <v>81270</v>
      </c>
      <c r="I15" s="13">
        <f t="shared" si="3"/>
        <v>0</v>
      </c>
      <c r="J15" s="13">
        <f>H15-F15</f>
        <v>4630</v>
      </c>
      <c r="K15" s="10" t="s">
        <v>565</v>
      </c>
    </row>
    <row r="16" spans="1:11" x14ac:dyDescent="0.25">
      <c r="A16" t="s">
        <v>47</v>
      </c>
      <c r="K16" t="s">
        <v>47</v>
      </c>
    </row>
    <row r="17" spans="1:11" x14ac:dyDescent="0.25">
      <c r="A17" t="s">
        <v>514</v>
      </c>
      <c r="K17" t="s">
        <v>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5CDB-F701-42A5-B232-FE2FE42F05F2}">
  <dimension ref="A1:P16"/>
  <sheetViews>
    <sheetView topLeftCell="A8" workbookViewId="0">
      <selection activeCell="C10" sqref="C10"/>
    </sheetView>
  </sheetViews>
  <sheetFormatPr defaultRowHeight="15" x14ac:dyDescent="0.25"/>
  <cols>
    <col min="2" max="2" width="11.5703125" style="11" bestFit="1" customWidth="1"/>
    <col min="3" max="3" width="17.5703125" style="11" customWidth="1"/>
    <col min="4" max="4" width="10.140625" customWidth="1"/>
    <col min="7" max="7" width="9.5703125" style="11" bestFit="1" customWidth="1"/>
    <col min="8" max="8" width="10" style="11" bestFit="1" customWidth="1"/>
    <col min="9" max="9" width="10.140625" bestFit="1" customWidth="1"/>
    <col min="10" max="10" width="30.42578125" customWidth="1"/>
    <col min="11" max="11" width="9.5703125" bestFit="1" customWidth="1"/>
    <col min="12" max="12" width="9.5703125" customWidth="1"/>
    <col min="13" max="13" width="18.42578125" customWidth="1"/>
    <col min="14" max="14" width="15.140625" customWidth="1"/>
  </cols>
  <sheetData>
    <row r="1" spans="1:16" x14ac:dyDescent="0.25">
      <c r="A1" t="s">
        <v>527</v>
      </c>
      <c r="B1" s="11" t="s">
        <v>512</v>
      </c>
      <c r="C1" s="11" t="s">
        <v>511</v>
      </c>
      <c r="D1" t="s">
        <v>525</v>
      </c>
      <c r="F1" t="s">
        <v>528</v>
      </c>
      <c r="G1" s="11" t="s">
        <v>512</v>
      </c>
      <c r="H1" s="11" t="s">
        <v>511</v>
      </c>
      <c r="I1" t="s">
        <v>525</v>
      </c>
      <c r="J1" t="s">
        <v>529</v>
      </c>
      <c r="K1" t="s">
        <v>532</v>
      </c>
      <c r="L1" t="s">
        <v>533</v>
      </c>
      <c r="M1" t="s">
        <v>530</v>
      </c>
      <c r="N1" t="s">
        <v>531</v>
      </c>
      <c r="O1" t="s">
        <v>534</v>
      </c>
      <c r="P1" t="s">
        <v>534</v>
      </c>
    </row>
    <row r="2" spans="1:16" x14ac:dyDescent="0.25">
      <c r="A2">
        <v>2007</v>
      </c>
      <c r="B2" s="11">
        <v>870.73</v>
      </c>
      <c r="C2" s="11">
        <v>870.73</v>
      </c>
      <c r="D2" s="11">
        <f>SUM(B2-C2)</f>
        <v>0</v>
      </c>
      <c r="F2">
        <v>2007</v>
      </c>
      <c r="G2" s="11">
        <v>870.73</v>
      </c>
      <c r="H2" s="11">
        <v>870.73</v>
      </c>
      <c r="I2" s="11">
        <f>SUM(G2-H2)</f>
        <v>0</v>
      </c>
    </row>
    <row r="3" spans="1:16" x14ac:dyDescent="0.25">
      <c r="A3">
        <v>2008</v>
      </c>
      <c r="B3" s="11">
        <v>1049.95</v>
      </c>
      <c r="C3" s="11">
        <v>1049.95</v>
      </c>
      <c r="D3" s="11">
        <f t="shared" ref="D3:D16" si="0">SUM(B3-C3)</f>
        <v>0</v>
      </c>
      <c r="F3">
        <v>2008</v>
      </c>
      <c r="G3" s="11">
        <v>1049.95</v>
      </c>
      <c r="H3" s="11">
        <v>1049.95</v>
      </c>
      <c r="I3" s="11">
        <f t="shared" ref="I3:I14" si="1">SUM(G3-H3)</f>
        <v>0</v>
      </c>
    </row>
    <row r="4" spans="1:16" x14ac:dyDescent="0.25">
      <c r="A4">
        <v>2009</v>
      </c>
      <c r="B4" s="11">
        <v>1096.1400000000001</v>
      </c>
      <c r="C4" s="11">
        <v>1096.1400000000001</v>
      </c>
      <c r="D4" s="11">
        <f t="shared" si="0"/>
        <v>0</v>
      </c>
      <c r="F4">
        <v>2009</v>
      </c>
      <c r="G4" s="11">
        <v>1096.1400000000001</v>
      </c>
      <c r="H4" s="11">
        <v>1096.1400000000001</v>
      </c>
      <c r="I4" s="11">
        <f t="shared" si="1"/>
        <v>0</v>
      </c>
    </row>
    <row r="5" spans="1:16" x14ac:dyDescent="0.25">
      <c r="A5">
        <v>2010</v>
      </c>
      <c r="B5" s="11">
        <v>1123.04</v>
      </c>
      <c r="C5" s="11">
        <v>1123.04</v>
      </c>
      <c r="D5" s="11">
        <f t="shared" si="0"/>
        <v>0</v>
      </c>
      <c r="F5">
        <v>2010</v>
      </c>
      <c r="G5" s="11">
        <v>1123.04</v>
      </c>
      <c r="H5" s="11">
        <v>1123.04</v>
      </c>
      <c r="I5" s="11">
        <f t="shared" si="1"/>
        <v>0</v>
      </c>
    </row>
    <row r="6" spans="1:16" x14ac:dyDescent="0.25">
      <c r="A6">
        <v>2011</v>
      </c>
      <c r="B6" s="11">
        <v>8724.5400000000009</v>
      </c>
      <c r="C6" s="11">
        <v>8724.5400000000009</v>
      </c>
      <c r="D6" s="11">
        <f t="shared" si="0"/>
        <v>0</v>
      </c>
      <c r="F6">
        <v>2011</v>
      </c>
      <c r="G6" s="11">
        <v>8724.56</v>
      </c>
      <c r="H6" s="11">
        <v>8724.5400000000009</v>
      </c>
      <c r="I6" s="11">
        <f t="shared" si="1"/>
        <v>1.9999999998617568E-2</v>
      </c>
    </row>
    <row r="7" spans="1:16" x14ac:dyDescent="0.25">
      <c r="A7">
        <v>2012</v>
      </c>
      <c r="B7" s="11">
        <v>11749</v>
      </c>
      <c r="C7" s="11">
        <v>11749</v>
      </c>
      <c r="D7" s="11">
        <f t="shared" si="0"/>
        <v>0</v>
      </c>
      <c r="F7">
        <v>2012</v>
      </c>
      <c r="G7" s="11">
        <v>11749</v>
      </c>
      <c r="H7" s="11">
        <v>11749</v>
      </c>
      <c r="I7" s="11">
        <f t="shared" si="1"/>
        <v>0</v>
      </c>
    </row>
    <row r="8" spans="1:16" x14ac:dyDescent="0.25">
      <c r="A8">
        <v>2013</v>
      </c>
      <c r="B8" s="11">
        <v>14172.44</v>
      </c>
      <c r="C8" s="11">
        <v>14172.44</v>
      </c>
      <c r="D8" s="11">
        <f t="shared" si="0"/>
        <v>0</v>
      </c>
      <c r="F8">
        <v>2013</v>
      </c>
      <c r="G8" s="11">
        <v>12378.81</v>
      </c>
      <c r="H8" s="11">
        <v>12378.81</v>
      </c>
      <c r="I8" s="11">
        <f t="shared" si="1"/>
        <v>0</v>
      </c>
    </row>
    <row r="9" spans="1:16" x14ac:dyDescent="0.25">
      <c r="A9">
        <v>2014</v>
      </c>
      <c r="B9" s="11">
        <v>15981.71</v>
      </c>
      <c r="C9" s="11">
        <v>15981.71</v>
      </c>
      <c r="D9" s="11">
        <f t="shared" si="0"/>
        <v>0</v>
      </c>
      <c r="F9">
        <v>2014</v>
      </c>
      <c r="G9" s="11">
        <v>15439.38</v>
      </c>
      <c r="H9" s="11">
        <v>15439.38</v>
      </c>
      <c r="I9" s="11">
        <f t="shared" si="1"/>
        <v>0</v>
      </c>
      <c r="J9" t="s">
        <v>47</v>
      </c>
      <c r="M9">
        <v>496.48</v>
      </c>
      <c r="N9">
        <v>3222.34</v>
      </c>
    </row>
    <row r="10" spans="1:16" x14ac:dyDescent="0.25">
      <c r="A10">
        <v>2015</v>
      </c>
      <c r="B10" s="11">
        <v>22791.24</v>
      </c>
      <c r="C10" s="11">
        <v>22791.24</v>
      </c>
      <c r="D10" s="11">
        <f t="shared" si="0"/>
        <v>0</v>
      </c>
      <c r="F10">
        <v>2015</v>
      </c>
      <c r="G10" s="11">
        <v>22526.58</v>
      </c>
      <c r="H10" s="11">
        <v>22526.58</v>
      </c>
      <c r="I10" s="11">
        <f t="shared" si="1"/>
        <v>0</v>
      </c>
      <c r="J10" t="s">
        <v>47</v>
      </c>
    </row>
    <row r="11" spans="1:16" x14ac:dyDescent="0.25">
      <c r="A11">
        <v>2016</v>
      </c>
      <c r="B11" s="11">
        <v>46351.51</v>
      </c>
      <c r="C11" s="11">
        <v>46351.51</v>
      </c>
      <c r="D11" s="11">
        <f t="shared" si="0"/>
        <v>0</v>
      </c>
      <c r="F11">
        <v>2016</v>
      </c>
      <c r="G11" s="11">
        <v>44154.46</v>
      </c>
      <c r="H11" s="11">
        <v>44154.46</v>
      </c>
      <c r="I11" s="11">
        <f t="shared" si="1"/>
        <v>0</v>
      </c>
    </row>
    <row r="12" spans="1:16" x14ac:dyDescent="0.25">
      <c r="A12">
        <v>2017</v>
      </c>
      <c r="B12" s="11">
        <v>72248.600000000006</v>
      </c>
      <c r="C12" s="11">
        <v>72248.600000000006</v>
      </c>
      <c r="D12" s="11">
        <f t="shared" si="0"/>
        <v>0</v>
      </c>
      <c r="F12">
        <v>2017</v>
      </c>
      <c r="G12" s="11">
        <v>66011.12</v>
      </c>
      <c r="H12" s="11">
        <v>66011.12</v>
      </c>
      <c r="I12" s="11">
        <f t="shared" si="1"/>
        <v>0</v>
      </c>
      <c r="J12" t="s">
        <v>47</v>
      </c>
      <c r="M12" t="s">
        <v>47</v>
      </c>
      <c r="N12" t="s">
        <v>47</v>
      </c>
    </row>
    <row r="13" spans="1:16" x14ac:dyDescent="0.25">
      <c r="A13">
        <v>2018</v>
      </c>
      <c r="B13" s="11">
        <v>132551.73000000001</v>
      </c>
      <c r="C13" s="11">
        <v>132292.48000000001</v>
      </c>
      <c r="D13" s="11">
        <f t="shared" si="0"/>
        <v>259.25</v>
      </c>
      <c r="E13" t="s">
        <v>526</v>
      </c>
      <c r="F13">
        <v>2018</v>
      </c>
      <c r="G13" s="11">
        <v>102954.54</v>
      </c>
      <c r="H13" s="11">
        <v>102954.54</v>
      </c>
      <c r="I13" s="11">
        <f t="shared" si="1"/>
        <v>0</v>
      </c>
      <c r="J13" t="s">
        <v>47</v>
      </c>
      <c r="M13" t="s">
        <v>47</v>
      </c>
      <c r="N13" t="s">
        <v>47</v>
      </c>
    </row>
    <row r="14" spans="1:16" x14ac:dyDescent="0.25">
      <c r="A14">
        <v>2019</v>
      </c>
      <c r="B14" s="11">
        <v>189616.2</v>
      </c>
      <c r="C14" s="11">
        <v>189396.1</v>
      </c>
      <c r="D14" s="11">
        <f t="shared" si="0"/>
        <v>220.10000000000582</v>
      </c>
      <c r="E14" t="s">
        <v>526</v>
      </c>
      <c r="F14">
        <v>2019</v>
      </c>
      <c r="G14" s="11">
        <v>144362.93</v>
      </c>
      <c r="H14" s="11">
        <v>144362.93</v>
      </c>
      <c r="I14" s="11">
        <f t="shared" si="1"/>
        <v>0</v>
      </c>
      <c r="M14" t="s">
        <v>47</v>
      </c>
      <c r="N14" t="s">
        <v>47</v>
      </c>
    </row>
    <row r="15" spans="1:16" x14ac:dyDescent="0.25">
      <c r="A15">
        <v>2020</v>
      </c>
      <c r="B15" s="11">
        <v>387825</v>
      </c>
      <c r="C15" s="11">
        <v>451678.2</v>
      </c>
      <c r="D15" s="11">
        <f t="shared" si="0"/>
        <v>-63853.200000000012</v>
      </c>
      <c r="F15">
        <v>2020</v>
      </c>
      <c r="G15" s="11">
        <v>273042.06</v>
      </c>
      <c r="H15" s="11">
        <v>296955.48</v>
      </c>
      <c r="I15" s="11">
        <f>SUM(G15-H15)</f>
        <v>-23913.419999999984</v>
      </c>
      <c r="J15" t="s">
        <v>47</v>
      </c>
      <c r="K15" s="11">
        <v>145762.88</v>
      </c>
      <c r="L15" s="11">
        <v>145762.88</v>
      </c>
      <c r="M15" s="11">
        <v>23269</v>
      </c>
      <c r="N15" s="11">
        <v>23269</v>
      </c>
      <c r="O15" s="11">
        <v>624</v>
      </c>
      <c r="P15" s="11">
        <v>624</v>
      </c>
    </row>
    <row r="16" spans="1:16" x14ac:dyDescent="0.25">
      <c r="A16" t="s">
        <v>535</v>
      </c>
      <c r="B16" s="11">
        <v>1012791.16</v>
      </c>
      <c r="C16" s="11">
        <v>1012791.16</v>
      </c>
      <c r="D16" s="11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FB8C-63AB-441F-BFB0-DF5985BAE0AA}">
  <dimension ref="A1:A22"/>
  <sheetViews>
    <sheetView tabSelected="1" workbookViewId="0">
      <selection activeCell="A16" sqref="A16"/>
    </sheetView>
  </sheetViews>
  <sheetFormatPr defaultRowHeight="15" x14ac:dyDescent="0.25"/>
  <sheetData>
    <row r="1" spans="1:1" x14ac:dyDescent="0.25">
      <c r="A1" t="s">
        <v>580</v>
      </c>
    </row>
    <row r="3" spans="1:1" x14ac:dyDescent="0.25">
      <c r="A3" t="s">
        <v>581</v>
      </c>
    </row>
    <row r="4" spans="1:1" x14ac:dyDescent="0.25">
      <c r="A4" t="s">
        <v>582</v>
      </c>
    </row>
    <row r="6" spans="1:1" x14ac:dyDescent="0.25">
      <c r="A6" t="s">
        <v>583</v>
      </c>
    </row>
    <row r="7" spans="1:1" x14ac:dyDescent="0.25">
      <c r="A7" t="s">
        <v>584</v>
      </c>
    </row>
    <row r="10" spans="1:1" x14ac:dyDescent="0.25">
      <c r="A10" t="s">
        <v>585</v>
      </c>
    </row>
    <row r="12" spans="1:1" x14ac:dyDescent="0.25">
      <c r="A12" t="s">
        <v>586</v>
      </c>
    </row>
    <row r="14" spans="1:1" x14ac:dyDescent="0.25">
      <c r="A14" t="s">
        <v>591</v>
      </c>
    </row>
    <row r="16" spans="1:1" x14ac:dyDescent="0.25">
      <c r="A16" t="s">
        <v>587</v>
      </c>
    </row>
    <row r="18" spans="1:1" x14ac:dyDescent="0.25">
      <c r="A18" t="s">
        <v>588</v>
      </c>
    </row>
    <row r="20" spans="1:1" x14ac:dyDescent="0.25">
      <c r="A20" t="s">
        <v>589</v>
      </c>
    </row>
    <row r="22" spans="1:1" x14ac:dyDescent="0.25">
      <c r="A22" t="s">
        <v>590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4818-53AF-4F9F-810A-75BFB66989C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F727-2BD2-4BD1-9ACD-871F86228C1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83F9-ACB7-495C-9412-AAD3208760AB}">
  <dimension ref="A1:T25"/>
  <sheetViews>
    <sheetView workbookViewId="0">
      <selection activeCell="F2" sqref="F2"/>
    </sheetView>
  </sheetViews>
  <sheetFormatPr defaultRowHeight="15" x14ac:dyDescent="0.25"/>
  <cols>
    <col min="1" max="1" width="13.5703125" customWidth="1"/>
    <col min="2" max="2" width="5.42578125" customWidth="1"/>
    <col min="3" max="3" width="3" customWidth="1"/>
    <col min="4" max="4" width="5.5703125" customWidth="1"/>
    <col min="5" max="5" width="12.5703125" bestFit="1" customWidth="1"/>
    <col min="6" max="6" width="14.140625" customWidth="1"/>
    <col min="7" max="7" width="12.42578125" bestFit="1" customWidth="1"/>
    <col min="8" max="8" width="12.5703125" bestFit="1" customWidth="1"/>
    <col min="9" max="9" width="13" customWidth="1"/>
    <col min="10" max="10" width="12.42578125" bestFit="1" customWidth="1"/>
    <col min="11" max="11" width="13.85546875" bestFit="1" customWidth="1"/>
    <col min="12" max="12" width="12.5703125" bestFit="1" customWidth="1"/>
    <col min="13" max="13" width="14.140625" bestFit="1" customWidth="1"/>
    <col min="17" max="17" width="10.140625" bestFit="1" customWidth="1"/>
    <col min="18" max="19" width="12.5703125" bestFit="1" customWidth="1"/>
    <col min="20" max="20" width="12.42578125" customWidth="1"/>
  </cols>
  <sheetData>
    <row r="1" spans="1:20" x14ac:dyDescent="0.25">
      <c r="E1" s="3" t="s">
        <v>12</v>
      </c>
      <c r="F1" s="1" t="s">
        <v>13</v>
      </c>
      <c r="G1" s="1" t="s">
        <v>14</v>
      </c>
      <c r="H1" s="1" t="s">
        <v>15</v>
      </c>
      <c r="I1" s="1" t="s">
        <v>10</v>
      </c>
      <c r="J1" s="1" t="s">
        <v>17</v>
      </c>
      <c r="K1" s="1" t="s">
        <v>11</v>
      </c>
      <c r="L1" s="1" t="s">
        <v>16</v>
      </c>
      <c r="M1" s="1" t="s">
        <v>18</v>
      </c>
      <c r="N1" s="1" t="s">
        <v>19</v>
      </c>
      <c r="O1" s="1" t="s">
        <v>20</v>
      </c>
    </row>
    <row r="2" spans="1:20" x14ac:dyDescent="0.25">
      <c r="A2" t="s">
        <v>31</v>
      </c>
      <c r="B2">
        <v>2020</v>
      </c>
      <c r="C2" t="s">
        <v>21</v>
      </c>
      <c r="E2" s="2">
        <v>6575294.9699999997</v>
      </c>
      <c r="F2" s="2">
        <v>55045.63</v>
      </c>
      <c r="G2" s="2">
        <v>256787.36</v>
      </c>
      <c r="H2" s="2">
        <f>E2+F2-G2</f>
        <v>6373553.2399999993</v>
      </c>
      <c r="I2" s="2">
        <v>6443448.3300000001</v>
      </c>
      <c r="J2" s="2">
        <v>-127010.19</v>
      </c>
      <c r="K2" s="2">
        <f>I2+J2</f>
        <v>6316438.1399999997</v>
      </c>
      <c r="L2" s="2">
        <f>H2-K2</f>
        <v>57115.099999999627</v>
      </c>
    </row>
    <row r="3" spans="1:20" x14ac:dyDescent="0.25">
      <c r="B3">
        <v>2020</v>
      </c>
      <c r="C3" t="s">
        <v>22</v>
      </c>
      <c r="E3" s="2">
        <v>3503945.39</v>
      </c>
      <c r="F3" s="2">
        <v>13453.43</v>
      </c>
      <c r="G3" s="2">
        <v>11519.2</v>
      </c>
      <c r="H3" s="2">
        <f>E3+F3-G3</f>
        <v>3505879.62</v>
      </c>
      <c r="I3" s="2">
        <v>3463177.46</v>
      </c>
      <c r="K3" s="2">
        <f>I3+J3</f>
        <v>3463177.46</v>
      </c>
      <c r="L3" s="2">
        <f>H3-K3</f>
        <v>42702.160000000149</v>
      </c>
    </row>
    <row r="4" spans="1:20" x14ac:dyDescent="0.25">
      <c r="B4">
        <v>2020</v>
      </c>
      <c r="C4" t="s">
        <v>9</v>
      </c>
      <c r="E4" s="2">
        <v>78943670.359999999</v>
      </c>
      <c r="F4" s="2">
        <v>64476.31</v>
      </c>
      <c r="G4" s="2">
        <v>429392.73</v>
      </c>
      <c r="H4" s="2">
        <f>E4+F4-G4</f>
        <v>78578753.939999998</v>
      </c>
      <c r="I4" s="2">
        <v>78317772.010000005</v>
      </c>
      <c r="J4" s="2">
        <v>-35343.730000000003</v>
      </c>
      <c r="K4" s="2">
        <f>I4+J4</f>
        <v>78282428.280000001</v>
      </c>
      <c r="L4" s="2">
        <f>H4-K4</f>
        <v>296325.65999999642</v>
      </c>
    </row>
    <row r="5" spans="1:20" x14ac:dyDescent="0.25">
      <c r="B5">
        <v>2020</v>
      </c>
      <c r="C5" t="s">
        <v>23</v>
      </c>
      <c r="E5" s="2">
        <v>1069105.69</v>
      </c>
      <c r="F5" s="2">
        <v>5739.39</v>
      </c>
      <c r="G5" s="2">
        <v>18977.009999999998</v>
      </c>
      <c r="H5" s="2">
        <f>E5+F5-G5</f>
        <v>1055868.0699999998</v>
      </c>
      <c r="I5" s="2">
        <v>1004674.18</v>
      </c>
      <c r="J5" s="2">
        <v>-4341.3900000000003</v>
      </c>
      <c r="K5" s="2">
        <f>I5+J5</f>
        <v>1000332.79</v>
      </c>
      <c r="L5" s="2">
        <v>55535.28</v>
      </c>
    </row>
    <row r="6" spans="1:20" x14ac:dyDescent="0.25">
      <c r="E6" s="2"/>
      <c r="F6" s="2"/>
      <c r="G6" s="2"/>
      <c r="H6" s="2"/>
      <c r="I6" s="2"/>
      <c r="J6" s="2"/>
      <c r="K6" s="2"/>
    </row>
    <row r="7" spans="1:20" x14ac:dyDescent="0.25">
      <c r="E7" s="2">
        <f t="shared" ref="E7:L7" si="0">SUM(E2:E5)</f>
        <v>90092016.409999996</v>
      </c>
      <c r="F7" s="2">
        <f>SUM(F2:F5)</f>
        <v>138714.76</v>
      </c>
      <c r="G7" s="2">
        <f t="shared" si="0"/>
        <v>716676.3</v>
      </c>
      <c r="H7" s="2">
        <f t="shared" si="0"/>
        <v>89514054.86999999</v>
      </c>
      <c r="I7" s="2">
        <f t="shared" si="0"/>
        <v>89229071.980000019</v>
      </c>
      <c r="J7" s="2">
        <f t="shared" si="0"/>
        <v>-166695.31000000003</v>
      </c>
      <c r="K7" s="2">
        <f t="shared" si="0"/>
        <v>89062376.670000002</v>
      </c>
      <c r="L7" s="2">
        <f t="shared" si="0"/>
        <v>451678.19999999623</v>
      </c>
      <c r="M7" s="2">
        <v>164775.81</v>
      </c>
      <c r="N7" s="2">
        <v>444</v>
      </c>
      <c r="O7" s="2">
        <v>72</v>
      </c>
    </row>
    <row r="8" spans="1:20" x14ac:dyDescent="0.25"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20" x14ac:dyDescent="0.25">
      <c r="A9" t="s">
        <v>5</v>
      </c>
      <c r="C9" t="s">
        <v>21</v>
      </c>
      <c r="E9" s="2">
        <f t="shared" ref="E9:G10" si="1">E16-E2</f>
        <v>0</v>
      </c>
      <c r="F9" s="2">
        <f t="shared" si="1"/>
        <v>-1596.2299999999959</v>
      </c>
      <c r="G9" s="2">
        <f t="shared" si="1"/>
        <v>-1596.2299999999814</v>
      </c>
      <c r="H9" s="2">
        <f>E9+F9-G9</f>
        <v>-1.4551915228366852E-11</v>
      </c>
      <c r="I9" s="7"/>
      <c r="J9" s="7">
        <f>Q16+R16+J2</f>
        <v>0</v>
      </c>
      <c r="K9" s="2">
        <f>H16-Q16-R16-K2</f>
        <v>0</v>
      </c>
      <c r="L9" s="7">
        <f>T16-L2</f>
        <v>3.7107383832335472E-10</v>
      </c>
      <c r="M9" s="7"/>
      <c r="N9" s="7"/>
      <c r="O9" s="7"/>
    </row>
    <row r="10" spans="1:20" x14ac:dyDescent="0.25">
      <c r="C10" t="s">
        <v>22</v>
      </c>
      <c r="E10" s="2">
        <f t="shared" si="1"/>
        <v>0</v>
      </c>
      <c r="F10" s="2">
        <f t="shared" si="1"/>
        <v>0</v>
      </c>
      <c r="G10" s="2">
        <f t="shared" si="1"/>
        <v>0</v>
      </c>
      <c r="H10" s="2">
        <f>E10+F10-G10</f>
        <v>0</v>
      </c>
      <c r="I10" s="7"/>
      <c r="J10" s="7">
        <f>Q17+R17+J3</f>
        <v>0</v>
      </c>
      <c r="K10" s="2">
        <f>H17-Q17-R17-K3</f>
        <v>0</v>
      </c>
      <c r="L10" s="7">
        <f>T17-L3</f>
        <v>-1.4551915228366852E-10</v>
      </c>
    </row>
    <row r="11" spans="1:20" x14ac:dyDescent="0.25">
      <c r="C11" t="s">
        <v>9</v>
      </c>
      <c r="E11" s="2">
        <f>E18-E4</f>
        <v>0</v>
      </c>
      <c r="F11" s="2">
        <f>F18+F20-F4</f>
        <v>-393.41999999999825</v>
      </c>
      <c r="G11" s="2">
        <f>G18-G4</f>
        <v>-393.4199999999837</v>
      </c>
      <c r="H11" s="2">
        <f>E11+F11-G11</f>
        <v>-1.4551915228366852E-11</v>
      </c>
      <c r="I11" s="7"/>
      <c r="J11" s="7">
        <f>Q18+R18+J4</f>
        <v>0</v>
      </c>
      <c r="K11" s="2">
        <f>H18+H20-Q18-R18-Q20-R20-K4</f>
        <v>0</v>
      </c>
      <c r="L11" s="7">
        <f>T18-L4</f>
        <v>3.5506673157215118E-9</v>
      </c>
      <c r="M11" s="2"/>
    </row>
    <row r="12" spans="1:20" x14ac:dyDescent="0.25">
      <c r="C12" t="s">
        <v>23</v>
      </c>
      <c r="E12" s="2">
        <f>E19-E5</f>
        <v>0</v>
      </c>
      <c r="F12" s="2">
        <f>F19-F5</f>
        <v>-1194.96</v>
      </c>
      <c r="G12" s="2">
        <f>G19-G5</f>
        <v>-486.80999999999767</v>
      </c>
      <c r="H12" s="2">
        <f>E12+F12-G12</f>
        <v>-708.15000000000236</v>
      </c>
      <c r="I12" s="7"/>
      <c r="J12" s="7">
        <f>Q19+R19+J5</f>
        <v>0</v>
      </c>
      <c r="K12" s="2">
        <f>H19-Q19-R19-K5</f>
        <v>-708.15000000002328</v>
      </c>
      <c r="L12" s="7">
        <f>T19-L5</f>
        <v>0</v>
      </c>
      <c r="M12" s="7"/>
      <c r="N12" s="7"/>
      <c r="O12" s="7"/>
    </row>
    <row r="13" spans="1:20" x14ac:dyDescent="0.25">
      <c r="M13" s="2">
        <f>I21-M7</f>
        <v>0</v>
      </c>
      <c r="N13" s="2">
        <f t="shared" ref="N13:O13" si="2">J21-N7</f>
        <v>0</v>
      </c>
      <c r="O13" s="2">
        <f t="shared" si="2"/>
        <v>0</v>
      </c>
    </row>
    <row r="14" spans="1:20" x14ac:dyDescent="0.25">
      <c r="M14" s="2"/>
      <c r="N14" s="2"/>
      <c r="O14" s="2"/>
    </row>
    <row r="15" spans="1:20" x14ac:dyDescent="0.25">
      <c r="E15" s="1" t="s">
        <v>24</v>
      </c>
      <c r="F15" s="1" t="s">
        <v>25</v>
      </c>
      <c r="G15" s="1" t="s">
        <v>26</v>
      </c>
      <c r="H15" s="3" t="s">
        <v>10</v>
      </c>
      <c r="I15" s="1" t="s">
        <v>18</v>
      </c>
      <c r="J15" s="1" t="s">
        <v>19</v>
      </c>
      <c r="K15" s="1" t="s">
        <v>20</v>
      </c>
      <c r="L15" s="1"/>
      <c r="M15" s="1"/>
      <c r="N15" s="1"/>
      <c r="O15" s="1"/>
      <c r="P15" s="1"/>
      <c r="Q15" s="1" t="s">
        <v>34</v>
      </c>
      <c r="R15" s="1" t="s">
        <v>27</v>
      </c>
      <c r="S15" s="1" t="s">
        <v>29</v>
      </c>
      <c r="T15" s="1" t="s">
        <v>28</v>
      </c>
    </row>
    <row r="16" spans="1:20" x14ac:dyDescent="0.25">
      <c r="A16" t="s">
        <v>32</v>
      </c>
      <c r="B16">
        <v>2020</v>
      </c>
      <c r="C16" t="s">
        <v>21</v>
      </c>
      <c r="E16" s="8">
        <v>6575294.9699999997</v>
      </c>
      <c r="F16" s="8">
        <v>53449.4</v>
      </c>
      <c r="G16" s="8">
        <v>255191.13</v>
      </c>
      <c r="H16" s="8">
        <v>6443448.3300000001</v>
      </c>
      <c r="I16" s="8">
        <v>34108.730000000003</v>
      </c>
      <c r="J16" s="8">
        <v>390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119191.14</v>
      </c>
      <c r="R16" s="8">
        <v>7819.05</v>
      </c>
      <c r="S16" s="8">
        <v>6477947.0599999996</v>
      </c>
      <c r="T16" s="8">
        <v>57115.1</v>
      </c>
    </row>
    <row r="17" spans="2:20" x14ac:dyDescent="0.25">
      <c r="B17">
        <v>2020</v>
      </c>
      <c r="C17" t="s">
        <v>22</v>
      </c>
      <c r="E17" s="8">
        <v>3503945.39</v>
      </c>
      <c r="F17" s="8">
        <v>13453.43</v>
      </c>
      <c r="G17" s="8">
        <v>11519.2</v>
      </c>
      <c r="H17" s="8">
        <v>3463177.46</v>
      </c>
      <c r="I17" s="8">
        <v>20167.78</v>
      </c>
      <c r="J17" s="8">
        <v>54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3483399.24</v>
      </c>
      <c r="T17" s="8">
        <v>42702.16</v>
      </c>
    </row>
    <row r="18" spans="2:20" x14ac:dyDescent="0.25">
      <c r="B18">
        <v>2020</v>
      </c>
      <c r="C18" t="s">
        <v>9</v>
      </c>
      <c r="E18" s="8">
        <v>78943670.359999999</v>
      </c>
      <c r="F18" s="8">
        <v>9357.49</v>
      </c>
      <c r="G18" s="8">
        <v>428999.31</v>
      </c>
      <c r="H18" s="8">
        <v>78263046.609999999</v>
      </c>
      <c r="I18" s="8">
        <v>104389.14</v>
      </c>
      <c r="J18" s="8">
        <v>0</v>
      </c>
      <c r="K18" s="8">
        <v>72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35343.730000000003</v>
      </c>
      <c r="R18" s="8">
        <v>0</v>
      </c>
      <c r="S18" s="8">
        <v>78367507.75</v>
      </c>
      <c r="T18" s="8">
        <v>296325.65999999997</v>
      </c>
    </row>
    <row r="19" spans="2:20" x14ac:dyDescent="0.25">
      <c r="B19">
        <v>2020</v>
      </c>
      <c r="C19" t="s">
        <v>23</v>
      </c>
      <c r="E19" s="8">
        <v>1069105.69</v>
      </c>
      <c r="F19" s="8">
        <v>4544.43</v>
      </c>
      <c r="G19" s="8">
        <v>18490.2</v>
      </c>
      <c r="H19" s="8">
        <v>1003966.03</v>
      </c>
      <c r="I19" s="8">
        <v>5232.1099999999997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3952.76</v>
      </c>
      <c r="R19" s="8">
        <v>388.63</v>
      </c>
      <c r="S19" s="8">
        <v>1009198.14</v>
      </c>
      <c r="T19" s="8">
        <v>55535.28</v>
      </c>
    </row>
    <row r="20" spans="2:20" x14ac:dyDescent="0.25">
      <c r="B20">
        <v>2020</v>
      </c>
      <c r="C20" t="s">
        <v>33</v>
      </c>
      <c r="E20" s="8">
        <v>0</v>
      </c>
      <c r="F20" s="8">
        <v>54725.4</v>
      </c>
      <c r="G20" s="8">
        <v>0</v>
      </c>
      <c r="H20" s="8">
        <v>102567.75</v>
      </c>
      <c r="I20" s="8">
        <v>878.05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47842.35</v>
      </c>
      <c r="S20" s="8">
        <v>103445.8</v>
      </c>
      <c r="T20" s="8">
        <v>0</v>
      </c>
    </row>
    <row r="21" spans="2:20" x14ac:dyDescent="0.25">
      <c r="C21" t="s">
        <v>30</v>
      </c>
      <c r="E21" s="8">
        <v>90092016.409999996</v>
      </c>
      <c r="F21" s="8">
        <v>135530.15</v>
      </c>
      <c r="G21" s="8">
        <v>714199.84</v>
      </c>
      <c r="H21" s="8">
        <v>89276206.180000007</v>
      </c>
      <c r="I21" s="8">
        <v>164775.81</v>
      </c>
      <c r="J21" s="8">
        <v>444</v>
      </c>
      <c r="K21" s="8">
        <v>72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158487.63</v>
      </c>
      <c r="R21" s="8">
        <v>56050.03</v>
      </c>
      <c r="S21" s="8">
        <v>89441497.989999995</v>
      </c>
      <c r="T21" s="8">
        <v>451678.2</v>
      </c>
    </row>
    <row r="22" spans="2:20" x14ac:dyDescent="0.25"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9"/>
    </row>
    <row r="23" spans="2:20" x14ac:dyDescent="0.25">
      <c r="F23" t="s">
        <v>522</v>
      </c>
      <c r="G23" t="s">
        <v>523</v>
      </c>
      <c r="H23" t="s">
        <v>524</v>
      </c>
    </row>
    <row r="24" spans="2:20" x14ac:dyDescent="0.25">
      <c r="F24" s="8">
        <v>2007</v>
      </c>
      <c r="G24" s="8">
        <v>870.73</v>
      </c>
      <c r="H24" s="8">
        <v>870.73</v>
      </c>
    </row>
    <row r="25" spans="2:20" x14ac:dyDescent="0.25">
      <c r="F25" s="8">
        <v>2008</v>
      </c>
    </row>
  </sheetData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B1504-C894-42AC-BCFD-772709A07981}">
  <dimension ref="A1:A6"/>
  <sheetViews>
    <sheetView workbookViewId="0">
      <selection activeCell="A3" sqref="A3"/>
    </sheetView>
  </sheetViews>
  <sheetFormatPr defaultRowHeight="15" x14ac:dyDescent="0.25"/>
  <cols>
    <col min="1" max="1" width="54.85546875" customWidth="1"/>
  </cols>
  <sheetData>
    <row r="1" spans="1:1" x14ac:dyDescent="0.25">
      <c r="A1" t="s">
        <v>471</v>
      </c>
    </row>
    <row r="2" spans="1:1" x14ac:dyDescent="0.25">
      <c r="A2" t="s">
        <v>472</v>
      </c>
    </row>
    <row r="3" spans="1:1" x14ac:dyDescent="0.25">
      <c r="A3" s="2">
        <v>3560013.66</v>
      </c>
    </row>
    <row r="5" spans="1:1" x14ac:dyDescent="0.25">
      <c r="A5" t="s">
        <v>473</v>
      </c>
    </row>
    <row r="6" spans="1:1" x14ac:dyDescent="0.25">
      <c r="A6" t="s">
        <v>474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10F4B-D83D-4BE1-A5FA-FF6CCC94B969}">
  <dimension ref="A1:HD12"/>
  <sheetViews>
    <sheetView workbookViewId="0">
      <selection activeCell="B15" sqref="B15"/>
    </sheetView>
  </sheetViews>
  <sheetFormatPr defaultRowHeight="15" x14ac:dyDescent="0.25"/>
  <cols>
    <col min="1" max="1" width="11.85546875" customWidth="1"/>
  </cols>
  <sheetData>
    <row r="1" spans="1:212" x14ac:dyDescent="0.25">
      <c r="A1">
        <v>2070011</v>
      </c>
      <c r="B1" t="s">
        <v>38</v>
      </c>
      <c r="C1">
        <v>10711.67</v>
      </c>
      <c r="D1">
        <v>0</v>
      </c>
      <c r="E1">
        <v>0</v>
      </c>
      <c r="F1">
        <v>10711.67</v>
      </c>
      <c r="G1">
        <v>1</v>
      </c>
      <c r="H1">
        <v>1071.17</v>
      </c>
      <c r="I1">
        <v>0</v>
      </c>
      <c r="J1">
        <v>0</v>
      </c>
      <c r="K1" t="s">
        <v>39</v>
      </c>
      <c r="L1">
        <v>2070011</v>
      </c>
      <c r="M1">
        <v>2000</v>
      </c>
      <c r="N1" t="s">
        <v>40</v>
      </c>
      <c r="O1" t="s">
        <v>41</v>
      </c>
      <c r="P1" t="s">
        <v>42</v>
      </c>
      <c r="Q1" t="s">
        <v>43</v>
      </c>
      <c r="R1" t="s">
        <v>42</v>
      </c>
      <c r="S1" t="s">
        <v>44</v>
      </c>
      <c r="T1" t="s">
        <v>45</v>
      </c>
      <c r="U1">
        <v>6001</v>
      </c>
      <c r="V1">
        <v>0</v>
      </c>
      <c r="W1">
        <v>0</v>
      </c>
      <c r="X1">
        <v>0</v>
      </c>
      <c r="Y1">
        <v>10711.67</v>
      </c>
      <c r="Z1">
        <v>10711.67</v>
      </c>
      <c r="AA1">
        <v>0</v>
      </c>
      <c r="AB1">
        <v>0</v>
      </c>
      <c r="AC1">
        <v>0</v>
      </c>
      <c r="AD1">
        <v>10711.67</v>
      </c>
      <c r="AE1">
        <v>0</v>
      </c>
      <c r="AF1">
        <v>0</v>
      </c>
      <c r="AG1">
        <v>0</v>
      </c>
      <c r="AH1">
        <v>0</v>
      </c>
      <c r="AI1">
        <v>0</v>
      </c>
      <c r="AJ1">
        <v>11</v>
      </c>
      <c r="AK1" t="s">
        <v>46</v>
      </c>
      <c r="AL1" t="s">
        <v>47</v>
      </c>
      <c r="AM1" t="s">
        <v>47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 t="s">
        <v>47</v>
      </c>
      <c r="AY1">
        <v>83</v>
      </c>
      <c r="AZ1">
        <v>847</v>
      </c>
      <c r="BA1" t="s">
        <v>48</v>
      </c>
      <c r="BB1" t="s">
        <v>47</v>
      </c>
      <c r="BC1" t="s">
        <v>49</v>
      </c>
      <c r="BD1" t="s">
        <v>47</v>
      </c>
      <c r="BE1">
        <v>0</v>
      </c>
      <c r="BF1" t="s">
        <v>47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 t="s">
        <v>50</v>
      </c>
      <c r="BS1">
        <v>0</v>
      </c>
      <c r="BT1" t="s">
        <v>51</v>
      </c>
      <c r="BU1" t="s">
        <v>52</v>
      </c>
      <c r="BV1">
        <v>0</v>
      </c>
      <c r="BW1" t="s">
        <v>48</v>
      </c>
      <c r="BX1" t="s">
        <v>51</v>
      </c>
      <c r="BY1" t="s">
        <v>49</v>
      </c>
      <c r="BZ1">
        <v>0</v>
      </c>
      <c r="CA1">
        <v>0</v>
      </c>
      <c r="CB1" t="s">
        <v>47</v>
      </c>
      <c r="CC1" t="s">
        <v>51</v>
      </c>
      <c r="CD1" t="s">
        <v>50</v>
      </c>
      <c r="CE1">
        <v>0</v>
      </c>
      <c r="CF1" t="s">
        <v>48</v>
      </c>
      <c r="CG1" t="s">
        <v>51</v>
      </c>
      <c r="CH1">
        <v>0</v>
      </c>
      <c r="CI1" t="s">
        <v>47</v>
      </c>
      <c r="CJ1">
        <v>0</v>
      </c>
      <c r="CK1" t="s">
        <v>53</v>
      </c>
      <c r="CL1">
        <v>0</v>
      </c>
      <c r="CM1">
        <v>24</v>
      </c>
      <c r="CN1">
        <v>0</v>
      </c>
      <c r="CO1">
        <v>20120716</v>
      </c>
      <c r="CP1">
        <v>0</v>
      </c>
      <c r="CQ1">
        <v>0</v>
      </c>
      <c r="CR1">
        <v>0</v>
      </c>
      <c r="CS1">
        <v>0</v>
      </c>
      <c r="CT1">
        <v>0</v>
      </c>
      <c r="CU1" t="s">
        <v>47</v>
      </c>
      <c r="CV1" t="s">
        <v>47</v>
      </c>
      <c r="CW1">
        <v>0</v>
      </c>
      <c r="CX1">
        <v>0</v>
      </c>
      <c r="CY1">
        <v>0</v>
      </c>
      <c r="CZ1" t="s">
        <v>47</v>
      </c>
      <c r="DA1" t="s">
        <v>47</v>
      </c>
      <c r="DB1" t="s">
        <v>47</v>
      </c>
      <c r="DC1" t="s">
        <v>47</v>
      </c>
      <c r="DD1" t="s">
        <v>47</v>
      </c>
      <c r="DE1" t="s">
        <v>47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 t="s">
        <v>54</v>
      </c>
      <c r="EK1" t="s">
        <v>54</v>
      </c>
      <c r="EL1" t="s">
        <v>54</v>
      </c>
      <c r="EM1" t="s">
        <v>54</v>
      </c>
      <c r="EN1" t="s">
        <v>54</v>
      </c>
      <c r="EO1" t="s">
        <v>54</v>
      </c>
      <c r="EP1" t="s">
        <v>54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 t="s">
        <v>54</v>
      </c>
      <c r="EY1" t="s">
        <v>54</v>
      </c>
      <c r="EZ1" t="s">
        <v>54</v>
      </c>
      <c r="FA1" t="s">
        <v>54</v>
      </c>
      <c r="FB1" t="s">
        <v>54</v>
      </c>
      <c r="FC1" t="s">
        <v>54</v>
      </c>
      <c r="FD1" t="s">
        <v>54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 t="s">
        <v>47</v>
      </c>
      <c r="FT1" t="s">
        <v>47</v>
      </c>
      <c r="FU1" t="s">
        <v>55</v>
      </c>
      <c r="FV1">
        <v>0</v>
      </c>
      <c r="FW1" t="s">
        <v>56</v>
      </c>
      <c r="FX1">
        <v>0</v>
      </c>
      <c r="FY1">
        <v>0</v>
      </c>
      <c r="FZ1" t="s">
        <v>47</v>
      </c>
      <c r="GA1" t="s">
        <v>49</v>
      </c>
      <c r="GB1" t="s">
        <v>49</v>
      </c>
      <c r="GC1" t="s">
        <v>49</v>
      </c>
      <c r="GD1" t="s">
        <v>49</v>
      </c>
      <c r="GE1" t="s">
        <v>49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 t="s">
        <v>47</v>
      </c>
      <c r="GM1" t="s">
        <v>47</v>
      </c>
      <c r="GN1" t="s">
        <v>47</v>
      </c>
      <c r="GO1">
        <v>0</v>
      </c>
      <c r="GP1" t="s">
        <v>56</v>
      </c>
      <c r="GQ1" t="s">
        <v>47</v>
      </c>
      <c r="GR1" t="s">
        <v>47</v>
      </c>
      <c r="GS1" t="s">
        <v>47</v>
      </c>
      <c r="GT1" t="s">
        <v>47</v>
      </c>
      <c r="GU1" t="s">
        <v>47</v>
      </c>
      <c r="GV1" t="s">
        <v>47</v>
      </c>
      <c r="GW1" t="s">
        <v>47</v>
      </c>
      <c r="GX1" t="s">
        <v>47</v>
      </c>
      <c r="GY1" t="s">
        <v>47</v>
      </c>
      <c r="GZ1" t="s">
        <v>47</v>
      </c>
      <c r="HA1">
        <v>0</v>
      </c>
      <c r="HB1" t="s">
        <v>57</v>
      </c>
      <c r="HC1">
        <v>0</v>
      </c>
      <c r="HD1">
        <v>0</v>
      </c>
    </row>
    <row r="2" spans="1:212" x14ac:dyDescent="0.25">
      <c r="A2">
        <v>2250033</v>
      </c>
      <c r="B2" t="s">
        <v>38</v>
      </c>
      <c r="C2">
        <v>1700</v>
      </c>
      <c r="D2">
        <v>0</v>
      </c>
      <c r="E2">
        <v>0</v>
      </c>
      <c r="F2">
        <v>1700</v>
      </c>
      <c r="G2">
        <v>1</v>
      </c>
      <c r="H2">
        <v>0</v>
      </c>
      <c r="I2">
        <v>0</v>
      </c>
      <c r="J2">
        <v>0</v>
      </c>
      <c r="K2" t="s">
        <v>39</v>
      </c>
      <c r="L2">
        <v>2250033</v>
      </c>
      <c r="M2">
        <v>2000</v>
      </c>
      <c r="N2" t="s">
        <v>40</v>
      </c>
      <c r="O2" t="s">
        <v>58</v>
      </c>
      <c r="P2" t="s">
        <v>42</v>
      </c>
      <c r="Q2" t="s">
        <v>59</v>
      </c>
      <c r="R2" t="s">
        <v>42</v>
      </c>
      <c r="S2" t="s">
        <v>44</v>
      </c>
      <c r="T2" t="s">
        <v>45</v>
      </c>
      <c r="U2">
        <v>6001</v>
      </c>
      <c r="V2">
        <v>0</v>
      </c>
      <c r="W2">
        <v>0</v>
      </c>
      <c r="X2">
        <v>0</v>
      </c>
      <c r="Y2">
        <v>1700</v>
      </c>
      <c r="Z2">
        <v>1700</v>
      </c>
      <c r="AA2">
        <v>0</v>
      </c>
      <c r="AB2">
        <v>0</v>
      </c>
      <c r="AC2">
        <v>0</v>
      </c>
      <c r="AD2">
        <v>1700</v>
      </c>
      <c r="AE2">
        <v>0</v>
      </c>
      <c r="AF2">
        <v>0</v>
      </c>
      <c r="AG2">
        <v>0</v>
      </c>
      <c r="AH2">
        <v>0</v>
      </c>
      <c r="AI2">
        <v>0</v>
      </c>
      <c r="AJ2">
        <v>33</v>
      </c>
      <c r="AK2" t="s">
        <v>60</v>
      </c>
      <c r="AL2" t="s">
        <v>47</v>
      </c>
      <c r="AM2" t="s">
        <v>47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 t="s">
        <v>47</v>
      </c>
      <c r="AY2">
        <v>129</v>
      </c>
      <c r="AZ2">
        <v>277</v>
      </c>
      <c r="BA2" t="s">
        <v>48</v>
      </c>
      <c r="BB2" t="s">
        <v>47</v>
      </c>
      <c r="BC2" t="s">
        <v>49</v>
      </c>
      <c r="BD2" t="s">
        <v>47</v>
      </c>
      <c r="BE2">
        <v>0</v>
      </c>
      <c r="BF2" t="s">
        <v>47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 t="s">
        <v>50</v>
      </c>
      <c r="BS2">
        <v>0</v>
      </c>
      <c r="BT2" t="s">
        <v>51</v>
      </c>
      <c r="BU2" t="s">
        <v>52</v>
      </c>
      <c r="BV2">
        <v>0</v>
      </c>
      <c r="BW2" t="s">
        <v>48</v>
      </c>
      <c r="BX2" t="s">
        <v>51</v>
      </c>
      <c r="BY2" t="s">
        <v>49</v>
      </c>
      <c r="BZ2">
        <v>0</v>
      </c>
      <c r="CA2">
        <v>0</v>
      </c>
      <c r="CB2" t="s">
        <v>47</v>
      </c>
      <c r="CC2" t="s">
        <v>51</v>
      </c>
      <c r="CD2" t="s">
        <v>50</v>
      </c>
      <c r="CE2">
        <v>0</v>
      </c>
      <c r="CF2" t="s">
        <v>48</v>
      </c>
      <c r="CG2" t="s">
        <v>51</v>
      </c>
      <c r="CH2">
        <v>0</v>
      </c>
      <c r="CI2" t="s">
        <v>47</v>
      </c>
      <c r="CJ2">
        <v>0</v>
      </c>
      <c r="CK2" t="s">
        <v>61</v>
      </c>
      <c r="CL2">
        <v>0</v>
      </c>
      <c r="CM2">
        <v>12.5</v>
      </c>
      <c r="CN2">
        <v>0</v>
      </c>
      <c r="CO2">
        <v>20120508</v>
      </c>
      <c r="CP2">
        <v>0</v>
      </c>
      <c r="CQ2">
        <v>0</v>
      </c>
      <c r="CR2">
        <v>0</v>
      </c>
      <c r="CS2">
        <v>0</v>
      </c>
      <c r="CT2">
        <v>0</v>
      </c>
      <c r="CU2" t="s">
        <v>47</v>
      </c>
      <c r="CV2" t="s">
        <v>47</v>
      </c>
      <c r="CW2">
        <v>0</v>
      </c>
      <c r="CX2">
        <v>0</v>
      </c>
      <c r="CY2">
        <v>0</v>
      </c>
      <c r="CZ2" t="s">
        <v>47</v>
      </c>
      <c r="DA2" t="s">
        <v>47</v>
      </c>
      <c r="DB2" t="s">
        <v>47</v>
      </c>
      <c r="DC2" t="s">
        <v>47</v>
      </c>
      <c r="DD2" t="s">
        <v>47</v>
      </c>
      <c r="DE2" t="s">
        <v>47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 t="s">
        <v>54</v>
      </c>
      <c r="EK2" t="s">
        <v>54</v>
      </c>
      <c r="EL2" t="s">
        <v>54</v>
      </c>
      <c r="EM2" t="s">
        <v>54</v>
      </c>
      <c r="EN2" t="s">
        <v>54</v>
      </c>
      <c r="EO2" t="s">
        <v>54</v>
      </c>
      <c r="EP2" t="s">
        <v>54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 t="s">
        <v>54</v>
      </c>
      <c r="EY2" t="s">
        <v>54</v>
      </c>
      <c r="EZ2" t="s">
        <v>54</v>
      </c>
      <c r="FA2" t="s">
        <v>54</v>
      </c>
      <c r="FB2" t="s">
        <v>54</v>
      </c>
      <c r="FC2" t="s">
        <v>54</v>
      </c>
      <c r="FD2" t="s">
        <v>54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 t="s">
        <v>47</v>
      </c>
      <c r="FT2" t="s">
        <v>47</v>
      </c>
      <c r="FU2" t="s">
        <v>55</v>
      </c>
      <c r="FV2">
        <v>0</v>
      </c>
      <c r="FW2" t="s">
        <v>56</v>
      </c>
      <c r="FX2">
        <v>0</v>
      </c>
      <c r="FY2">
        <v>0</v>
      </c>
      <c r="FZ2" t="s">
        <v>47</v>
      </c>
      <c r="GA2" t="s">
        <v>49</v>
      </c>
      <c r="GB2" t="s">
        <v>49</v>
      </c>
      <c r="GC2" t="s">
        <v>49</v>
      </c>
      <c r="GD2" t="s">
        <v>49</v>
      </c>
      <c r="GE2" t="s">
        <v>49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 t="s">
        <v>47</v>
      </c>
      <c r="GM2" t="s">
        <v>47</v>
      </c>
      <c r="GN2" t="s">
        <v>47</v>
      </c>
      <c r="GO2">
        <v>0</v>
      </c>
      <c r="GP2" t="s">
        <v>56</v>
      </c>
      <c r="GQ2" t="s">
        <v>47</v>
      </c>
      <c r="GR2" t="s">
        <v>47</v>
      </c>
      <c r="GS2" t="s">
        <v>47</v>
      </c>
      <c r="GT2" t="s">
        <v>47</v>
      </c>
      <c r="GU2" t="s">
        <v>47</v>
      </c>
      <c r="GV2" t="s">
        <v>47</v>
      </c>
      <c r="GW2" t="s">
        <v>47</v>
      </c>
      <c r="GX2" t="s">
        <v>47</v>
      </c>
      <c r="GY2" t="s">
        <v>47</v>
      </c>
      <c r="GZ2" t="s">
        <v>47</v>
      </c>
      <c r="HA2">
        <v>0</v>
      </c>
      <c r="HB2" t="s">
        <v>57</v>
      </c>
      <c r="HC2">
        <v>0</v>
      </c>
      <c r="HD2">
        <v>0</v>
      </c>
    </row>
    <row r="3" spans="1:212" x14ac:dyDescent="0.25">
      <c r="A3">
        <v>3890095</v>
      </c>
      <c r="B3" t="s">
        <v>38</v>
      </c>
      <c r="C3">
        <v>1700</v>
      </c>
      <c r="D3">
        <v>0</v>
      </c>
      <c r="E3">
        <v>0</v>
      </c>
      <c r="F3">
        <v>1700</v>
      </c>
      <c r="G3">
        <v>1</v>
      </c>
      <c r="H3">
        <v>0</v>
      </c>
      <c r="I3">
        <v>0</v>
      </c>
      <c r="J3">
        <v>0</v>
      </c>
      <c r="K3" t="s">
        <v>39</v>
      </c>
      <c r="L3">
        <v>3890095</v>
      </c>
      <c r="M3">
        <v>2000</v>
      </c>
      <c r="N3" t="s">
        <v>40</v>
      </c>
      <c r="O3" t="s">
        <v>62</v>
      </c>
      <c r="P3" t="s">
        <v>63</v>
      </c>
      <c r="Q3" t="s">
        <v>64</v>
      </c>
      <c r="R3" t="s">
        <v>42</v>
      </c>
      <c r="S3" t="s">
        <v>44</v>
      </c>
      <c r="T3" t="s">
        <v>45</v>
      </c>
      <c r="U3">
        <v>6010</v>
      </c>
      <c r="V3">
        <v>0</v>
      </c>
      <c r="W3">
        <v>0</v>
      </c>
      <c r="X3">
        <v>0</v>
      </c>
      <c r="Y3">
        <v>1700</v>
      </c>
      <c r="Z3">
        <v>1700</v>
      </c>
      <c r="AA3">
        <v>0</v>
      </c>
      <c r="AB3">
        <v>0</v>
      </c>
      <c r="AC3">
        <v>0</v>
      </c>
      <c r="AD3">
        <v>1700</v>
      </c>
      <c r="AE3">
        <v>0</v>
      </c>
      <c r="AF3">
        <v>0</v>
      </c>
      <c r="AG3">
        <v>0</v>
      </c>
      <c r="AH3">
        <v>0</v>
      </c>
      <c r="AI3">
        <v>0</v>
      </c>
      <c r="AJ3">
        <v>95</v>
      </c>
      <c r="AK3" t="s">
        <v>65</v>
      </c>
      <c r="AL3" t="s">
        <v>47</v>
      </c>
      <c r="AM3" t="s">
        <v>47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 t="s">
        <v>47</v>
      </c>
      <c r="AY3">
        <v>129</v>
      </c>
      <c r="AZ3">
        <v>273</v>
      </c>
      <c r="BA3" t="s">
        <v>48</v>
      </c>
      <c r="BB3" t="s">
        <v>47</v>
      </c>
      <c r="BC3" t="s">
        <v>49</v>
      </c>
      <c r="BD3" t="s">
        <v>47</v>
      </c>
      <c r="BE3">
        <v>0</v>
      </c>
      <c r="BF3" t="s">
        <v>47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 t="s">
        <v>50</v>
      </c>
      <c r="BS3">
        <v>0</v>
      </c>
      <c r="BT3" t="s">
        <v>51</v>
      </c>
      <c r="BU3" t="s">
        <v>52</v>
      </c>
      <c r="BV3">
        <v>0</v>
      </c>
      <c r="BW3" t="s">
        <v>48</v>
      </c>
      <c r="BX3" t="s">
        <v>51</v>
      </c>
      <c r="BY3" t="s">
        <v>49</v>
      </c>
      <c r="BZ3">
        <v>0</v>
      </c>
      <c r="CA3">
        <v>0</v>
      </c>
      <c r="CB3" t="s">
        <v>47</v>
      </c>
      <c r="CC3" t="s">
        <v>51</v>
      </c>
      <c r="CD3" t="s">
        <v>50</v>
      </c>
      <c r="CE3">
        <v>0</v>
      </c>
      <c r="CF3" t="s">
        <v>48</v>
      </c>
      <c r="CG3" t="s">
        <v>51</v>
      </c>
      <c r="CH3">
        <v>0</v>
      </c>
      <c r="CI3" t="s">
        <v>47</v>
      </c>
      <c r="CJ3">
        <v>0</v>
      </c>
      <c r="CK3" t="s">
        <v>66</v>
      </c>
      <c r="CL3">
        <v>0</v>
      </c>
      <c r="CM3">
        <v>24</v>
      </c>
      <c r="CN3">
        <v>0</v>
      </c>
      <c r="CO3">
        <v>20100503</v>
      </c>
      <c r="CP3">
        <v>0</v>
      </c>
      <c r="CQ3">
        <v>0</v>
      </c>
      <c r="CR3">
        <v>0</v>
      </c>
      <c r="CS3">
        <v>0</v>
      </c>
      <c r="CT3">
        <v>0</v>
      </c>
      <c r="CU3" t="s">
        <v>47</v>
      </c>
      <c r="CV3" t="s">
        <v>47</v>
      </c>
      <c r="CW3">
        <v>0</v>
      </c>
      <c r="CX3">
        <v>0</v>
      </c>
      <c r="CY3">
        <v>0</v>
      </c>
      <c r="CZ3" t="s">
        <v>47</v>
      </c>
      <c r="DA3" t="s">
        <v>47</v>
      </c>
      <c r="DB3" t="s">
        <v>47</v>
      </c>
      <c r="DC3" t="s">
        <v>47</v>
      </c>
      <c r="DD3" t="s">
        <v>47</v>
      </c>
      <c r="DE3" t="s">
        <v>47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 t="s">
        <v>54</v>
      </c>
      <c r="EK3" t="s">
        <v>54</v>
      </c>
      <c r="EL3" t="s">
        <v>54</v>
      </c>
      <c r="EM3" t="s">
        <v>54</v>
      </c>
      <c r="EN3" t="s">
        <v>54</v>
      </c>
      <c r="EO3" t="s">
        <v>54</v>
      </c>
      <c r="EP3" t="s">
        <v>54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 t="s">
        <v>54</v>
      </c>
      <c r="EY3" t="s">
        <v>54</v>
      </c>
      <c r="EZ3" t="s">
        <v>54</v>
      </c>
      <c r="FA3" t="s">
        <v>54</v>
      </c>
      <c r="FB3" t="s">
        <v>54</v>
      </c>
      <c r="FC3" t="s">
        <v>54</v>
      </c>
      <c r="FD3" t="s">
        <v>54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 t="s">
        <v>47</v>
      </c>
      <c r="FT3" t="s">
        <v>47</v>
      </c>
      <c r="FU3" t="s">
        <v>55</v>
      </c>
      <c r="FV3">
        <v>0</v>
      </c>
      <c r="FW3" t="s">
        <v>56</v>
      </c>
      <c r="FX3">
        <v>0</v>
      </c>
      <c r="FY3">
        <v>0</v>
      </c>
      <c r="FZ3" t="s">
        <v>47</v>
      </c>
      <c r="GA3" t="s">
        <v>49</v>
      </c>
      <c r="GB3" t="s">
        <v>49</v>
      </c>
      <c r="GC3" t="s">
        <v>49</v>
      </c>
      <c r="GD3" t="s">
        <v>49</v>
      </c>
      <c r="GE3" t="s">
        <v>49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 t="s">
        <v>47</v>
      </c>
      <c r="GM3" t="s">
        <v>47</v>
      </c>
      <c r="GN3" t="s">
        <v>47</v>
      </c>
      <c r="GO3">
        <v>0</v>
      </c>
      <c r="GP3" t="s">
        <v>56</v>
      </c>
      <c r="GQ3" t="s">
        <v>47</v>
      </c>
      <c r="GR3" t="s">
        <v>47</v>
      </c>
      <c r="GS3" t="s">
        <v>47</v>
      </c>
      <c r="GT3" t="s">
        <v>47</v>
      </c>
      <c r="GU3" t="s">
        <v>47</v>
      </c>
      <c r="GV3" t="s">
        <v>47</v>
      </c>
      <c r="GW3" t="s">
        <v>47</v>
      </c>
      <c r="GX3" t="s">
        <v>47</v>
      </c>
      <c r="GY3" t="s">
        <v>47</v>
      </c>
      <c r="GZ3" t="s">
        <v>47</v>
      </c>
      <c r="HA3">
        <v>0</v>
      </c>
      <c r="HB3" t="s">
        <v>57</v>
      </c>
      <c r="HC3">
        <v>0</v>
      </c>
      <c r="HD3">
        <v>0</v>
      </c>
    </row>
    <row r="5" spans="1:212" x14ac:dyDescent="0.25">
      <c r="A5" t="s">
        <v>134</v>
      </c>
    </row>
    <row r="6" spans="1:212" x14ac:dyDescent="0.25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87</v>
      </c>
      <c r="V6" t="s">
        <v>88</v>
      </c>
      <c r="W6" t="s">
        <v>89</v>
      </c>
      <c r="X6" t="s">
        <v>90</v>
      </c>
      <c r="Y6" t="s">
        <v>91</v>
      </c>
      <c r="Z6" t="s">
        <v>92</v>
      </c>
      <c r="AA6" t="s">
        <v>93</v>
      </c>
    </row>
    <row r="7" spans="1:212" x14ac:dyDescent="0.25">
      <c r="A7" t="s">
        <v>94</v>
      </c>
      <c r="B7">
        <v>376</v>
      </c>
      <c r="C7">
        <v>0</v>
      </c>
      <c r="D7">
        <v>1038</v>
      </c>
      <c r="E7">
        <v>0</v>
      </c>
      <c r="F7" t="s">
        <v>95</v>
      </c>
      <c r="G7" t="s">
        <v>96</v>
      </c>
      <c r="H7" t="s">
        <v>97</v>
      </c>
      <c r="I7" t="s">
        <v>98</v>
      </c>
      <c r="J7">
        <v>0</v>
      </c>
      <c r="K7" t="s">
        <v>23</v>
      </c>
      <c r="L7" t="s">
        <v>40</v>
      </c>
      <c r="N7">
        <v>1038</v>
      </c>
      <c r="O7">
        <v>0</v>
      </c>
      <c r="P7" t="s">
        <v>99</v>
      </c>
      <c r="Q7">
        <v>0</v>
      </c>
      <c r="R7">
        <v>0</v>
      </c>
      <c r="S7" t="s">
        <v>100</v>
      </c>
      <c r="T7" t="s">
        <v>101</v>
      </c>
      <c r="V7" t="s">
        <v>102</v>
      </c>
      <c r="W7" t="s">
        <v>103</v>
      </c>
      <c r="X7" t="s">
        <v>104</v>
      </c>
      <c r="Y7">
        <v>0</v>
      </c>
      <c r="Z7">
        <v>0</v>
      </c>
      <c r="AA7">
        <v>1267</v>
      </c>
    </row>
    <row r="8" spans="1:212" x14ac:dyDescent="0.25">
      <c r="A8" t="s">
        <v>94</v>
      </c>
      <c r="B8">
        <v>375</v>
      </c>
      <c r="C8">
        <v>42</v>
      </c>
      <c r="D8">
        <v>3458</v>
      </c>
      <c r="E8">
        <v>0</v>
      </c>
      <c r="F8" t="s">
        <v>105</v>
      </c>
      <c r="G8" t="s">
        <v>106</v>
      </c>
      <c r="H8" t="s">
        <v>97</v>
      </c>
      <c r="I8" t="s">
        <v>107</v>
      </c>
      <c r="J8">
        <v>8</v>
      </c>
      <c r="K8" t="s">
        <v>23</v>
      </c>
      <c r="L8" t="s">
        <v>40</v>
      </c>
      <c r="N8">
        <v>3458</v>
      </c>
      <c r="O8">
        <v>1391.02</v>
      </c>
      <c r="P8" t="s">
        <v>99</v>
      </c>
      <c r="Q8">
        <v>0</v>
      </c>
      <c r="R8">
        <v>0</v>
      </c>
      <c r="S8" t="s">
        <v>100</v>
      </c>
      <c r="T8" t="s">
        <v>101</v>
      </c>
      <c r="U8" t="s">
        <v>108</v>
      </c>
      <c r="V8" t="s">
        <v>109</v>
      </c>
      <c r="W8" t="s">
        <v>103</v>
      </c>
      <c r="X8" t="s">
        <v>104</v>
      </c>
      <c r="Y8">
        <v>12.5</v>
      </c>
      <c r="Z8">
        <v>0</v>
      </c>
      <c r="AA8">
        <v>1267</v>
      </c>
    </row>
    <row r="9" spans="1:212" x14ac:dyDescent="0.25">
      <c r="A9" t="s">
        <v>110</v>
      </c>
      <c r="B9">
        <v>539</v>
      </c>
      <c r="C9">
        <v>57</v>
      </c>
      <c r="D9">
        <v>2300</v>
      </c>
      <c r="E9">
        <v>209</v>
      </c>
      <c r="F9" t="s">
        <v>105</v>
      </c>
      <c r="G9" t="s">
        <v>111</v>
      </c>
      <c r="H9" t="s">
        <v>97</v>
      </c>
      <c r="I9" t="s">
        <v>107</v>
      </c>
      <c r="J9">
        <v>8</v>
      </c>
      <c r="K9" t="s">
        <v>23</v>
      </c>
      <c r="L9" t="s">
        <v>40</v>
      </c>
      <c r="N9">
        <v>2300</v>
      </c>
      <c r="O9">
        <v>1032.47</v>
      </c>
      <c r="P9" t="s">
        <v>112</v>
      </c>
      <c r="Q9">
        <v>0</v>
      </c>
      <c r="R9">
        <v>0</v>
      </c>
      <c r="S9" t="s">
        <v>113</v>
      </c>
      <c r="T9" t="s">
        <v>114</v>
      </c>
      <c r="U9" t="s">
        <v>115</v>
      </c>
      <c r="V9" t="s">
        <v>116</v>
      </c>
      <c r="W9" t="s">
        <v>117</v>
      </c>
      <c r="X9" t="s">
        <v>118</v>
      </c>
      <c r="Y9">
        <v>12.5</v>
      </c>
      <c r="Z9">
        <v>0</v>
      </c>
      <c r="AA9">
        <v>0</v>
      </c>
    </row>
    <row r="10" spans="1:212" x14ac:dyDescent="0.25">
      <c r="A10" t="s">
        <v>110</v>
      </c>
      <c r="B10">
        <v>538</v>
      </c>
      <c r="C10">
        <v>1</v>
      </c>
      <c r="D10">
        <v>1350</v>
      </c>
      <c r="E10">
        <v>0</v>
      </c>
      <c r="F10" t="s">
        <v>95</v>
      </c>
      <c r="G10" t="s">
        <v>96</v>
      </c>
      <c r="I10" t="s">
        <v>98</v>
      </c>
      <c r="J10">
        <v>0</v>
      </c>
      <c r="K10" t="s">
        <v>23</v>
      </c>
      <c r="L10" t="s">
        <v>40</v>
      </c>
      <c r="M10" t="s">
        <v>53</v>
      </c>
      <c r="N10">
        <v>1350</v>
      </c>
      <c r="O10">
        <v>0</v>
      </c>
      <c r="Q10">
        <v>0</v>
      </c>
      <c r="R10">
        <v>0</v>
      </c>
      <c r="S10" t="s">
        <v>119</v>
      </c>
      <c r="T10" t="s">
        <v>114</v>
      </c>
      <c r="U10" t="s">
        <v>115</v>
      </c>
      <c r="V10" t="s">
        <v>120</v>
      </c>
      <c r="W10" t="s">
        <v>117</v>
      </c>
      <c r="X10" t="s">
        <v>118</v>
      </c>
      <c r="Y10">
        <v>0</v>
      </c>
      <c r="Z10">
        <v>0</v>
      </c>
      <c r="AA10">
        <v>0</v>
      </c>
    </row>
    <row r="11" spans="1:212" x14ac:dyDescent="0.25">
      <c r="A11" t="s">
        <v>121</v>
      </c>
      <c r="B11">
        <v>970</v>
      </c>
      <c r="C11">
        <v>1</v>
      </c>
      <c r="D11">
        <v>968.22</v>
      </c>
      <c r="E11">
        <v>0</v>
      </c>
      <c r="F11" t="s">
        <v>95</v>
      </c>
      <c r="G11" t="s">
        <v>96</v>
      </c>
      <c r="I11" t="s">
        <v>98</v>
      </c>
      <c r="J11">
        <v>0</v>
      </c>
      <c r="K11" t="s">
        <v>23</v>
      </c>
      <c r="L11" t="s">
        <v>40</v>
      </c>
      <c r="M11" t="s">
        <v>53</v>
      </c>
      <c r="N11">
        <v>968.22</v>
      </c>
      <c r="O11">
        <v>0</v>
      </c>
      <c r="P11" t="s">
        <v>122</v>
      </c>
      <c r="Q11">
        <v>0</v>
      </c>
      <c r="R11">
        <v>0</v>
      </c>
      <c r="S11" t="s">
        <v>123</v>
      </c>
      <c r="T11" t="s">
        <v>124</v>
      </c>
      <c r="U11" t="s">
        <v>125</v>
      </c>
      <c r="W11" t="s">
        <v>126</v>
      </c>
      <c r="X11" t="s">
        <v>127</v>
      </c>
      <c r="Y11">
        <v>0</v>
      </c>
      <c r="Z11">
        <v>0</v>
      </c>
      <c r="AA11">
        <v>0</v>
      </c>
    </row>
    <row r="12" spans="1:212" x14ac:dyDescent="0.25">
      <c r="A12" t="s">
        <v>121</v>
      </c>
      <c r="B12">
        <v>969</v>
      </c>
      <c r="C12">
        <v>2</v>
      </c>
      <c r="D12">
        <v>247.26</v>
      </c>
      <c r="E12">
        <v>0</v>
      </c>
      <c r="F12" t="s">
        <v>128</v>
      </c>
      <c r="G12" t="s">
        <v>129</v>
      </c>
      <c r="I12" t="s">
        <v>98</v>
      </c>
      <c r="J12">
        <v>0</v>
      </c>
      <c r="K12" t="s">
        <v>23</v>
      </c>
      <c r="L12" t="s">
        <v>40</v>
      </c>
      <c r="M12" t="s">
        <v>53</v>
      </c>
      <c r="N12">
        <v>247.26</v>
      </c>
      <c r="O12">
        <v>0</v>
      </c>
      <c r="P12" t="s">
        <v>122</v>
      </c>
      <c r="Q12">
        <v>0</v>
      </c>
      <c r="R12">
        <v>0</v>
      </c>
      <c r="S12" t="s">
        <v>123</v>
      </c>
      <c r="T12" t="s">
        <v>124</v>
      </c>
      <c r="U12" t="s">
        <v>130</v>
      </c>
      <c r="V12" t="s">
        <v>131</v>
      </c>
      <c r="W12" t="s">
        <v>132</v>
      </c>
      <c r="X12" t="s">
        <v>133</v>
      </c>
      <c r="Y12">
        <v>0</v>
      </c>
      <c r="Z12">
        <v>0</v>
      </c>
      <c r="AA1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FCEE-9DFC-4FB9-854E-0C2C8AA84C71}">
  <dimension ref="A1:D39"/>
  <sheetViews>
    <sheetView topLeftCell="A19" workbookViewId="0">
      <selection activeCell="A37" sqref="A37"/>
    </sheetView>
  </sheetViews>
  <sheetFormatPr defaultRowHeight="15" x14ac:dyDescent="0.25"/>
  <cols>
    <col min="1" max="1" width="40.42578125" customWidth="1"/>
    <col min="2" max="2" width="53.42578125" customWidth="1"/>
    <col min="3" max="3" width="31.140625" customWidth="1"/>
  </cols>
  <sheetData>
    <row r="1" spans="1:4" x14ac:dyDescent="0.25">
      <c r="A1" t="s">
        <v>476</v>
      </c>
      <c r="B1" t="s">
        <v>477</v>
      </c>
      <c r="C1" t="s">
        <v>481</v>
      </c>
      <c r="D1" t="s">
        <v>482</v>
      </c>
    </row>
    <row r="2" spans="1:4" x14ac:dyDescent="0.25">
      <c r="A2" t="s">
        <v>475</v>
      </c>
      <c r="B2" t="s">
        <v>478</v>
      </c>
      <c r="C2" t="s">
        <v>483</v>
      </c>
      <c r="D2" t="s">
        <v>484</v>
      </c>
    </row>
    <row r="3" spans="1:4" x14ac:dyDescent="0.25">
      <c r="A3" t="s">
        <v>516</v>
      </c>
      <c r="B3" t="s">
        <v>479</v>
      </c>
      <c r="C3" t="s">
        <v>485</v>
      </c>
      <c r="D3" t="s">
        <v>486</v>
      </c>
    </row>
    <row r="4" spans="1:4" x14ac:dyDescent="0.25">
      <c r="A4" t="s">
        <v>520</v>
      </c>
      <c r="B4" t="s">
        <v>480</v>
      </c>
      <c r="C4" t="s">
        <v>487</v>
      </c>
      <c r="D4" t="s">
        <v>488</v>
      </c>
    </row>
    <row r="5" spans="1:4" x14ac:dyDescent="0.25">
      <c r="A5" t="s">
        <v>521</v>
      </c>
      <c r="B5" t="s">
        <v>517</v>
      </c>
      <c r="C5" t="s">
        <v>489</v>
      </c>
      <c r="D5" t="s">
        <v>490</v>
      </c>
    </row>
    <row r="6" spans="1:4" x14ac:dyDescent="0.25">
      <c r="A6" t="s">
        <v>47</v>
      </c>
      <c r="B6" t="s">
        <v>518</v>
      </c>
      <c r="C6" t="s">
        <v>491</v>
      </c>
      <c r="D6" t="s">
        <v>492</v>
      </c>
    </row>
    <row r="7" spans="1:4" x14ac:dyDescent="0.25">
      <c r="A7" t="s">
        <v>47</v>
      </c>
      <c r="B7" t="s">
        <v>519</v>
      </c>
      <c r="C7" t="s">
        <v>493</v>
      </c>
      <c r="D7" t="s">
        <v>494</v>
      </c>
    </row>
    <row r="8" spans="1:4" x14ac:dyDescent="0.25">
      <c r="C8" t="s">
        <v>495</v>
      </c>
      <c r="D8" t="s">
        <v>496</v>
      </c>
    </row>
    <row r="9" spans="1:4" x14ac:dyDescent="0.25">
      <c r="C9" t="s">
        <v>497</v>
      </c>
      <c r="D9" t="s">
        <v>498</v>
      </c>
    </row>
    <row r="10" spans="1:4" x14ac:dyDescent="0.25">
      <c r="C10" t="s">
        <v>499</v>
      </c>
      <c r="D10" t="s">
        <v>500</v>
      </c>
    </row>
    <row r="11" spans="1:4" x14ac:dyDescent="0.25">
      <c r="A11" t="s">
        <v>537</v>
      </c>
      <c r="C11" t="s">
        <v>501</v>
      </c>
      <c r="D11" t="s">
        <v>502</v>
      </c>
    </row>
    <row r="12" spans="1:4" x14ac:dyDescent="0.25">
      <c r="A12" t="s">
        <v>538</v>
      </c>
      <c r="C12" t="s">
        <v>503</v>
      </c>
      <c r="D12" t="s">
        <v>504</v>
      </c>
    </row>
    <row r="13" spans="1:4" x14ac:dyDescent="0.25">
      <c r="A13" t="s">
        <v>539</v>
      </c>
      <c r="C13" t="s">
        <v>505</v>
      </c>
      <c r="D13" t="s">
        <v>506</v>
      </c>
    </row>
    <row r="14" spans="1:4" x14ac:dyDescent="0.25">
      <c r="A14" t="s">
        <v>540</v>
      </c>
      <c r="C14" t="s">
        <v>507</v>
      </c>
      <c r="D14" t="s">
        <v>508</v>
      </c>
    </row>
    <row r="15" spans="1:4" x14ac:dyDescent="0.25">
      <c r="A15" t="s">
        <v>541</v>
      </c>
      <c r="C15" t="s">
        <v>509</v>
      </c>
      <c r="D15" t="s">
        <v>510</v>
      </c>
    </row>
    <row r="16" spans="1:4" x14ac:dyDescent="0.25">
      <c r="A16" t="s">
        <v>542</v>
      </c>
    </row>
    <row r="17" spans="1:1" x14ac:dyDescent="0.25">
      <c r="A17" t="s">
        <v>543</v>
      </c>
    </row>
    <row r="18" spans="1:1" x14ac:dyDescent="0.25">
      <c r="A18" t="s">
        <v>544</v>
      </c>
    </row>
    <row r="19" spans="1:1" x14ac:dyDescent="0.25">
      <c r="A19" t="s">
        <v>545</v>
      </c>
    </row>
    <row r="20" spans="1:1" x14ac:dyDescent="0.25">
      <c r="A20" t="s">
        <v>546</v>
      </c>
    </row>
    <row r="21" spans="1:1" x14ac:dyDescent="0.25">
      <c r="A21" t="s">
        <v>547</v>
      </c>
    </row>
    <row r="22" spans="1:1" x14ac:dyDescent="0.25">
      <c r="A22" t="s">
        <v>548</v>
      </c>
    </row>
    <row r="23" spans="1:1" x14ac:dyDescent="0.25">
      <c r="A23" t="s">
        <v>549</v>
      </c>
    </row>
    <row r="24" spans="1:1" x14ac:dyDescent="0.25">
      <c r="A24" t="s">
        <v>550</v>
      </c>
    </row>
    <row r="25" spans="1:1" x14ac:dyDescent="0.25">
      <c r="A25" t="s">
        <v>551</v>
      </c>
    </row>
    <row r="26" spans="1:1" x14ac:dyDescent="0.25">
      <c r="A26" t="s">
        <v>552</v>
      </c>
    </row>
    <row r="27" spans="1:1" x14ac:dyDescent="0.25">
      <c r="A27" t="s">
        <v>536</v>
      </c>
    </row>
    <row r="28" spans="1:1" x14ac:dyDescent="0.25">
      <c r="A28" t="s">
        <v>554</v>
      </c>
    </row>
    <row r="29" spans="1:1" x14ac:dyDescent="0.25">
      <c r="A29" t="s">
        <v>553</v>
      </c>
    </row>
    <row r="31" spans="1:1" x14ac:dyDescent="0.25">
      <c r="A31" t="s">
        <v>555</v>
      </c>
    </row>
    <row r="32" spans="1:1" x14ac:dyDescent="0.25">
      <c r="A32" t="s">
        <v>556</v>
      </c>
    </row>
    <row r="34" spans="1:1" s="12" customFormat="1" x14ac:dyDescent="0.25">
      <c r="A34" s="12" t="s">
        <v>557</v>
      </c>
    </row>
    <row r="35" spans="1:1" x14ac:dyDescent="0.25">
      <c r="A35" t="s">
        <v>561</v>
      </c>
    </row>
    <row r="36" spans="1:1" x14ac:dyDescent="0.25">
      <c r="A36" t="s">
        <v>562</v>
      </c>
    </row>
    <row r="37" spans="1:1" x14ac:dyDescent="0.25">
      <c r="A37" t="s">
        <v>558</v>
      </c>
    </row>
    <row r="38" spans="1:1" x14ac:dyDescent="0.25">
      <c r="A38" t="s">
        <v>559</v>
      </c>
    </row>
    <row r="39" spans="1:1" x14ac:dyDescent="0.25">
      <c r="A39" t="s">
        <v>560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5A27-2182-448A-9BBF-C48FE5ACA60C}">
  <dimension ref="A1:AA66"/>
  <sheetViews>
    <sheetView workbookViewId="0">
      <selection activeCell="E7" sqref="E7"/>
    </sheetView>
  </sheetViews>
  <sheetFormatPr defaultRowHeight="15" x14ac:dyDescent="0.25"/>
  <cols>
    <col min="1" max="1" width="22.42578125" customWidth="1"/>
    <col min="17" max="17" width="21.5703125" customWidth="1"/>
  </cols>
  <sheetData>
    <row r="1" spans="1:27" x14ac:dyDescent="0.25">
      <c r="A1" t="s">
        <v>86</v>
      </c>
      <c r="B1" t="s">
        <v>68</v>
      </c>
      <c r="C1" t="s">
        <v>67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</row>
    <row r="2" spans="1:27" x14ac:dyDescent="0.25">
      <c r="A2" t="s">
        <v>135</v>
      </c>
      <c r="B2">
        <v>387</v>
      </c>
      <c r="C2" t="s">
        <v>136</v>
      </c>
      <c r="D2">
        <v>73</v>
      </c>
      <c r="E2">
        <v>2544.6</v>
      </c>
      <c r="F2">
        <v>0</v>
      </c>
      <c r="G2" t="s">
        <v>137</v>
      </c>
      <c r="H2" t="s">
        <v>138</v>
      </c>
      <c r="I2" t="s">
        <v>97</v>
      </c>
      <c r="J2" t="s">
        <v>107</v>
      </c>
      <c r="K2">
        <v>8</v>
      </c>
      <c r="L2" t="s">
        <v>23</v>
      </c>
      <c r="M2" t="s">
        <v>40</v>
      </c>
      <c r="O2">
        <v>2544.6</v>
      </c>
      <c r="P2">
        <v>1194.27</v>
      </c>
      <c r="Q2" t="s">
        <v>139</v>
      </c>
      <c r="R2">
        <v>0</v>
      </c>
      <c r="S2">
        <v>0</v>
      </c>
      <c r="T2" t="s">
        <v>140</v>
      </c>
      <c r="V2" t="s">
        <v>141</v>
      </c>
      <c r="W2" t="s">
        <v>142</v>
      </c>
      <c r="X2" t="s">
        <v>143</v>
      </c>
      <c r="Y2">
        <v>12.5</v>
      </c>
      <c r="Z2">
        <v>0</v>
      </c>
      <c r="AA2">
        <v>0</v>
      </c>
    </row>
    <row r="3" spans="1:27" x14ac:dyDescent="0.25">
      <c r="A3" t="s">
        <v>135</v>
      </c>
      <c r="B3">
        <v>931</v>
      </c>
      <c r="C3" t="s">
        <v>144</v>
      </c>
      <c r="D3">
        <v>0</v>
      </c>
      <c r="E3">
        <v>2511.66</v>
      </c>
      <c r="F3">
        <v>0</v>
      </c>
      <c r="G3" t="s">
        <v>145</v>
      </c>
      <c r="H3" t="s">
        <v>146</v>
      </c>
      <c r="J3" t="s">
        <v>98</v>
      </c>
      <c r="K3">
        <v>0</v>
      </c>
      <c r="L3" t="s">
        <v>23</v>
      </c>
      <c r="M3" t="s">
        <v>40</v>
      </c>
      <c r="N3" t="s">
        <v>53</v>
      </c>
      <c r="O3">
        <v>2511.66</v>
      </c>
      <c r="P3">
        <v>0</v>
      </c>
      <c r="Q3" t="s">
        <v>147</v>
      </c>
      <c r="R3">
        <v>0</v>
      </c>
      <c r="S3">
        <v>0</v>
      </c>
      <c r="T3" t="s">
        <v>148</v>
      </c>
      <c r="V3" t="s">
        <v>149</v>
      </c>
      <c r="W3" t="s">
        <v>150</v>
      </c>
      <c r="X3" t="s">
        <v>143</v>
      </c>
      <c r="Y3">
        <v>0</v>
      </c>
      <c r="Z3">
        <v>0</v>
      </c>
      <c r="AA3">
        <v>0</v>
      </c>
    </row>
    <row r="4" spans="1:27" x14ac:dyDescent="0.25">
      <c r="A4" t="s">
        <v>151</v>
      </c>
      <c r="B4">
        <v>804</v>
      </c>
      <c r="C4" t="s">
        <v>152</v>
      </c>
      <c r="D4">
        <v>1</v>
      </c>
      <c r="E4">
        <v>1124.82</v>
      </c>
      <c r="F4">
        <v>0</v>
      </c>
      <c r="G4" t="s">
        <v>95</v>
      </c>
      <c r="H4" t="s">
        <v>96</v>
      </c>
      <c r="J4" t="s">
        <v>98</v>
      </c>
      <c r="K4">
        <v>0</v>
      </c>
      <c r="L4" t="s">
        <v>23</v>
      </c>
      <c r="M4" t="s">
        <v>40</v>
      </c>
      <c r="N4" t="s">
        <v>53</v>
      </c>
      <c r="O4">
        <v>1124.82</v>
      </c>
      <c r="P4">
        <v>41.75</v>
      </c>
      <c r="Q4" t="s">
        <v>153</v>
      </c>
      <c r="R4">
        <v>0</v>
      </c>
      <c r="S4">
        <v>0</v>
      </c>
      <c r="T4" t="s">
        <v>154</v>
      </c>
      <c r="U4" t="s">
        <v>155</v>
      </c>
      <c r="W4" t="s">
        <v>150</v>
      </c>
      <c r="X4" t="s">
        <v>143</v>
      </c>
      <c r="Y4">
        <v>0</v>
      </c>
      <c r="Z4">
        <v>0</v>
      </c>
      <c r="AA4">
        <v>0</v>
      </c>
    </row>
    <row r="5" spans="1:27" x14ac:dyDescent="0.25">
      <c r="A5" t="s">
        <v>151</v>
      </c>
      <c r="B5">
        <v>513</v>
      </c>
      <c r="C5" t="s">
        <v>156</v>
      </c>
      <c r="D5">
        <v>102</v>
      </c>
      <c r="E5">
        <v>6581.94</v>
      </c>
      <c r="F5">
        <v>0</v>
      </c>
      <c r="G5" t="s">
        <v>137</v>
      </c>
      <c r="H5" t="s">
        <v>157</v>
      </c>
      <c r="I5" t="s">
        <v>97</v>
      </c>
      <c r="J5" t="s">
        <v>107</v>
      </c>
      <c r="K5">
        <v>8</v>
      </c>
      <c r="L5" t="s">
        <v>23</v>
      </c>
      <c r="M5" t="s">
        <v>40</v>
      </c>
      <c r="O5">
        <v>6581.94</v>
      </c>
      <c r="P5">
        <v>2905.28</v>
      </c>
      <c r="Q5" t="s">
        <v>158</v>
      </c>
      <c r="R5">
        <v>0</v>
      </c>
      <c r="S5">
        <v>0</v>
      </c>
      <c r="T5" t="s">
        <v>159</v>
      </c>
      <c r="V5" t="s">
        <v>160</v>
      </c>
      <c r="W5" t="s">
        <v>161</v>
      </c>
      <c r="X5" t="s">
        <v>162</v>
      </c>
      <c r="Y5">
        <v>12.5</v>
      </c>
      <c r="Z5">
        <v>0</v>
      </c>
      <c r="AA5">
        <v>0</v>
      </c>
    </row>
    <row r="6" spans="1:27" x14ac:dyDescent="0.25">
      <c r="A6" t="s">
        <v>163</v>
      </c>
      <c r="B6">
        <v>165</v>
      </c>
      <c r="C6" t="s">
        <v>164</v>
      </c>
      <c r="D6">
        <v>1</v>
      </c>
      <c r="E6">
        <v>1607.1</v>
      </c>
      <c r="F6">
        <v>0</v>
      </c>
      <c r="G6" t="s">
        <v>95</v>
      </c>
      <c r="H6" t="s">
        <v>96</v>
      </c>
      <c r="J6" t="s">
        <v>98</v>
      </c>
      <c r="K6">
        <v>0</v>
      </c>
      <c r="L6" t="s">
        <v>23</v>
      </c>
      <c r="M6" t="s">
        <v>40</v>
      </c>
      <c r="N6" t="s">
        <v>53</v>
      </c>
      <c r="O6">
        <v>1607.1</v>
      </c>
      <c r="P6">
        <v>0</v>
      </c>
      <c r="Q6" t="s">
        <v>165</v>
      </c>
      <c r="R6">
        <v>0</v>
      </c>
      <c r="S6">
        <v>0</v>
      </c>
      <c r="T6" t="s">
        <v>166</v>
      </c>
      <c r="U6" t="s">
        <v>167</v>
      </c>
      <c r="W6" t="s">
        <v>168</v>
      </c>
      <c r="X6" t="s">
        <v>169</v>
      </c>
      <c r="Y6">
        <v>0</v>
      </c>
      <c r="Z6">
        <v>0</v>
      </c>
      <c r="AA6">
        <v>0</v>
      </c>
    </row>
    <row r="7" spans="1:27" x14ac:dyDescent="0.25">
      <c r="A7" t="s">
        <v>163</v>
      </c>
      <c r="B7">
        <v>239</v>
      </c>
      <c r="C7" t="s">
        <v>170</v>
      </c>
      <c r="D7">
        <v>1</v>
      </c>
      <c r="E7">
        <v>0</v>
      </c>
      <c r="F7">
        <v>0</v>
      </c>
      <c r="G7" t="s">
        <v>171</v>
      </c>
      <c r="H7" t="s">
        <v>172</v>
      </c>
      <c r="I7" t="s">
        <v>173</v>
      </c>
      <c r="J7" t="s">
        <v>98</v>
      </c>
      <c r="K7">
        <v>0</v>
      </c>
      <c r="L7" t="s">
        <v>23</v>
      </c>
      <c r="M7" t="s">
        <v>40</v>
      </c>
      <c r="N7" t="s">
        <v>53</v>
      </c>
      <c r="O7">
        <v>0</v>
      </c>
      <c r="P7">
        <v>0</v>
      </c>
      <c r="R7">
        <v>0</v>
      </c>
      <c r="S7">
        <v>0</v>
      </c>
      <c r="T7" t="s">
        <v>174</v>
      </c>
      <c r="U7" t="s">
        <v>175</v>
      </c>
      <c r="X7" t="s">
        <v>176</v>
      </c>
      <c r="Y7">
        <v>0</v>
      </c>
      <c r="Z7">
        <v>0</v>
      </c>
      <c r="AA7">
        <v>0</v>
      </c>
    </row>
    <row r="8" spans="1:27" x14ac:dyDescent="0.25">
      <c r="A8" t="s">
        <v>163</v>
      </c>
      <c r="B8">
        <v>195</v>
      </c>
      <c r="C8" t="s">
        <v>177</v>
      </c>
      <c r="D8">
        <v>16</v>
      </c>
      <c r="E8">
        <v>4142.6000000000004</v>
      </c>
      <c r="F8">
        <v>0</v>
      </c>
      <c r="G8" t="s">
        <v>105</v>
      </c>
      <c r="H8" t="s">
        <v>178</v>
      </c>
      <c r="I8" t="s">
        <v>97</v>
      </c>
      <c r="J8" t="s">
        <v>107</v>
      </c>
      <c r="K8">
        <v>8</v>
      </c>
      <c r="L8" t="s">
        <v>23</v>
      </c>
      <c r="M8" t="s">
        <v>40</v>
      </c>
      <c r="O8">
        <v>4142.6000000000004</v>
      </c>
      <c r="P8">
        <v>1434.38</v>
      </c>
      <c r="Q8" t="s">
        <v>179</v>
      </c>
      <c r="R8">
        <v>0</v>
      </c>
      <c r="S8">
        <v>0</v>
      </c>
      <c r="T8" t="s">
        <v>180</v>
      </c>
      <c r="V8" t="s">
        <v>181</v>
      </c>
      <c r="W8" t="s">
        <v>150</v>
      </c>
      <c r="X8" t="s">
        <v>143</v>
      </c>
      <c r="Y8">
        <v>12.5</v>
      </c>
      <c r="Z8">
        <v>0</v>
      </c>
      <c r="AA8">
        <v>0</v>
      </c>
    </row>
    <row r="9" spans="1:27" x14ac:dyDescent="0.25">
      <c r="A9" t="s">
        <v>182</v>
      </c>
      <c r="B9">
        <v>138</v>
      </c>
      <c r="C9" t="s">
        <v>183</v>
      </c>
      <c r="D9">
        <v>0</v>
      </c>
      <c r="E9">
        <v>1700</v>
      </c>
      <c r="F9">
        <v>0</v>
      </c>
      <c r="G9" t="s">
        <v>95</v>
      </c>
      <c r="H9" t="s">
        <v>96</v>
      </c>
      <c r="I9" t="s">
        <v>184</v>
      </c>
      <c r="J9" t="s">
        <v>98</v>
      </c>
      <c r="K9">
        <v>0</v>
      </c>
      <c r="L9" t="s">
        <v>185</v>
      </c>
      <c r="M9" t="s">
        <v>40</v>
      </c>
      <c r="O9">
        <v>1700</v>
      </c>
      <c r="P9">
        <v>0</v>
      </c>
      <c r="R9">
        <v>0</v>
      </c>
      <c r="S9">
        <v>0</v>
      </c>
      <c r="T9" t="s">
        <v>186</v>
      </c>
      <c r="V9" t="s">
        <v>187</v>
      </c>
      <c r="W9" t="s">
        <v>142</v>
      </c>
      <c r="X9" t="s">
        <v>143</v>
      </c>
      <c r="Y9">
        <v>0</v>
      </c>
      <c r="Z9">
        <v>0</v>
      </c>
      <c r="AA9">
        <v>0</v>
      </c>
    </row>
    <row r="10" spans="1:27" x14ac:dyDescent="0.25">
      <c r="A10" t="s">
        <v>182</v>
      </c>
      <c r="B10">
        <v>139</v>
      </c>
      <c r="C10" t="s">
        <v>188</v>
      </c>
      <c r="D10">
        <v>0</v>
      </c>
      <c r="E10">
        <v>1700</v>
      </c>
      <c r="F10">
        <v>0</v>
      </c>
      <c r="G10" t="s">
        <v>189</v>
      </c>
      <c r="H10" t="s">
        <v>190</v>
      </c>
      <c r="J10" t="s">
        <v>98</v>
      </c>
      <c r="K10">
        <v>0</v>
      </c>
      <c r="L10" t="s">
        <v>185</v>
      </c>
      <c r="M10" t="s">
        <v>61</v>
      </c>
      <c r="O10">
        <v>0</v>
      </c>
      <c r="P10">
        <v>0</v>
      </c>
      <c r="R10">
        <v>0</v>
      </c>
      <c r="S10">
        <v>0</v>
      </c>
      <c r="T10" t="s">
        <v>191</v>
      </c>
      <c r="U10" t="s">
        <v>192</v>
      </c>
      <c r="W10" t="s">
        <v>150</v>
      </c>
      <c r="X10" t="s">
        <v>143</v>
      </c>
      <c r="Y10">
        <v>0</v>
      </c>
      <c r="Z10">
        <v>0</v>
      </c>
      <c r="AA10">
        <v>0</v>
      </c>
    </row>
    <row r="11" spans="1:27" x14ac:dyDescent="0.25">
      <c r="A11" t="s">
        <v>193</v>
      </c>
      <c r="B11">
        <v>333</v>
      </c>
      <c r="C11" t="s">
        <v>194</v>
      </c>
      <c r="D11">
        <v>68</v>
      </c>
      <c r="E11">
        <v>2300</v>
      </c>
      <c r="F11">
        <v>209</v>
      </c>
      <c r="G11" t="s">
        <v>105</v>
      </c>
      <c r="H11" t="s">
        <v>195</v>
      </c>
      <c r="I11" t="s">
        <v>97</v>
      </c>
      <c r="J11" t="s">
        <v>107</v>
      </c>
      <c r="K11">
        <v>8</v>
      </c>
      <c r="L11" t="s">
        <v>23</v>
      </c>
      <c r="M11" t="s">
        <v>40</v>
      </c>
      <c r="O11">
        <v>2300</v>
      </c>
      <c r="P11">
        <v>1484.96</v>
      </c>
      <c r="Q11" t="s">
        <v>196</v>
      </c>
      <c r="R11">
        <v>0</v>
      </c>
      <c r="S11">
        <v>0</v>
      </c>
      <c r="T11" t="s">
        <v>197</v>
      </c>
      <c r="V11" t="s">
        <v>198</v>
      </c>
      <c r="W11" t="s">
        <v>199</v>
      </c>
      <c r="X11" t="s">
        <v>200</v>
      </c>
      <c r="Y11">
        <v>12.5</v>
      </c>
      <c r="Z11">
        <v>0</v>
      </c>
      <c r="AA11">
        <v>1130</v>
      </c>
    </row>
    <row r="12" spans="1:27" x14ac:dyDescent="0.25">
      <c r="A12" t="s">
        <v>193</v>
      </c>
      <c r="B12">
        <v>31</v>
      </c>
      <c r="C12" t="s">
        <v>201</v>
      </c>
      <c r="D12">
        <v>0</v>
      </c>
      <c r="E12">
        <v>201</v>
      </c>
      <c r="F12">
        <v>0</v>
      </c>
      <c r="G12" t="s">
        <v>95</v>
      </c>
      <c r="H12" t="s">
        <v>96</v>
      </c>
      <c r="J12" t="s">
        <v>98</v>
      </c>
      <c r="K12">
        <v>0</v>
      </c>
      <c r="L12" t="s">
        <v>23</v>
      </c>
      <c r="M12" t="s">
        <v>40</v>
      </c>
      <c r="O12">
        <v>201</v>
      </c>
      <c r="P12">
        <v>0</v>
      </c>
      <c r="Q12" t="s">
        <v>202</v>
      </c>
      <c r="R12">
        <v>0</v>
      </c>
      <c r="S12">
        <v>0</v>
      </c>
      <c r="T12" t="s">
        <v>197</v>
      </c>
      <c r="U12" t="s">
        <v>203</v>
      </c>
      <c r="W12" t="s">
        <v>204</v>
      </c>
      <c r="X12" t="s">
        <v>205</v>
      </c>
      <c r="Y12">
        <v>0</v>
      </c>
      <c r="Z12">
        <v>0</v>
      </c>
      <c r="AA12">
        <v>1130</v>
      </c>
    </row>
    <row r="13" spans="1:27" x14ac:dyDescent="0.25">
      <c r="A13" t="s">
        <v>206</v>
      </c>
      <c r="B13">
        <v>146</v>
      </c>
      <c r="C13" t="s">
        <v>207</v>
      </c>
      <c r="D13">
        <v>0</v>
      </c>
      <c r="E13">
        <v>1700</v>
      </c>
      <c r="F13">
        <v>0</v>
      </c>
      <c r="G13" t="s">
        <v>105</v>
      </c>
      <c r="H13" t="s">
        <v>208</v>
      </c>
      <c r="I13" t="s">
        <v>97</v>
      </c>
      <c r="J13" t="s">
        <v>98</v>
      </c>
      <c r="K13">
        <v>0</v>
      </c>
      <c r="L13" t="s">
        <v>23</v>
      </c>
      <c r="M13" t="s">
        <v>40</v>
      </c>
      <c r="O13">
        <v>1700</v>
      </c>
      <c r="P13">
        <v>0</v>
      </c>
      <c r="Q13" t="s">
        <v>209</v>
      </c>
      <c r="R13">
        <v>0</v>
      </c>
      <c r="S13">
        <v>0</v>
      </c>
      <c r="T13" t="s">
        <v>210</v>
      </c>
      <c r="V13" t="s">
        <v>211</v>
      </c>
      <c r="W13" t="s">
        <v>212</v>
      </c>
      <c r="X13" t="s">
        <v>213</v>
      </c>
      <c r="Y13">
        <v>12.5</v>
      </c>
      <c r="Z13">
        <v>0</v>
      </c>
      <c r="AA13">
        <v>0</v>
      </c>
    </row>
    <row r="14" spans="1:27" x14ac:dyDescent="0.25">
      <c r="A14" t="s">
        <v>206</v>
      </c>
      <c r="B14">
        <v>805</v>
      </c>
      <c r="C14" t="s">
        <v>214</v>
      </c>
      <c r="D14">
        <v>0</v>
      </c>
      <c r="E14">
        <v>1700</v>
      </c>
      <c r="F14">
        <v>1700</v>
      </c>
      <c r="G14" t="s">
        <v>95</v>
      </c>
      <c r="H14" t="s">
        <v>96</v>
      </c>
      <c r="J14" t="s">
        <v>98</v>
      </c>
      <c r="K14">
        <v>0</v>
      </c>
      <c r="L14" t="s">
        <v>23</v>
      </c>
      <c r="M14" t="s">
        <v>40</v>
      </c>
      <c r="O14">
        <v>1700</v>
      </c>
      <c r="P14">
        <v>0</v>
      </c>
      <c r="Q14" t="s">
        <v>215</v>
      </c>
      <c r="R14">
        <v>0</v>
      </c>
      <c r="S14">
        <v>1700</v>
      </c>
      <c r="T14" t="s">
        <v>216</v>
      </c>
      <c r="U14" t="s">
        <v>217</v>
      </c>
      <c r="V14" t="s">
        <v>218</v>
      </c>
      <c r="W14" t="s">
        <v>219</v>
      </c>
      <c r="X14" t="s">
        <v>220</v>
      </c>
      <c r="Y14">
        <v>0</v>
      </c>
      <c r="Z14">
        <v>0</v>
      </c>
      <c r="AA14">
        <v>0</v>
      </c>
    </row>
    <row r="15" spans="1:27" x14ac:dyDescent="0.25">
      <c r="A15" t="s">
        <v>221</v>
      </c>
      <c r="B15">
        <v>650</v>
      </c>
      <c r="C15" t="s">
        <v>222</v>
      </c>
      <c r="D15">
        <v>0</v>
      </c>
      <c r="E15">
        <v>108.3</v>
      </c>
      <c r="F15">
        <v>0</v>
      </c>
      <c r="G15" t="s">
        <v>95</v>
      </c>
      <c r="H15" t="s">
        <v>96</v>
      </c>
      <c r="J15" t="s">
        <v>98</v>
      </c>
      <c r="K15">
        <v>0</v>
      </c>
      <c r="L15" t="s">
        <v>23</v>
      </c>
      <c r="M15" t="s">
        <v>40</v>
      </c>
      <c r="N15" t="s">
        <v>53</v>
      </c>
      <c r="O15">
        <v>108.3</v>
      </c>
      <c r="P15">
        <v>13</v>
      </c>
      <c r="Q15" t="s">
        <v>223</v>
      </c>
      <c r="R15">
        <v>0</v>
      </c>
      <c r="S15">
        <v>0</v>
      </c>
      <c r="T15" t="s">
        <v>224</v>
      </c>
      <c r="U15" t="s">
        <v>225</v>
      </c>
      <c r="W15" t="s">
        <v>150</v>
      </c>
      <c r="X15" t="s">
        <v>143</v>
      </c>
      <c r="Y15">
        <v>0</v>
      </c>
      <c r="Z15">
        <v>0</v>
      </c>
      <c r="AA15">
        <v>2138</v>
      </c>
    </row>
    <row r="16" spans="1:27" x14ac:dyDescent="0.25">
      <c r="A16" t="s">
        <v>221</v>
      </c>
      <c r="B16">
        <v>649</v>
      </c>
      <c r="C16" t="s">
        <v>226</v>
      </c>
      <c r="D16">
        <v>0</v>
      </c>
      <c r="E16">
        <v>2300</v>
      </c>
      <c r="F16">
        <v>0</v>
      </c>
      <c r="G16" t="s">
        <v>137</v>
      </c>
      <c r="H16" t="s">
        <v>227</v>
      </c>
      <c r="I16" t="s">
        <v>97</v>
      </c>
      <c r="J16" t="s">
        <v>107</v>
      </c>
      <c r="K16">
        <v>8</v>
      </c>
      <c r="L16" t="s">
        <v>23</v>
      </c>
      <c r="M16" t="s">
        <v>40</v>
      </c>
      <c r="O16">
        <v>2300</v>
      </c>
      <c r="P16">
        <v>451.44</v>
      </c>
      <c r="Q16" t="s">
        <v>228</v>
      </c>
      <c r="R16">
        <v>0</v>
      </c>
      <c r="S16">
        <v>0</v>
      </c>
      <c r="T16" t="s">
        <v>229</v>
      </c>
      <c r="V16" t="s">
        <v>225</v>
      </c>
      <c r="W16" t="s">
        <v>142</v>
      </c>
      <c r="X16" t="s">
        <v>143</v>
      </c>
      <c r="Y16">
        <v>12.5</v>
      </c>
      <c r="Z16">
        <v>0</v>
      </c>
      <c r="AA16">
        <v>2138</v>
      </c>
    </row>
    <row r="17" spans="1:27" x14ac:dyDescent="0.25">
      <c r="A17" t="s">
        <v>230</v>
      </c>
      <c r="B17">
        <v>554</v>
      </c>
      <c r="C17" t="s">
        <v>231</v>
      </c>
      <c r="D17">
        <v>2</v>
      </c>
      <c r="E17">
        <v>2512.5</v>
      </c>
      <c r="F17">
        <v>0</v>
      </c>
      <c r="G17" t="s">
        <v>95</v>
      </c>
      <c r="H17" t="s">
        <v>96</v>
      </c>
      <c r="J17" t="s">
        <v>98</v>
      </c>
      <c r="K17">
        <v>0</v>
      </c>
      <c r="L17" t="s">
        <v>23</v>
      </c>
      <c r="M17" t="s">
        <v>40</v>
      </c>
      <c r="N17" t="s">
        <v>53</v>
      </c>
      <c r="O17">
        <v>2512.5</v>
      </c>
      <c r="P17">
        <v>0</v>
      </c>
      <c r="Q17" t="s">
        <v>232</v>
      </c>
      <c r="R17">
        <v>0</v>
      </c>
      <c r="S17">
        <v>0</v>
      </c>
      <c r="T17" t="s">
        <v>233</v>
      </c>
      <c r="U17" t="s">
        <v>234</v>
      </c>
      <c r="V17" t="s">
        <v>235</v>
      </c>
      <c r="W17" t="s">
        <v>150</v>
      </c>
      <c r="X17" t="s">
        <v>143</v>
      </c>
      <c r="Y17">
        <v>0</v>
      </c>
      <c r="Z17">
        <v>0</v>
      </c>
      <c r="AA17">
        <v>0</v>
      </c>
    </row>
    <row r="18" spans="1:27" x14ac:dyDescent="0.25">
      <c r="A18" t="s">
        <v>230</v>
      </c>
      <c r="B18">
        <v>553</v>
      </c>
      <c r="C18" t="s">
        <v>236</v>
      </c>
      <c r="D18">
        <v>107</v>
      </c>
      <c r="E18">
        <v>13957.8</v>
      </c>
      <c r="F18">
        <v>0</v>
      </c>
      <c r="G18" t="s">
        <v>105</v>
      </c>
      <c r="H18" t="s">
        <v>237</v>
      </c>
      <c r="I18" t="s">
        <v>97</v>
      </c>
      <c r="J18" t="s">
        <v>107</v>
      </c>
      <c r="K18">
        <v>8</v>
      </c>
      <c r="L18" t="s">
        <v>23</v>
      </c>
      <c r="M18" t="s">
        <v>40</v>
      </c>
      <c r="O18">
        <v>13957.8</v>
      </c>
      <c r="P18">
        <v>5640.71</v>
      </c>
      <c r="Q18" t="s">
        <v>158</v>
      </c>
      <c r="R18">
        <v>0</v>
      </c>
      <c r="S18">
        <v>0</v>
      </c>
      <c r="T18" t="s">
        <v>233</v>
      </c>
      <c r="V18" t="s">
        <v>235</v>
      </c>
      <c r="W18" t="s">
        <v>150</v>
      </c>
      <c r="X18" t="s">
        <v>143</v>
      </c>
      <c r="Y18">
        <v>12.5</v>
      </c>
      <c r="Z18">
        <v>0</v>
      </c>
      <c r="AA18">
        <v>0</v>
      </c>
    </row>
    <row r="19" spans="1:27" x14ac:dyDescent="0.25">
      <c r="A19" t="s">
        <v>238</v>
      </c>
      <c r="B19">
        <v>967</v>
      </c>
      <c r="C19" t="s">
        <v>239</v>
      </c>
      <c r="D19">
        <v>1</v>
      </c>
      <c r="E19">
        <v>1587.3</v>
      </c>
      <c r="F19">
        <v>0</v>
      </c>
      <c r="G19" t="s">
        <v>240</v>
      </c>
      <c r="H19" t="s">
        <v>241</v>
      </c>
      <c r="J19" t="s">
        <v>98</v>
      </c>
      <c r="K19">
        <v>0</v>
      </c>
      <c r="L19" t="s">
        <v>23</v>
      </c>
      <c r="M19" t="s">
        <v>40</v>
      </c>
      <c r="N19" t="s">
        <v>53</v>
      </c>
      <c r="O19">
        <v>1587.3</v>
      </c>
      <c r="P19">
        <v>0</v>
      </c>
      <c r="Q19" t="s">
        <v>242</v>
      </c>
      <c r="R19">
        <v>0</v>
      </c>
      <c r="S19">
        <v>0</v>
      </c>
      <c r="T19" t="s">
        <v>243</v>
      </c>
      <c r="U19" t="s">
        <v>244</v>
      </c>
      <c r="V19" t="s">
        <v>235</v>
      </c>
      <c r="W19" t="s">
        <v>150</v>
      </c>
      <c r="X19" t="s">
        <v>143</v>
      </c>
      <c r="Y19">
        <v>0</v>
      </c>
      <c r="Z19">
        <v>0</v>
      </c>
      <c r="AA19">
        <v>0</v>
      </c>
    </row>
    <row r="20" spans="1:27" x14ac:dyDescent="0.25">
      <c r="A20" t="s">
        <v>238</v>
      </c>
      <c r="B20">
        <v>548</v>
      </c>
      <c r="C20" t="s">
        <v>245</v>
      </c>
      <c r="D20">
        <v>0</v>
      </c>
      <c r="E20">
        <v>2348.8000000000002</v>
      </c>
      <c r="F20">
        <v>0</v>
      </c>
      <c r="G20" t="s">
        <v>105</v>
      </c>
      <c r="H20" t="s">
        <v>246</v>
      </c>
      <c r="I20" t="s">
        <v>97</v>
      </c>
      <c r="J20" t="s">
        <v>107</v>
      </c>
      <c r="K20">
        <v>8</v>
      </c>
      <c r="L20" t="s">
        <v>23</v>
      </c>
      <c r="M20" t="s">
        <v>40</v>
      </c>
      <c r="O20">
        <v>2348.8000000000002</v>
      </c>
      <c r="P20">
        <v>579.36</v>
      </c>
      <c r="Q20" t="s">
        <v>158</v>
      </c>
      <c r="R20">
        <v>0</v>
      </c>
      <c r="S20">
        <v>0</v>
      </c>
      <c r="T20" t="s">
        <v>247</v>
      </c>
      <c r="V20" t="s">
        <v>248</v>
      </c>
      <c r="W20" t="s">
        <v>142</v>
      </c>
      <c r="X20" t="s">
        <v>143</v>
      </c>
      <c r="Y20">
        <v>12.5</v>
      </c>
      <c r="Z20">
        <v>0</v>
      </c>
      <c r="AA20">
        <v>0</v>
      </c>
    </row>
    <row r="21" spans="1:27" x14ac:dyDescent="0.25">
      <c r="A21" t="s">
        <v>249</v>
      </c>
      <c r="B21">
        <v>398</v>
      </c>
      <c r="C21" t="s">
        <v>250</v>
      </c>
      <c r="D21">
        <v>89</v>
      </c>
      <c r="E21">
        <v>2679</v>
      </c>
      <c r="F21">
        <v>0</v>
      </c>
      <c r="G21" t="s">
        <v>105</v>
      </c>
      <c r="H21" t="s">
        <v>251</v>
      </c>
      <c r="I21" t="s">
        <v>97</v>
      </c>
      <c r="J21" t="s">
        <v>107</v>
      </c>
      <c r="K21">
        <v>8</v>
      </c>
      <c r="L21" t="s">
        <v>23</v>
      </c>
      <c r="M21" t="s">
        <v>40</v>
      </c>
      <c r="O21">
        <v>2679</v>
      </c>
      <c r="P21">
        <v>1049.76</v>
      </c>
      <c r="Q21" t="s">
        <v>158</v>
      </c>
      <c r="R21">
        <v>0</v>
      </c>
      <c r="S21">
        <v>0</v>
      </c>
      <c r="T21" t="s">
        <v>252</v>
      </c>
      <c r="V21" t="s">
        <v>253</v>
      </c>
      <c r="W21" t="s">
        <v>254</v>
      </c>
      <c r="X21" t="s">
        <v>255</v>
      </c>
      <c r="Y21">
        <v>12.5</v>
      </c>
      <c r="Z21">
        <v>0</v>
      </c>
      <c r="AA21">
        <v>0</v>
      </c>
    </row>
    <row r="22" spans="1:27" x14ac:dyDescent="0.25">
      <c r="A22" t="s">
        <v>249</v>
      </c>
      <c r="B22">
        <v>399</v>
      </c>
      <c r="C22" t="s">
        <v>256</v>
      </c>
      <c r="D22">
        <v>0</v>
      </c>
      <c r="E22">
        <v>1275</v>
      </c>
      <c r="F22">
        <v>0</v>
      </c>
      <c r="G22" t="s">
        <v>95</v>
      </c>
      <c r="H22" t="s">
        <v>96</v>
      </c>
      <c r="J22" t="s">
        <v>98</v>
      </c>
      <c r="K22">
        <v>0</v>
      </c>
      <c r="L22" t="s">
        <v>23</v>
      </c>
      <c r="M22" t="s">
        <v>40</v>
      </c>
      <c r="O22">
        <v>1275</v>
      </c>
      <c r="P22">
        <v>0</v>
      </c>
      <c r="Q22" t="s">
        <v>257</v>
      </c>
      <c r="R22">
        <v>0</v>
      </c>
      <c r="S22">
        <v>0</v>
      </c>
      <c r="T22" t="s">
        <v>258</v>
      </c>
      <c r="V22" t="s">
        <v>253</v>
      </c>
      <c r="W22" t="s">
        <v>259</v>
      </c>
      <c r="X22" t="s">
        <v>255</v>
      </c>
      <c r="Y22">
        <v>0</v>
      </c>
      <c r="Z22">
        <v>0</v>
      </c>
      <c r="AA22">
        <v>0</v>
      </c>
    </row>
    <row r="23" spans="1:27" x14ac:dyDescent="0.25">
      <c r="A23" t="s">
        <v>260</v>
      </c>
      <c r="B23">
        <v>545</v>
      </c>
      <c r="C23" t="s">
        <v>261</v>
      </c>
      <c r="D23">
        <v>0</v>
      </c>
      <c r="E23">
        <v>2310</v>
      </c>
      <c r="F23">
        <v>0</v>
      </c>
      <c r="G23" t="s">
        <v>105</v>
      </c>
      <c r="H23" t="s">
        <v>262</v>
      </c>
      <c r="I23" t="s">
        <v>97</v>
      </c>
      <c r="J23" t="s">
        <v>107</v>
      </c>
      <c r="K23">
        <v>8</v>
      </c>
      <c r="L23" t="s">
        <v>23</v>
      </c>
      <c r="M23" t="s">
        <v>40</v>
      </c>
      <c r="O23">
        <v>2310</v>
      </c>
      <c r="P23">
        <v>672</v>
      </c>
      <c r="Q23" t="s">
        <v>228</v>
      </c>
      <c r="R23">
        <v>0</v>
      </c>
      <c r="S23">
        <v>0</v>
      </c>
      <c r="T23" t="s">
        <v>263</v>
      </c>
      <c r="V23" t="s">
        <v>264</v>
      </c>
      <c r="W23" t="s">
        <v>265</v>
      </c>
      <c r="X23" t="s">
        <v>266</v>
      </c>
      <c r="Y23">
        <v>12.5</v>
      </c>
      <c r="Z23">
        <v>0</v>
      </c>
      <c r="AA23">
        <v>1792</v>
      </c>
    </row>
    <row r="24" spans="1:27" x14ac:dyDescent="0.25">
      <c r="A24" t="s">
        <v>260</v>
      </c>
      <c r="B24">
        <v>546</v>
      </c>
      <c r="C24" t="s">
        <v>267</v>
      </c>
      <c r="D24">
        <v>0</v>
      </c>
      <c r="E24">
        <v>280</v>
      </c>
      <c r="F24">
        <v>0</v>
      </c>
      <c r="G24" t="s">
        <v>95</v>
      </c>
      <c r="H24" t="s">
        <v>96</v>
      </c>
      <c r="J24" t="s">
        <v>98</v>
      </c>
      <c r="K24">
        <v>0</v>
      </c>
      <c r="L24" t="s">
        <v>23</v>
      </c>
      <c r="M24" t="s">
        <v>40</v>
      </c>
      <c r="O24">
        <v>280</v>
      </c>
      <c r="P24">
        <v>0</v>
      </c>
      <c r="R24">
        <v>0</v>
      </c>
      <c r="S24">
        <v>0</v>
      </c>
      <c r="T24" t="s">
        <v>268</v>
      </c>
      <c r="U24" t="s">
        <v>269</v>
      </c>
      <c r="V24" t="s">
        <v>270</v>
      </c>
      <c r="W24" t="s">
        <v>271</v>
      </c>
      <c r="X24" t="s">
        <v>272</v>
      </c>
      <c r="Y24">
        <v>0</v>
      </c>
      <c r="Z24">
        <v>0</v>
      </c>
      <c r="AA24">
        <v>1792</v>
      </c>
    </row>
    <row r="25" spans="1:27" x14ac:dyDescent="0.25">
      <c r="A25" t="s">
        <v>273</v>
      </c>
      <c r="B25">
        <v>170</v>
      </c>
      <c r="C25" t="s">
        <v>274</v>
      </c>
      <c r="D25">
        <v>1</v>
      </c>
      <c r="E25">
        <v>179.4</v>
      </c>
      <c r="F25">
        <v>0</v>
      </c>
      <c r="G25" t="s">
        <v>95</v>
      </c>
      <c r="H25" t="s">
        <v>96</v>
      </c>
      <c r="J25" t="s">
        <v>98</v>
      </c>
      <c r="K25">
        <v>0</v>
      </c>
      <c r="L25" t="s">
        <v>23</v>
      </c>
      <c r="M25" t="s">
        <v>40</v>
      </c>
      <c r="N25" t="s">
        <v>275</v>
      </c>
      <c r="O25">
        <v>179.4</v>
      </c>
      <c r="P25">
        <v>0</v>
      </c>
      <c r="Q25" t="s">
        <v>276</v>
      </c>
      <c r="R25">
        <v>0</v>
      </c>
      <c r="S25">
        <v>0</v>
      </c>
      <c r="T25" t="s">
        <v>277</v>
      </c>
      <c r="U25" t="s">
        <v>278</v>
      </c>
      <c r="W25" t="s">
        <v>279</v>
      </c>
      <c r="X25" t="s">
        <v>280</v>
      </c>
      <c r="Y25">
        <v>0</v>
      </c>
      <c r="Z25">
        <v>0</v>
      </c>
      <c r="AA25">
        <v>0</v>
      </c>
    </row>
    <row r="26" spans="1:27" x14ac:dyDescent="0.25">
      <c r="A26" t="s">
        <v>273</v>
      </c>
      <c r="B26">
        <v>169</v>
      </c>
      <c r="C26" t="s">
        <v>281</v>
      </c>
      <c r="D26">
        <v>33</v>
      </c>
      <c r="E26">
        <v>2300</v>
      </c>
      <c r="F26">
        <v>0</v>
      </c>
      <c r="G26" t="s">
        <v>137</v>
      </c>
      <c r="H26" t="s">
        <v>282</v>
      </c>
      <c r="I26" t="s">
        <v>97</v>
      </c>
      <c r="J26" t="s">
        <v>107</v>
      </c>
      <c r="K26">
        <v>8</v>
      </c>
      <c r="L26" t="s">
        <v>23</v>
      </c>
      <c r="M26" t="s">
        <v>40</v>
      </c>
      <c r="O26">
        <v>2300</v>
      </c>
      <c r="P26">
        <v>924.85</v>
      </c>
      <c r="Q26" t="s">
        <v>283</v>
      </c>
      <c r="R26">
        <v>0</v>
      </c>
      <c r="S26">
        <v>0</v>
      </c>
      <c r="T26" t="s">
        <v>284</v>
      </c>
      <c r="U26" t="s">
        <v>285</v>
      </c>
      <c r="V26" t="s">
        <v>286</v>
      </c>
      <c r="W26" t="s">
        <v>287</v>
      </c>
      <c r="X26" t="s">
        <v>280</v>
      </c>
      <c r="Y26">
        <v>12.5</v>
      </c>
      <c r="Z26">
        <v>0</v>
      </c>
      <c r="AA26">
        <v>0</v>
      </c>
    </row>
    <row r="27" spans="1:27" x14ac:dyDescent="0.25">
      <c r="A27" t="s">
        <v>288</v>
      </c>
      <c r="B27">
        <v>211</v>
      </c>
      <c r="C27" t="s">
        <v>289</v>
      </c>
      <c r="D27">
        <v>0</v>
      </c>
      <c r="E27">
        <v>1328.1</v>
      </c>
      <c r="F27">
        <v>1328.1</v>
      </c>
      <c r="G27" t="s">
        <v>95</v>
      </c>
      <c r="H27" t="s">
        <v>96</v>
      </c>
      <c r="I27" t="s">
        <v>290</v>
      </c>
      <c r="J27" t="s">
        <v>98</v>
      </c>
      <c r="K27">
        <v>0</v>
      </c>
      <c r="L27" t="s">
        <v>23</v>
      </c>
      <c r="M27" t="s">
        <v>40</v>
      </c>
      <c r="N27" t="s">
        <v>275</v>
      </c>
      <c r="O27">
        <v>1328.1</v>
      </c>
      <c r="P27">
        <v>0</v>
      </c>
      <c r="Q27" t="s">
        <v>291</v>
      </c>
      <c r="R27">
        <v>0</v>
      </c>
      <c r="S27">
        <v>1328.1</v>
      </c>
      <c r="T27" t="s">
        <v>292</v>
      </c>
      <c r="U27" t="s">
        <v>293</v>
      </c>
      <c r="W27" t="s">
        <v>294</v>
      </c>
      <c r="X27" t="s">
        <v>295</v>
      </c>
      <c r="Y27">
        <v>0</v>
      </c>
      <c r="Z27">
        <v>0</v>
      </c>
      <c r="AA27">
        <v>0</v>
      </c>
    </row>
    <row r="28" spans="1:27" x14ac:dyDescent="0.25">
      <c r="A28" t="s">
        <v>288</v>
      </c>
      <c r="B28">
        <v>209</v>
      </c>
      <c r="C28" t="s">
        <v>296</v>
      </c>
      <c r="D28">
        <v>48</v>
      </c>
      <c r="E28">
        <v>3713.84</v>
      </c>
      <c r="F28">
        <v>0</v>
      </c>
      <c r="G28" t="s">
        <v>105</v>
      </c>
      <c r="H28" t="s">
        <v>297</v>
      </c>
      <c r="I28" t="s">
        <v>97</v>
      </c>
      <c r="J28" t="s">
        <v>107</v>
      </c>
      <c r="K28">
        <v>8</v>
      </c>
      <c r="L28" t="s">
        <v>23</v>
      </c>
      <c r="M28" t="s">
        <v>40</v>
      </c>
      <c r="O28">
        <v>3713.84</v>
      </c>
      <c r="P28">
        <v>0</v>
      </c>
      <c r="Q28" t="s">
        <v>291</v>
      </c>
      <c r="R28">
        <v>0</v>
      </c>
      <c r="S28">
        <v>0</v>
      </c>
      <c r="T28" t="s">
        <v>298</v>
      </c>
      <c r="U28" t="s">
        <v>299</v>
      </c>
      <c r="V28" t="s">
        <v>300</v>
      </c>
      <c r="W28" t="s">
        <v>142</v>
      </c>
      <c r="X28" t="s">
        <v>143</v>
      </c>
      <c r="Y28">
        <v>12.5</v>
      </c>
      <c r="Z28">
        <v>0</v>
      </c>
      <c r="AA28">
        <v>0</v>
      </c>
    </row>
    <row r="29" spans="1:27" x14ac:dyDescent="0.25">
      <c r="A29" t="s">
        <v>288</v>
      </c>
      <c r="B29">
        <v>210</v>
      </c>
      <c r="C29" t="s">
        <v>301</v>
      </c>
      <c r="D29">
        <v>0</v>
      </c>
      <c r="E29">
        <v>237.6</v>
      </c>
      <c r="F29">
        <v>0</v>
      </c>
      <c r="G29" t="s">
        <v>95</v>
      </c>
      <c r="H29" t="s">
        <v>96</v>
      </c>
      <c r="J29" t="s">
        <v>98</v>
      </c>
      <c r="K29">
        <v>0</v>
      </c>
      <c r="L29" t="s">
        <v>23</v>
      </c>
      <c r="M29" t="s">
        <v>40</v>
      </c>
      <c r="O29">
        <v>237.6</v>
      </c>
      <c r="P29">
        <v>0</v>
      </c>
      <c r="Q29" t="s">
        <v>302</v>
      </c>
      <c r="R29">
        <v>0</v>
      </c>
      <c r="S29">
        <v>0</v>
      </c>
      <c r="T29" t="s">
        <v>303</v>
      </c>
      <c r="U29" t="s">
        <v>304</v>
      </c>
      <c r="V29" t="s">
        <v>300</v>
      </c>
      <c r="W29" t="s">
        <v>150</v>
      </c>
      <c r="X29" t="s">
        <v>143</v>
      </c>
      <c r="Y29">
        <v>0</v>
      </c>
      <c r="Z29">
        <v>0</v>
      </c>
      <c r="AA29">
        <v>0</v>
      </c>
    </row>
    <row r="30" spans="1:27" x14ac:dyDescent="0.25">
      <c r="A30" t="s">
        <v>305</v>
      </c>
      <c r="B30">
        <v>411</v>
      </c>
      <c r="C30" t="s">
        <v>306</v>
      </c>
      <c r="D30">
        <v>0</v>
      </c>
      <c r="E30">
        <v>2300</v>
      </c>
      <c r="F30">
        <v>0</v>
      </c>
      <c r="G30" t="s">
        <v>105</v>
      </c>
      <c r="H30" t="s">
        <v>307</v>
      </c>
      <c r="I30" t="s">
        <v>97</v>
      </c>
      <c r="J30" t="s">
        <v>107</v>
      </c>
      <c r="K30">
        <v>8</v>
      </c>
      <c r="L30" t="s">
        <v>23</v>
      </c>
      <c r="M30" t="s">
        <v>40</v>
      </c>
      <c r="O30">
        <v>2300</v>
      </c>
      <c r="P30">
        <v>153.22999999999999</v>
      </c>
      <c r="Q30" t="s">
        <v>308</v>
      </c>
      <c r="R30">
        <v>0</v>
      </c>
      <c r="S30">
        <v>0</v>
      </c>
      <c r="T30" t="s">
        <v>309</v>
      </c>
      <c r="V30" t="s">
        <v>310</v>
      </c>
      <c r="W30" t="s">
        <v>311</v>
      </c>
      <c r="X30" t="s">
        <v>312</v>
      </c>
      <c r="Y30">
        <v>12.5</v>
      </c>
      <c r="Z30">
        <v>0</v>
      </c>
      <c r="AA30">
        <v>0</v>
      </c>
    </row>
    <row r="31" spans="1:27" x14ac:dyDescent="0.25">
      <c r="A31" t="s">
        <v>305</v>
      </c>
      <c r="B31">
        <v>608</v>
      </c>
      <c r="C31" t="s">
        <v>313</v>
      </c>
      <c r="D31">
        <v>1</v>
      </c>
      <c r="E31">
        <v>1461.6</v>
      </c>
      <c r="F31">
        <v>0</v>
      </c>
      <c r="G31" t="s">
        <v>95</v>
      </c>
      <c r="H31" t="s">
        <v>96</v>
      </c>
      <c r="J31" t="s">
        <v>98</v>
      </c>
      <c r="K31">
        <v>0</v>
      </c>
      <c r="L31" t="s">
        <v>23</v>
      </c>
      <c r="M31" t="s">
        <v>40</v>
      </c>
      <c r="N31" t="s">
        <v>53</v>
      </c>
      <c r="O31">
        <v>1461.6</v>
      </c>
      <c r="P31">
        <v>0</v>
      </c>
      <c r="Q31" t="s">
        <v>314</v>
      </c>
      <c r="R31">
        <v>0</v>
      </c>
      <c r="S31">
        <v>0</v>
      </c>
      <c r="T31" t="s">
        <v>315</v>
      </c>
      <c r="U31" t="s">
        <v>316</v>
      </c>
      <c r="W31" t="s">
        <v>317</v>
      </c>
      <c r="X31" t="s">
        <v>318</v>
      </c>
      <c r="Y31">
        <v>0</v>
      </c>
      <c r="Z31">
        <v>0</v>
      </c>
      <c r="AA31">
        <v>0</v>
      </c>
    </row>
    <row r="32" spans="1:27" x14ac:dyDescent="0.25">
      <c r="A32" t="s">
        <v>319</v>
      </c>
      <c r="B32">
        <v>316</v>
      </c>
      <c r="C32" t="s">
        <v>320</v>
      </c>
      <c r="D32">
        <v>0</v>
      </c>
      <c r="E32">
        <v>6015.6</v>
      </c>
      <c r="F32">
        <v>0</v>
      </c>
      <c r="G32" t="s">
        <v>105</v>
      </c>
      <c r="H32" t="s">
        <v>321</v>
      </c>
      <c r="J32" t="s">
        <v>322</v>
      </c>
      <c r="K32">
        <v>0</v>
      </c>
      <c r="L32" t="s">
        <v>23</v>
      </c>
      <c r="M32" t="s">
        <v>40</v>
      </c>
      <c r="O32">
        <v>6015.6</v>
      </c>
      <c r="P32">
        <v>0</v>
      </c>
      <c r="R32">
        <v>0</v>
      </c>
      <c r="S32">
        <v>0</v>
      </c>
      <c r="T32" t="s">
        <v>323</v>
      </c>
      <c r="V32" t="s">
        <v>324</v>
      </c>
      <c r="W32" t="s">
        <v>325</v>
      </c>
      <c r="X32" t="s">
        <v>326</v>
      </c>
      <c r="Y32">
        <v>0</v>
      </c>
      <c r="Z32">
        <v>0</v>
      </c>
      <c r="AA32">
        <v>0</v>
      </c>
    </row>
    <row r="33" spans="1:27" x14ac:dyDescent="0.25">
      <c r="A33" t="s">
        <v>319</v>
      </c>
      <c r="B33">
        <v>968</v>
      </c>
      <c r="C33" t="s">
        <v>327</v>
      </c>
      <c r="D33">
        <v>1</v>
      </c>
      <c r="E33">
        <v>1226.7</v>
      </c>
      <c r="F33">
        <v>0</v>
      </c>
      <c r="G33" t="s">
        <v>328</v>
      </c>
      <c r="H33" t="s">
        <v>329</v>
      </c>
      <c r="J33" t="s">
        <v>98</v>
      </c>
      <c r="K33">
        <v>0</v>
      </c>
      <c r="L33" t="s">
        <v>23</v>
      </c>
      <c r="M33" t="s">
        <v>40</v>
      </c>
      <c r="N33" t="s">
        <v>53</v>
      </c>
      <c r="O33">
        <v>1226.7</v>
      </c>
      <c r="P33">
        <v>0</v>
      </c>
      <c r="Q33" t="s">
        <v>330</v>
      </c>
      <c r="R33">
        <v>0</v>
      </c>
      <c r="S33">
        <v>0</v>
      </c>
      <c r="T33" t="s">
        <v>331</v>
      </c>
      <c r="U33" t="s">
        <v>332</v>
      </c>
      <c r="V33" t="s">
        <v>333</v>
      </c>
      <c r="W33" t="s">
        <v>334</v>
      </c>
      <c r="X33" t="s">
        <v>335</v>
      </c>
      <c r="Y33">
        <v>0</v>
      </c>
      <c r="Z33">
        <v>0</v>
      </c>
      <c r="AA33">
        <v>0</v>
      </c>
    </row>
    <row r="34" spans="1:27" x14ac:dyDescent="0.25">
      <c r="A34" t="s">
        <v>319</v>
      </c>
      <c r="B34">
        <v>315</v>
      </c>
      <c r="C34" t="s">
        <v>336</v>
      </c>
      <c r="D34">
        <v>64</v>
      </c>
      <c r="E34">
        <v>49719.5</v>
      </c>
      <c r="F34">
        <v>0</v>
      </c>
      <c r="G34" t="s">
        <v>105</v>
      </c>
      <c r="H34" t="s">
        <v>321</v>
      </c>
      <c r="I34" t="s">
        <v>97</v>
      </c>
      <c r="J34" t="s">
        <v>107</v>
      </c>
      <c r="K34">
        <v>8</v>
      </c>
      <c r="L34" t="s">
        <v>23</v>
      </c>
      <c r="M34" t="s">
        <v>40</v>
      </c>
      <c r="O34">
        <v>49719.5</v>
      </c>
      <c r="P34">
        <v>19888</v>
      </c>
      <c r="Q34" t="s">
        <v>337</v>
      </c>
      <c r="R34">
        <v>0</v>
      </c>
      <c r="S34">
        <v>0</v>
      </c>
      <c r="T34" t="s">
        <v>323</v>
      </c>
      <c r="V34" t="s">
        <v>324</v>
      </c>
      <c r="W34" t="s">
        <v>325</v>
      </c>
      <c r="X34" t="s">
        <v>326</v>
      </c>
      <c r="Y34">
        <v>12.5</v>
      </c>
      <c r="Z34">
        <v>0</v>
      </c>
      <c r="AA34">
        <v>0</v>
      </c>
    </row>
    <row r="35" spans="1:27" x14ac:dyDescent="0.25">
      <c r="A35" t="s">
        <v>338</v>
      </c>
      <c r="B35">
        <v>607</v>
      </c>
      <c r="C35" t="s">
        <v>339</v>
      </c>
      <c r="D35">
        <v>1</v>
      </c>
      <c r="E35">
        <v>6210.6</v>
      </c>
      <c r="F35">
        <v>0</v>
      </c>
      <c r="G35" t="s">
        <v>95</v>
      </c>
      <c r="H35" t="s">
        <v>96</v>
      </c>
      <c r="J35" t="s">
        <v>98</v>
      </c>
      <c r="K35">
        <v>0</v>
      </c>
      <c r="L35" t="s">
        <v>23</v>
      </c>
      <c r="M35" t="s">
        <v>40</v>
      </c>
      <c r="N35" t="s">
        <v>53</v>
      </c>
      <c r="O35">
        <v>6210.6</v>
      </c>
      <c r="P35">
        <v>0</v>
      </c>
      <c r="Q35" t="s">
        <v>340</v>
      </c>
      <c r="R35">
        <v>0</v>
      </c>
      <c r="S35">
        <v>0</v>
      </c>
      <c r="T35" t="s">
        <v>341</v>
      </c>
      <c r="U35" t="s">
        <v>316</v>
      </c>
      <c r="V35" t="s">
        <v>342</v>
      </c>
      <c r="W35" t="s">
        <v>45</v>
      </c>
      <c r="X35" t="s">
        <v>318</v>
      </c>
      <c r="Y35">
        <v>0</v>
      </c>
      <c r="Z35">
        <v>0</v>
      </c>
      <c r="AA35">
        <v>0</v>
      </c>
    </row>
    <row r="36" spans="1:27" x14ac:dyDescent="0.25">
      <c r="A36" t="s">
        <v>338</v>
      </c>
      <c r="B36">
        <v>93</v>
      </c>
      <c r="C36" t="s">
        <v>343</v>
      </c>
      <c r="D36">
        <v>21</v>
      </c>
      <c r="E36">
        <v>10157.780000000001</v>
      </c>
      <c r="F36">
        <v>923</v>
      </c>
      <c r="G36" t="s">
        <v>137</v>
      </c>
      <c r="H36" t="s">
        <v>282</v>
      </c>
      <c r="I36" t="s">
        <v>97</v>
      </c>
      <c r="J36" t="s">
        <v>107</v>
      </c>
      <c r="K36">
        <v>8</v>
      </c>
      <c r="L36" t="s">
        <v>23</v>
      </c>
      <c r="M36" t="s">
        <v>40</v>
      </c>
      <c r="O36">
        <v>10157.780000000001</v>
      </c>
      <c r="P36">
        <v>5754.74</v>
      </c>
      <c r="Q36" t="s">
        <v>344</v>
      </c>
      <c r="R36">
        <v>0</v>
      </c>
      <c r="S36">
        <v>0</v>
      </c>
      <c r="T36" t="s">
        <v>345</v>
      </c>
      <c r="U36" t="s">
        <v>346</v>
      </c>
      <c r="V36" t="s">
        <v>347</v>
      </c>
      <c r="W36" t="s">
        <v>142</v>
      </c>
      <c r="X36" t="s">
        <v>143</v>
      </c>
      <c r="Y36">
        <v>12.5</v>
      </c>
      <c r="Z36">
        <v>0</v>
      </c>
      <c r="AA36">
        <v>0</v>
      </c>
    </row>
    <row r="37" spans="1:27" x14ac:dyDescent="0.25">
      <c r="A37" t="s">
        <v>338</v>
      </c>
      <c r="B37">
        <v>94</v>
      </c>
      <c r="C37" t="s">
        <v>348</v>
      </c>
      <c r="D37">
        <v>2</v>
      </c>
      <c r="E37">
        <v>6210.6</v>
      </c>
      <c r="F37">
        <v>0</v>
      </c>
      <c r="G37" t="s">
        <v>95</v>
      </c>
      <c r="H37" t="s">
        <v>96</v>
      </c>
      <c r="J37" t="s">
        <v>322</v>
      </c>
      <c r="K37">
        <v>0</v>
      </c>
      <c r="L37" t="s">
        <v>23</v>
      </c>
      <c r="M37" t="s">
        <v>40</v>
      </c>
      <c r="N37" t="s">
        <v>53</v>
      </c>
      <c r="O37">
        <v>6210.6</v>
      </c>
      <c r="P37">
        <v>0</v>
      </c>
      <c r="Q37" t="s">
        <v>340</v>
      </c>
      <c r="R37">
        <v>0</v>
      </c>
      <c r="S37">
        <v>0</v>
      </c>
      <c r="T37" t="s">
        <v>349</v>
      </c>
      <c r="U37" t="s">
        <v>350</v>
      </c>
      <c r="V37" t="s">
        <v>316</v>
      </c>
      <c r="W37" t="s">
        <v>317</v>
      </c>
      <c r="X37" t="s">
        <v>318</v>
      </c>
      <c r="Y37">
        <v>0</v>
      </c>
      <c r="Z37">
        <v>0</v>
      </c>
      <c r="AA37">
        <v>0</v>
      </c>
    </row>
    <row r="38" spans="1:27" x14ac:dyDescent="0.25">
      <c r="A38" t="s">
        <v>124</v>
      </c>
      <c r="B38">
        <v>177</v>
      </c>
      <c r="C38" t="s">
        <v>351</v>
      </c>
      <c r="D38">
        <v>34</v>
      </c>
      <c r="E38">
        <v>4540</v>
      </c>
      <c r="F38">
        <v>413</v>
      </c>
      <c r="G38" t="s">
        <v>105</v>
      </c>
      <c r="H38" t="s">
        <v>352</v>
      </c>
      <c r="I38" t="s">
        <v>97</v>
      </c>
      <c r="J38" t="s">
        <v>107</v>
      </c>
      <c r="K38">
        <v>8</v>
      </c>
      <c r="L38" t="s">
        <v>23</v>
      </c>
      <c r="M38" t="s">
        <v>40</v>
      </c>
      <c r="O38">
        <v>4540</v>
      </c>
      <c r="P38">
        <v>1841.98</v>
      </c>
      <c r="Q38" t="s">
        <v>99</v>
      </c>
      <c r="R38">
        <v>0</v>
      </c>
      <c r="S38">
        <v>0</v>
      </c>
      <c r="T38" t="s">
        <v>353</v>
      </c>
      <c r="V38" t="s">
        <v>354</v>
      </c>
      <c r="W38" t="s">
        <v>355</v>
      </c>
      <c r="X38" t="s">
        <v>356</v>
      </c>
      <c r="Y38">
        <v>12.5</v>
      </c>
      <c r="Z38">
        <v>0</v>
      </c>
      <c r="AA38">
        <v>0</v>
      </c>
    </row>
    <row r="39" spans="1:27" x14ac:dyDescent="0.25">
      <c r="A39" t="s">
        <v>124</v>
      </c>
      <c r="B39">
        <v>969</v>
      </c>
      <c r="C39" t="s">
        <v>121</v>
      </c>
      <c r="D39">
        <v>2</v>
      </c>
      <c r="E39">
        <v>247.26</v>
      </c>
      <c r="F39">
        <v>0</v>
      </c>
      <c r="G39" t="s">
        <v>128</v>
      </c>
      <c r="H39" t="s">
        <v>129</v>
      </c>
      <c r="J39" t="s">
        <v>98</v>
      </c>
      <c r="K39">
        <v>0</v>
      </c>
      <c r="L39" t="s">
        <v>23</v>
      </c>
      <c r="M39" t="s">
        <v>40</v>
      </c>
      <c r="N39" t="s">
        <v>53</v>
      </c>
      <c r="O39">
        <v>247.26</v>
      </c>
      <c r="P39">
        <v>0</v>
      </c>
      <c r="Q39" t="s">
        <v>122</v>
      </c>
      <c r="R39">
        <v>0</v>
      </c>
      <c r="S39">
        <v>0</v>
      </c>
      <c r="T39" t="s">
        <v>123</v>
      </c>
      <c r="U39" t="s">
        <v>130</v>
      </c>
      <c r="V39" t="s">
        <v>131</v>
      </c>
      <c r="W39" t="s">
        <v>132</v>
      </c>
      <c r="X39" t="s">
        <v>133</v>
      </c>
      <c r="Y39">
        <v>0</v>
      </c>
      <c r="Z39">
        <v>0</v>
      </c>
      <c r="AA39">
        <v>0</v>
      </c>
    </row>
    <row r="40" spans="1:27" x14ac:dyDescent="0.25">
      <c r="A40" t="s">
        <v>124</v>
      </c>
      <c r="B40">
        <v>970</v>
      </c>
      <c r="C40" t="s">
        <v>121</v>
      </c>
      <c r="D40">
        <v>1</v>
      </c>
      <c r="E40">
        <v>968.22</v>
      </c>
      <c r="F40">
        <v>0</v>
      </c>
      <c r="G40" t="s">
        <v>95</v>
      </c>
      <c r="H40" t="s">
        <v>96</v>
      </c>
      <c r="J40" t="s">
        <v>98</v>
      </c>
      <c r="K40">
        <v>0</v>
      </c>
      <c r="L40" t="s">
        <v>23</v>
      </c>
      <c r="M40" t="s">
        <v>40</v>
      </c>
      <c r="N40" t="s">
        <v>53</v>
      </c>
      <c r="O40">
        <v>968.22</v>
      </c>
      <c r="P40">
        <v>0</v>
      </c>
      <c r="Q40" t="s">
        <v>122</v>
      </c>
      <c r="R40">
        <v>0</v>
      </c>
      <c r="S40">
        <v>0</v>
      </c>
      <c r="T40" t="s">
        <v>123</v>
      </c>
      <c r="U40" t="s">
        <v>125</v>
      </c>
      <c r="W40" t="s">
        <v>126</v>
      </c>
      <c r="X40" t="s">
        <v>127</v>
      </c>
      <c r="Y40">
        <v>0</v>
      </c>
      <c r="Z40">
        <v>0</v>
      </c>
      <c r="AA40">
        <v>0</v>
      </c>
    </row>
    <row r="41" spans="1:27" x14ac:dyDescent="0.25">
      <c r="A41" t="s">
        <v>357</v>
      </c>
      <c r="B41">
        <v>622</v>
      </c>
      <c r="C41" t="s">
        <v>358</v>
      </c>
      <c r="D41">
        <v>148</v>
      </c>
      <c r="E41">
        <v>2842.98</v>
      </c>
      <c r="F41">
        <v>0</v>
      </c>
      <c r="G41" t="s">
        <v>105</v>
      </c>
      <c r="H41" t="s">
        <v>251</v>
      </c>
      <c r="I41" t="s">
        <v>97</v>
      </c>
      <c r="J41" t="s">
        <v>107</v>
      </c>
      <c r="K41">
        <v>8</v>
      </c>
      <c r="L41" t="s">
        <v>23</v>
      </c>
      <c r="M41" t="s">
        <v>40</v>
      </c>
      <c r="O41">
        <v>2842.98</v>
      </c>
      <c r="P41">
        <v>970.2</v>
      </c>
      <c r="Q41" t="s">
        <v>359</v>
      </c>
      <c r="R41">
        <v>0</v>
      </c>
      <c r="S41">
        <v>0</v>
      </c>
      <c r="T41" t="s">
        <v>360</v>
      </c>
      <c r="U41" t="s">
        <v>361</v>
      </c>
      <c r="V41" t="s">
        <v>362</v>
      </c>
      <c r="W41" t="s">
        <v>363</v>
      </c>
      <c r="X41" t="s">
        <v>143</v>
      </c>
      <c r="Y41">
        <v>12.5</v>
      </c>
      <c r="Z41">
        <v>0</v>
      </c>
      <c r="AA41">
        <v>0</v>
      </c>
    </row>
    <row r="42" spans="1:27" x14ac:dyDescent="0.25">
      <c r="A42" t="s">
        <v>357</v>
      </c>
      <c r="B42">
        <v>623</v>
      </c>
      <c r="C42" t="s">
        <v>364</v>
      </c>
      <c r="D42">
        <v>0</v>
      </c>
      <c r="E42">
        <v>2134</v>
      </c>
      <c r="F42">
        <v>0</v>
      </c>
      <c r="G42" t="s">
        <v>95</v>
      </c>
      <c r="H42" t="s">
        <v>96</v>
      </c>
      <c r="J42" t="s">
        <v>98</v>
      </c>
      <c r="K42">
        <v>0</v>
      </c>
      <c r="L42" t="s">
        <v>23</v>
      </c>
      <c r="M42" t="s">
        <v>40</v>
      </c>
      <c r="O42">
        <v>2134</v>
      </c>
      <c r="P42">
        <v>0</v>
      </c>
      <c r="Q42" t="s">
        <v>365</v>
      </c>
      <c r="R42">
        <v>0</v>
      </c>
      <c r="S42">
        <v>0</v>
      </c>
      <c r="T42" t="s">
        <v>366</v>
      </c>
      <c r="U42" t="s">
        <v>367</v>
      </c>
      <c r="W42" t="s">
        <v>363</v>
      </c>
      <c r="X42" t="s">
        <v>143</v>
      </c>
      <c r="Y42">
        <v>0</v>
      </c>
      <c r="Z42">
        <v>0</v>
      </c>
      <c r="AA42">
        <v>0</v>
      </c>
    </row>
    <row r="43" spans="1:27" x14ac:dyDescent="0.25">
      <c r="A43" t="s">
        <v>368</v>
      </c>
      <c r="B43">
        <v>520</v>
      </c>
      <c r="C43" t="s">
        <v>369</v>
      </c>
      <c r="D43">
        <v>0</v>
      </c>
      <c r="E43">
        <v>1771.5</v>
      </c>
      <c r="F43">
        <v>0</v>
      </c>
      <c r="G43" t="s">
        <v>95</v>
      </c>
      <c r="H43" t="s">
        <v>96</v>
      </c>
      <c r="J43" t="s">
        <v>98</v>
      </c>
      <c r="K43">
        <v>0</v>
      </c>
      <c r="L43" t="s">
        <v>23</v>
      </c>
      <c r="M43" t="s">
        <v>40</v>
      </c>
      <c r="O43">
        <v>1771.5</v>
      </c>
      <c r="P43">
        <v>0</v>
      </c>
      <c r="R43">
        <v>0</v>
      </c>
      <c r="S43">
        <v>0</v>
      </c>
      <c r="T43" t="s">
        <v>370</v>
      </c>
      <c r="V43" t="s">
        <v>371</v>
      </c>
      <c r="W43" t="s">
        <v>363</v>
      </c>
      <c r="X43" t="s">
        <v>143</v>
      </c>
      <c r="Y43">
        <v>0</v>
      </c>
      <c r="Z43">
        <v>0</v>
      </c>
      <c r="AA43">
        <v>1710</v>
      </c>
    </row>
    <row r="44" spans="1:27" x14ac:dyDescent="0.25">
      <c r="A44" t="s">
        <v>368</v>
      </c>
      <c r="B44">
        <v>519</v>
      </c>
      <c r="C44" t="s">
        <v>372</v>
      </c>
      <c r="D44">
        <v>129</v>
      </c>
      <c r="E44">
        <v>4027.6</v>
      </c>
      <c r="F44">
        <v>0</v>
      </c>
      <c r="G44" t="s">
        <v>105</v>
      </c>
      <c r="H44" t="s">
        <v>373</v>
      </c>
      <c r="I44" t="s">
        <v>97</v>
      </c>
      <c r="J44" t="s">
        <v>107</v>
      </c>
      <c r="K44">
        <v>8</v>
      </c>
      <c r="L44" t="s">
        <v>23</v>
      </c>
      <c r="M44" t="s">
        <v>40</v>
      </c>
      <c r="O44">
        <v>4027.6</v>
      </c>
      <c r="P44">
        <v>1326.79</v>
      </c>
      <c r="Q44" t="s">
        <v>374</v>
      </c>
      <c r="R44">
        <v>0</v>
      </c>
      <c r="S44">
        <v>0</v>
      </c>
      <c r="T44" t="s">
        <v>370</v>
      </c>
      <c r="V44" t="s">
        <v>371</v>
      </c>
      <c r="W44" t="s">
        <v>142</v>
      </c>
      <c r="X44" t="s">
        <v>143</v>
      </c>
      <c r="Y44">
        <v>12.5</v>
      </c>
      <c r="Z44">
        <v>0</v>
      </c>
      <c r="AA44">
        <v>1710</v>
      </c>
    </row>
    <row r="45" spans="1:27" x14ac:dyDescent="0.25">
      <c r="A45" t="s">
        <v>375</v>
      </c>
      <c r="B45">
        <v>620</v>
      </c>
      <c r="C45" t="s">
        <v>376</v>
      </c>
      <c r="D45">
        <v>0</v>
      </c>
      <c r="E45">
        <v>2301.8000000000002</v>
      </c>
      <c r="F45">
        <v>0</v>
      </c>
      <c r="G45" t="s">
        <v>95</v>
      </c>
      <c r="H45" t="s">
        <v>96</v>
      </c>
      <c r="I45" t="s">
        <v>97</v>
      </c>
      <c r="J45" t="s">
        <v>98</v>
      </c>
      <c r="K45">
        <v>0</v>
      </c>
      <c r="L45" t="s">
        <v>23</v>
      </c>
      <c r="M45" t="s">
        <v>40</v>
      </c>
      <c r="O45">
        <v>2301.8000000000002</v>
      </c>
      <c r="P45">
        <v>0</v>
      </c>
      <c r="R45">
        <v>0</v>
      </c>
      <c r="S45">
        <v>0</v>
      </c>
      <c r="T45" t="s">
        <v>377</v>
      </c>
      <c r="V45" t="s">
        <v>378</v>
      </c>
      <c r="W45" t="s">
        <v>142</v>
      </c>
      <c r="X45" t="s">
        <v>143</v>
      </c>
      <c r="Y45">
        <v>0</v>
      </c>
      <c r="Z45">
        <v>0</v>
      </c>
      <c r="AA45">
        <v>0</v>
      </c>
    </row>
    <row r="46" spans="1:27" x14ac:dyDescent="0.25">
      <c r="A46" t="s">
        <v>375</v>
      </c>
      <c r="B46">
        <v>621</v>
      </c>
      <c r="C46" t="s">
        <v>379</v>
      </c>
      <c r="D46">
        <v>0</v>
      </c>
      <c r="E46">
        <v>87</v>
      </c>
      <c r="F46">
        <v>0</v>
      </c>
      <c r="G46" t="s">
        <v>95</v>
      </c>
      <c r="H46" t="s">
        <v>96</v>
      </c>
      <c r="J46" t="s">
        <v>98</v>
      </c>
      <c r="K46">
        <v>0</v>
      </c>
      <c r="L46" t="s">
        <v>23</v>
      </c>
      <c r="M46" t="s">
        <v>40</v>
      </c>
      <c r="O46">
        <v>87</v>
      </c>
      <c r="P46">
        <v>0</v>
      </c>
      <c r="Q46" t="s">
        <v>380</v>
      </c>
      <c r="R46">
        <v>0</v>
      </c>
      <c r="S46">
        <v>0</v>
      </c>
      <c r="T46" t="s">
        <v>381</v>
      </c>
      <c r="V46" t="s">
        <v>378</v>
      </c>
      <c r="W46" t="s">
        <v>382</v>
      </c>
      <c r="X46" t="s">
        <v>143</v>
      </c>
      <c r="Y46">
        <v>0</v>
      </c>
      <c r="Z46">
        <v>0</v>
      </c>
      <c r="AA46">
        <v>0</v>
      </c>
    </row>
    <row r="47" spans="1:27" x14ac:dyDescent="0.25">
      <c r="A47" t="s">
        <v>383</v>
      </c>
      <c r="B47">
        <v>108</v>
      </c>
      <c r="C47" t="s">
        <v>384</v>
      </c>
      <c r="D47">
        <v>0</v>
      </c>
      <c r="E47">
        <v>3130</v>
      </c>
      <c r="F47">
        <v>0</v>
      </c>
      <c r="G47" t="s">
        <v>95</v>
      </c>
      <c r="H47" t="s">
        <v>96</v>
      </c>
      <c r="I47" t="s">
        <v>97</v>
      </c>
      <c r="J47" t="s">
        <v>98</v>
      </c>
      <c r="K47">
        <v>0</v>
      </c>
      <c r="L47" t="s">
        <v>23</v>
      </c>
      <c r="M47" t="s">
        <v>40</v>
      </c>
      <c r="O47">
        <v>3130</v>
      </c>
      <c r="P47">
        <v>0</v>
      </c>
      <c r="R47">
        <v>0</v>
      </c>
      <c r="S47">
        <v>0</v>
      </c>
      <c r="T47" t="s">
        <v>385</v>
      </c>
      <c r="U47" t="s">
        <v>386</v>
      </c>
      <c r="V47" t="s">
        <v>387</v>
      </c>
      <c r="W47" t="s">
        <v>388</v>
      </c>
      <c r="X47" t="s">
        <v>318</v>
      </c>
      <c r="Y47">
        <v>0</v>
      </c>
      <c r="Z47">
        <v>0</v>
      </c>
      <c r="AA47">
        <v>0</v>
      </c>
    </row>
    <row r="48" spans="1:27" x14ac:dyDescent="0.25">
      <c r="A48" t="s">
        <v>383</v>
      </c>
      <c r="B48">
        <v>454</v>
      </c>
      <c r="C48" t="s">
        <v>389</v>
      </c>
      <c r="D48">
        <v>1</v>
      </c>
      <c r="E48">
        <v>5148.6000000000004</v>
      </c>
      <c r="F48">
        <v>0</v>
      </c>
      <c r="G48" t="s">
        <v>95</v>
      </c>
      <c r="H48" t="s">
        <v>96</v>
      </c>
      <c r="I48" t="s">
        <v>390</v>
      </c>
      <c r="J48" t="s">
        <v>98</v>
      </c>
      <c r="K48">
        <v>0</v>
      </c>
      <c r="L48" t="s">
        <v>23</v>
      </c>
      <c r="M48" t="s">
        <v>40</v>
      </c>
      <c r="N48" t="s">
        <v>53</v>
      </c>
      <c r="O48">
        <v>5148.6000000000004</v>
      </c>
      <c r="P48">
        <v>0</v>
      </c>
      <c r="Q48" t="s">
        <v>391</v>
      </c>
      <c r="R48">
        <v>0</v>
      </c>
      <c r="S48">
        <v>0</v>
      </c>
      <c r="T48" t="s">
        <v>392</v>
      </c>
      <c r="U48" t="s">
        <v>393</v>
      </c>
      <c r="V48" t="s">
        <v>394</v>
      </c>
      <c r="W48" t="s">
        <v>395</v>
      </c>
      <c r="X48" t="s">
        <v>396</v>
      </c>
      <c r="Y48">
        <v>0</v>
      </c>
      <c r="Z48">
        <v>0</v>
      </c>
      <c r="AA48">
        <v>0</v>
      </c>
    </row>
    <row r="49" spans="1:27" x14ac:dyDescent="0.25">
      <c r="A49" t="s">
        <v>383</v>
      </c>
      <c r="B49">
        <v>453</v>
      </c>
      <c r="C49" t="s">
        <v>397</v>
      </c>
      <c r="D49">
        <v>85</v>
      </c>
      <c r="E49">
        <v>25889.919999999998</v>
      </c>
      <c r="F49">
        <v>0</v>
      </c>
      <c r="G49" t="s">
        <v>105</v>
      </c>
      <c r="H49" t="s">
        <v>398</v>
      </c>
      <c r="I49" t="s">
        <v>97</v>
      </c>
      <c r="J49" t="s">
        <v>107</v>
      </c>
      <c r="K49">
        <v>8</v>
      </c>
      <c r="L49" t="s">
        <v>23</v>
      </c>
      <c r="M49" t="s">
        <v>40</v>
      </c>
      <c r="O49">
        <v>25889.919999999998</v>
      </c>
      <c r="P49">
        <v>10353.200000000001</v>
      </c>
      <c r="Q49" t="s">
        <v>399</v>
      </c>
      <c r="R49">
        <v>0</v>
      </c>
      <c r="S49">
        <v>0</v>
      </c>
      <c r="T49" t="s">
        <v>400</v>
      </c>
      <c r="U49" t="s">
        <v>401</v>
      </c>
      <c r="V49" t="s">
        <v>402</v>
      </c>
      <c r="W49" t="s">
        <v>117</v>
      </c>
      <c r="X49" t="s">
        <v>118</v>
      </c>
      <c r="Y49">
        <v>12.5</v>
      </c>
      <c r="Z49">
        <v>0</v>
      </c>
      <c r="AA49">
        <v>1545</v>
      </c>
    </row>
    <row r="50" spans="1:27" x14ac:dyDescent="0.25">
      <c r="A50" t="s">
        <v>403</v>
      </c>
      <c r="B50">
        <v>81</v>
      </c>
      <c r="C50" t="s">
        <v>404</v>
      </c>
      <c r="D50">
        <v>18</v>
      </c>
      <c r="E50">
        <v>2836.2</v>
      </c>
      <c r="F50">
        <v>217</v>
      </c>
      <c r="G50" t="s">
        <v>137</v>
      </c>
      <c r="H50" t="s">
        <v>405</v>
      </c>
      <c r="I50" t="s">
        <v>97</v>
      </c>
      <c r="J50" t="s">
        <v>107</v>
      </c>
      <c r="K50">
        <v>8</v>
      </c>
      <c r="L50" t="s">
        <v>23</v>
      </c>
      <c r="M50" t="s">
        <v>40</v>
      </c>
      <c r="O50">
        <v>2836.2</v>
      </c>
      <c r="P50">
        <v>1013.4</v>
      </c>
      <c r="Q50" t="s">
        <v>406</v>
      </c>
      <c r="R50">
        <v>0</v>
      </c>
      <c r="S50">
        <v>0</v>
      </c>
      <c r="T50" t="s">
        <v>407</v>
      </c>
      <c r="V50" t="s">
        <v>408</v>
      </c>
      <c r="W50" t="s">
        <v>142</v>
      </c>
      <c r="X50" t="s">
        <v>143</v>
      </c>
      <c r="Y50">
        <v>12.5</v>
      </c>
      <c r="Z50">
        <v>0</v>
      </c>
      <c r="AA50">
        <v>0</v>
      </c>
    </row>
    <row r="51" spans="1:27" x14ac:dyDescent="0.25">
      <c r="A51" t="s">
        <v>403</v>
      </c>
      <c r="B51">
        <v>972</v>
      </c>
      <c r="C51" t="s">
        <v>409</v>
      </c>
      <c r="D51">
        <v>0</v>
      </c>
      <c r="E51">
        <v>1038.96</v>
      </c>
      <c r="F51">
        <v>0</v>
      </c>
      <c r="G51" t="s">
        <v>410</v>
      </c>
      <c r="H51" t="s">
        <v>411</v>
      </c>
      <c r="J51" t="s">
        <v>98</v>
      </c>
      <c r="K51">
        <v>0</v>
      </c>
      <c r="L51" t="s">
        <v>23</v>
      </c>
      <c r="M51" t="s">
        <v>40</v>
      </c>
      <c r="N51" t="s">
        <v>53</v>
      </c>
      <c r="O51">
        <v>1038.96</v>
      </c>
      <c r="P51">
        <v>0</v>
      </c>
      <c r="Q51" t="s">
        <v>412</v>
      </c>
      <c r="R51">
        <v>0</v>
      </c>
      <c r="S51">
        <v>0</v>
      </c>
      <c r="T51" t="s">
        <v>413</v>
      </c>
      <c r="V51" t="s">
        <v>414</v>
      </c>
      <c r="W51" t="s">
        <v>415</v>
      </c>
      <c r="X51" t="s">
        <v>312</v>
      </c>
      <c r="Y51">
        <v>0</v>
      </c>
      <c r="Z51">
        <v>0</v>
      </c>
      <c r="AA51">
        <v>0</v>
      </c>
    </row>
    <row r="52" spans="1:27" s="10" customFormat="1" x14ac:dyDescent="0.25">
      <c r="A52" s="10" t="s">
        <v>114</v>
      </c>
      <c r="B52" s="10">
        <v>538</v>
      </c>
      <c r="C52" s="10" t="s">
        <v>110</v>
      </c>
      <c r="D52" s="10">
        <v>1</v>
      </c>
      <c r="E52" s="10">
        <v>1350</v>
      </c>
      <c r="F52" s="10">
        <v>0</v>
      </c>
      <c r="G52" s="10" t="s">
        <v>95</v>
      </c>
      <c r="H52" s="10" t="s">
        <v>96</v>
      </c>
      <c r="J52" s="10" t="s">
        <v>98</v>
      </c>
      <c r="K52" s="10">
        <v>0</v>
      </c>
      <c r="L52" s="10" t="s">
        <v>23</v>
      </c>
      <c r="M52" s="10" t="s">
        <v>40</v>
      </c>
      <c r="N52" s="10" t="s">
        <v>53</v>
      </c>
      <c r="O52" s="10">
        <v>1350</v>
      </c>
      <c r="P52" s="10">
        <v>0</v>
      </c>
      <c r="R52" s="10">
        <v>0</v>
      </c>
      <c r="S52" s="10">
        <v>0</v>
      </c>
      <c r="T52" s="10" t="s">
        <v>119</v>
      </c>
      <c r="U52" s="10" t="s">
        <v>115</v>
      </c>
      <c r="V52" s="10" t="s">
        <v>120</v>
      </c>
      <c r="W52" s="10" t="s">
        <v>117</v>
      </c>
      <c r="X52" s="10" t="s">
        <v>118</v>
      </c>
      <c r="Y52" s="10">
        <v>0</v>
      </c>
      <c r="Z52" s="10">
        <v>0</v>
      </c>
      <c r="AA52" s="10">
        <v>0</v>
      </c>
    </row>
    <row r="53" spans="1:27" x14ac:dyDescent="0.25">
      <c r="A53" t="s">
        <v>114</v>
      </c>
      <c r="B53">
        <v>973</v>
      </c>
      <c r="C53" t="s">
        <v>416</v>
      </c>
      <c r="D53">
        <v>1</v>
      </c>
      <c r="E53">
        <v>1084.5</v>
      </c>
      <c r="F53">
        <v>0</v>
      </c>
      <c r="G53" t="s">
        <v>95</v>
      </c>
      <c r="H53" t="s">
        <v>96</v>
      </c>
      <c r="J53" t="s">
        <v>98</v>
      </c>
      <c r="K53">
        <v>0</v>
      </c>
      <c r="L53" t="s">
        <v>23</v>
      </c>
      <c r="M53" t="s">
        <v>40</v>
      </c>
      <c r="N53" t="s">
        <v>53</v>
      </c>
      <c r="O53">
        <v>1084.5</v>
      </c>
      <c r="P53">
        <v>0</v>
      </c>
      <c r="Q53" t="s">
        <v>417</v>
      </c>
      <c r="R53">
        <v>0</v>
      </c>
      <c r="S53">
        <v>0</v>
      </c>
      <c r="T53" t="s">
        <v>418</v>
      </c>
      <c r="U53" t="s">
        <v>419</v>
      </c>
      <c r="W53" t="s">
        <v>420</v>
      </c>
      <c r="X53" t="s">
        <v>118</v>
      </c>
      <c r="Y53">
        <v>0</v>
      </c>
      <c r="Z53">
        <v>0</v>
      </c>
      <c r="AA53">
        <v>0</v>
      </c>
    </row>
    <row r="54" spans="1:27" x14ac:dyDescent="0.25">
      <c r="A54" t="s">
        <v>114</v>
      </c>
      <c r="B54">
        <v>539</v>
      </c>
      <c r="C54" t="s">
        <v>110</v>
      </c>
      <c r="D54">
        <v>57</v>
      </c>
      <c r="E54">
        <v>2300</v>
      </c>
      <c r="F54">
        <v>209</v>
      </c>
      <c r="G54" t="s">
        <v>105</v>
      </c>
      <c r="H54" t="s">
        <v>111</v>
      </c>
      <c r="I54" t="s">
        <v>97</v>
      </c>
      <c r="J54" t="s">
        <v>107</v>
      </c>
      <c r="K54">
        <v>8</v>
      </c>
      <c r="L54" t="s">
        <v>23</v>
      </c>
      <c r="M54" t="s">
        <v>40</v>
      </c>
      <c r="O54">
        <v>2300</v>
      </c>
      <c r="P54">
        <v>1032.47</v>
      </c>
      <c r="Q54" t="s">
        <v>112</v>
      </c>
      <c r="R54">
        <v>0</v>
      </c>
      <c r="S54">
        <v>0</v>
      </c>
      <c r="T54" t="s">
        <v>113</v>
      </c>
      <c r="U54" t="s">
        <v>115</v>
      </c>
      <c r="V54" t="s">
        <v>116</v>
      </c>
      <c r="W54" t="s">
        <v>117</v>
      </c>
      <c r="X54" t="s">
        <v>118</v>
      </c>
      <c r="Y54">
        <v>12.5</v>
      </c>
      <c r="Z54">
        <v>0</v>
      </c>
      <c r="AA54">
        <v>0</v>
      </c>
    </row>
    <row r="55" spans="1:27" x14ac:dyDescent="0.25">
      <c r="A55" t="s">
        <v>421</v>
      </c>
      <c r="B55">
        <v>249</v>
      </c>
      <c r="C55" t="s">
        <v>422</v>
      </c>
      <c r="D55">
        <v>0</v>
      </c>
      <c r="E55">
        <v>1480</v>
      </c>
      <c r="F55">
        <v>0</v>
      </c>
      <c r="G55" t="s">
        <v>95</v>
      </c>
      <c r="H55" t="s">
        <v>96</v>
      </c>
      <c r="J55" t="s">
        <v>98</v>
      </c>
      <c r="K55">
        <v>0</v>
      </c>
      <c r="L55" t="s">
        <v>23</v>
      </c>
      <c r="M55" t="s">
        <v>40</v>
      </c>
      <c r="N55" t="s">
        <v>53</v>
      </c>
      <c r="O55">
        <v>1480</v>
      </c>
      <c r="P55">
        <v>0</v>
      </c>
      <c r="Q55" t="s">
        <v>423</v>
      </c>
      <c r="R55">
        <v>0</v>
      </c>
      <c r="S55">
        <v>0</v>
      </c>
      <c r="T55" t="s">
        <v>424</v>
      </c>
      <c r="U55" t="s">
        <v>425</v>
      </c>
      <c r="W55" t="s">
        <v>426</v>
      </c>
      <c r="X55" t="s">
        <v>427</v>
      </c>
      <c r="Y55">
        <v>0</v>
      </c>
      <c r="Z55">
        <v>0</v>
      </c>
      <c r="AA55">
        <v>0</v>
      </c>
    </row>
    <row r="56" spans="1:27" x14ac:dyDescent="0.25">
      <c r="A56" t="s">
        <v>421</v>
      </c>
      <c r="B56">
        <v>248</v>
      </c>
      <c r="C56" t="s">
        <v>428</v>
      </c>
      <c r="D56">
        <v>48</v>
      </c>
      <c r="E56">
        <v>9083.44</v>
      </c>
      <c r="F56">
        <v>0</v>
      </c>
      <c r="G56" t="s">
        <v>105</v>
      </c>
      <c r="H56" t="s">
        <v>429</v>
      </c>
      <c r="I56" t="s">
        <v>97</v>
      </c>
      <c r="J56" t="s">
        <v>107</v>
      </c>
      <c r="K56">
        <v>8</v>
      </c>
      <c r="L56" t="s">
        <v>23</v>
      </c>
      <c r="M56" t="s">
        <v>40</v>
      </c>
      <c r="O56">
        <v>9083.44</v>
      </c>
      <c r="P56">
        <v>3683.96</v>
      </c>
      <c r="Q56" t="s">
        <v>430</v>
      </c>
      <c r="R56">
        <v>0</v>
      </c>
      <c r="S56">
        <v>0</v>
      </c>
      <c r="T56" t="s">
        <v>424</v>
      </c>
      <c r="V56" t="s">
        <v>431</v>
      </c>
      <c r="W56" t="s">
        <v>432</v>
      </c>
      <c r="X56" t="s">
        <v>427</v>
      </c>
      <c r="Y56">
        <v>12.5</v>
      </c>
      <c r="Z56">
        <v>0</v>
      </c>
      <c r="AA56">
        <v>0</v>
      </c>
    </row>
    <row r="57" spans="1:27" x14ac:dyDescent="0.25">
      <c r="A57" t="s">
        <v>101</v>
      </c>
      <c r="B57">
        <v>375</v>
      </c>
      <c r="C57" t="s">
        <v>94</v>
      </c>
      <c r="D57">
        <v>42</v>
      </c>
      <c r="E57">
        <v>3458</v>
      </c>
      <c r="F57">
        <v>0</v>
      </c>
      <c r="G57" t="s">
        <v>105</v>
      </c>
      <c r="H57" t="s">
        <v>106</v>
      </c>
      <c r="I57" t="s">
        <v>97</v>
      </c>
      <c r="J57" t="s">
        <v>107</v>
      </c>
      <c r="K57">
        <v>8</v>
      </c>
      <c r="L57" t="s">
        <v>23</v>
      </c>
      <c r="M57" t="s">
        <v>40</v>
      </c>
      <c r="O57">
        <v>3458</v>
      </c>
      <c r="P57">
        <v>1391.02</v>
      </c>
      <c r="Q57" t="s">
        <v>99</v>
      </c>
      <c r="R57">
        <v>0</v>
      </c>
      <c r="S57">
        <v>0</v>
      </c>
      <c r="T57" t="s">
        <v>100</v>
      </c>
      <c r="U57" t="s">
        <v>108</v>
      </c>
      <c r="V57" t="s">
        <v>109</v>
      </c>
      <c r="W57" t="s">
        <v>103</v>
      </c>
      <c r="X57" t="s">
        <v>104</v>
      </c>
      <c r="Y57">
        <v>12.5</v>
      </c>
      <c r="Z57">
        <v>0</v>
      </c>
      <c r="AA57">
        <v>1267</v>
      </c>
    </row>
    <row r="58" spans="1:27" x14ac:dyDescent="0.25">
      <c r="A58" t="s">
        <v>101</v>
      </c>
      <c r="B58">
        <v>376</v>
      </c>
      <c r="C58" t="s">
        <v>94</v>
      </c>
      <c r="D58">
        <v>0</v>
      </c>
      <c r="E58">
        <v>1038</v>
      </c>
      <c r="F58">
        <v>0</v>
      </c>
      <c r="G58" t="s">
        <v>95</v>
      </c>
      <c r="H58" t="s">
        <v>96</v>
      </c>
      <c r="I58" t="s">
        <v>97</v>
      </c>
      <c r="J58" t="s">
        <v>98</v>
      </c>
      <c r="K58">
        <v>0</v>
      </c>
      <c r="L58" t="s">
        <v>23</v>
      </c>
      <c r="M58" t="s">
        <v>40</v>
      </c>
      <c r="O58">
        <v>1038</v>
      </c>
      <c r="P58">
        <v>0</v>
      </c>
      <c r="Q58" t="s">
        <v>99</v>
      </c>
      <c r="R58">
        <v>0</v>
      </c>
      <c r="S58">
        <v>0</v>
      </c>
      <c r="T58" t="s">
        <v>100</v>
      </c>
      <c r="V58" t="s">
        <v>102</v>
      </c>
      <c r="W58" t="s">
        <v>103</v>
      </c>
      <c r="X58" t="s">
        <v>104</v>
      </c>
      <c r="Y58">
        <v>0</v>
      </c>
      <c r="Z58">
        <v>0</v>
      </c>
      <c r="AA58">
        <v>1267</v>
      </c>
    </row>
    <row r="59" spans="1:27" x14ac:dyDescent="0.25">
      <c r="A59" t="s">
        <v>433</v>
      </c>
      <c r="B59">
        <v>281</v>
      </c>
      <c r="C59" t="s">
        <v>434</v>
      </c>
      <c r="D59">
        <v>0</v>
      </c>
      <c r="E59">
        <v>2576</v>
      </c>
      <c r="F59">
        <v>0</v>
      </c>
      <c r="G59" t="s">
        <v>95</v>
      </c>
      <c r="H59" t="s">
        <v>96</v>
      </c>
      <c r="I59" t="s">
        <v>97</v>
      </c>
      <c r="J59" t="s">
        <v>98</v>
      </c>
      <c r="K59">
        <v>0</v>
      </c>
      <c r="L59" t="s">
        <v>23</v>
      </c>
      <c r="M59" t="s">
        <v>40</v>
      </c>
      <c r="O59">
        <v>2576</v>
      </c>
      <c r="P59">
        <v>0</v>
      </c>
      <c r="R59">
        <v>0</v>
      </c>
      <c r="S59">
        <v>0</v>
      </c>
      <c r="T59" t="s">
        <v>435</v>
      </c>
      <c r="V59" t="s">
        <v>436</v>
      </c>
      <c r="W59" t="s">
        <v>142</v>
      </c>
      <c r="X59" t="s">
        <v>143</v>
      </c>
      <c r="Y59">
        <v>0</v>
      </c>
      <c r="Z59">
        <v>0</v>
      </c>
      <c r="AA59">
        <v>0</v>
      </c>
    </row>
    <row r="60" spans="1:27" x14ac:dyDescent="0.25">
      <c r="A60" t="s">
        <v>433</v>
      </c>
      <c r="B60">
        <v>282</v>
      </c>
      <c r="C60" t="s">
        <v>437</v>
      </c>
      <c r="D60">
        <v>0</v>
      </c>
      <c r="E60">
        <v>3120</v>
      </c>
      <c r="F60">
        <v>0</v>
      </c>
      <c r="G60" t="s">
        <v>95</v>
      </c>
      <c r="H60" t="s">
        <v>96</v>
      </c>
      <c r="J60" t="s">
        <v>98</v>
      </c>
      <c r="K60">
        <v>0</v>
      </c>
      <c r="L60" t="s">
        <v>23</v>
      </c>
      <c r="M60" t="s">
        <v>40</v>
      </c>
      <c r="O60">
        <v>3120</v>
      </c>
      <c r="P60">
        <v>0</v>
      </c>
      <c r="R60">
        <v>0</v>
      </c>
      <c r="S60">
        <v>0</v>
      </c>
      <c r="T60" t="s">
        <v>438</v>
      </c>
      <c r="V60" t="s">
        <v>436</v>
      </c>
      <c r="W60" t="s">
        <v>363</v>
      </c>
      <c r="X60" t="s">
        <v>143</v>
      </c>
      <c r="Y60">
        <v>0</v>
      </c>
      <c r="Z60">
        <v>0</v>
      </c>
      <c r="AA60">
        <v>0</v>
      </c>
    </row>
    <row r="61" spans="1:27" x14ac:dyDescent="0.25">
      <c r="A61" t="s">
        <v>439</v>
      </c>
      <c r="B61">
        <v>974</v>
      </c>
      <c r="C61" t="s">
        <v>440</v>
      </c>
      <c r="D61">
        <v>1</v>
      </c>
      <c r="E61">
        <v>1578</v>
      </c>
      <c r="F61">
        <v>0</v>
      </c>
      <c r="G61" t="s">
        <v>95</v>
      </c>
      <c r="H61" t="s">
        <v>96</v>
      </c>
      <c r="J61" t="s">
        <v>98</v>
      </c>
      <c r="K61">
        <v>0</v>
      </c>
      <c r="L61" t="s">
        <v>23</v>
      </c>
      <c r="M61" t="s">
        <v>40</v>
      </c>
      <c r="N61" t="s">
        <v>53</v>
      </c>
      <c r="O61">
        <v>1578</v>
      </c>
      <c r="P61">
        <v>0</v>
      </c>
      <c r="Q61" t="s">
        <v>441</v>
      </c>
      <c r="R61">
        <v>0</v>
      </c>
      <c r="S61">
        <v>0</v>
      </c>
      <c r="T61" t="s">
        <v>442</v>
      </c>
      <c r="U61" t="s">
        <v>443</v>
      </c>
      <c r="V61" t="s">
        <v>444</v>
      </c>
      <c r="W61" t="s">
        <v>445</v>
      </c>
      <c r="X61" t="s">
        <v>446</v>
      </c>
      <c r="Y61">
        <v>0</v>
      </c>
      <c r="Z61">
        <v>0</v>
      </c>
      <c r="AA61">
        <v>0</v>
      </c>
    </row>
    <row r="62" spans="1:27" x14ac:dyDescent="0.25">
      <c r="A62" t="s">
        <v>439</v>
      </c>
      <c r="B62">
        <v>374</v>
      </c>
      <c r="C62" t="s">
        <v>447</v>
      </c>
      <c r="D62">
        <v>0</v>
      </c>
      <c r="E62">
        <v>17513.400000000001</v>
      </c>
      <c r="F62">
        <v>0</v>
      </c>
      <c r="G62" t="s">
        <v>448</v>
      </c>
      <c r="H62" t="s">
        <v>449</v>
      </c>
      <c r="J62" t="s">
        <v>98</v>
      </c>
      <c r="K62">
        <v>0</v>
      </c>
      <c r="L62" t="s">
        <v>23</v>
      </c>
      <c r="M62" t="s">
        <v>40</v>
      </c>
      <c r="O62">
        <v>17513.400000000001</v>
      </c>
      <c r="P62">
        <v>0</v>
      </c>
      <c r="Q62" t="s">
        <v>450</v>
      </c>
      <c r="R62">
        <v>0</v>
      </c>
      <c r="S62">
        <v>0</v>
      </c>
      <c r="T62" t="s">
        <v>100</v>
      </c>
      <c r="U62" t="s">
        <v>451</v>
      </c>
      <c r="W62" t="s">
        <v>452</v>
      </c>
      <c r="X62" t="s">
        <v>453</v>
      </c>
      <c r="Y62">
        <v>0</v>
      </c>
      <c r="Z62">
        <v>0</v>
      </c>
      <c r="AA62">
        <v>0</v>
      </c>
    </row>
    <row r="63" spans="1:27" x14ac:dyDescent="0.25">
      <c r="A63" t="s">
        <v>454</v>
      </c>
      <c r="B63">
        <v>280</v>
      </c>
      <c r="C63" t="s">
        <v>455</v>
      </c>
      <c r="D63">
        <v>0</v>
      </c>
      <c r="E63">
        <v>7629.3</v>
      </c>
      <c r="F63">
        <v>0</v>
      </c>
      <c r="G63" t="s">
        <v>105</v>
      </c>
      <c r="H63" t="s">
        <v>456</v>
      </c>
      <c r="I63" t="s">
        <v>97</v>
      </c>
      <c r="J63" t="s">
        <v>107</v>
      </c>
      <c r="K63">
        <v>8</v>
      </c>
      <c r="L63" t="s">
        <v>23</v>
      </c>
      <c r="M63" t="s">
        <v>40</v>
      </c>
      <c r="O63">
        <v>7629.3</v>
      </c>
      <c r="P63">
        <v>2227.1999999999998</v>
      </c>
      <c r="Q63" t="s">
        <v>457</v>
      </c>
      <c r="R63">
        <v>0</v>
      </c>
      <c r="S63">
        <v>0</v>
      </c>
      <c r="T63" t="s">
        <v>435</v>
      </c>
      <c r="V63" t="s">
        <v>436</v>
      </c>
      <c r="W63" t="s">
        <v>142</v>
      </c>
      <c r="X63" t="s">
        <v>143</v>
      </c>
      <c r="Y63">
        <v>12.5</v>
      </c>
      <c r="Z63">
        <v>0</v>
      </c>
      <c r="AA63">
        <v>975</v>
      </c>
    </row>
    <row r="64" spans="1:27" x14ac:dyDescent="0.25">
      <c r="A64" t="s">
        <v>454</v>
      </c>
      <c r="B64">
        <v>975</v>
      </c>
      <c r="C64" t="s">
        <v>458</v>
      </c>
      <c r="D64">
        <v>0</v>
      </c>
      <c r="E64">
        <v>3276</v>
      </c>
      <c r="F64">
        <v>0</v>
      </c>
      <c r="G64" t="s">
        <v>95</v>
      </c>
      <c r="H64" t="s">
        <v>96</v>
      </c>
      <c r="J64" t="s">
        <v>98</v>
      </c>
      <c r="K64">
        <v>0</v>
      </c>
      <c r="L64" t="s">
        <v>23</v>
      </c>
      <c r="M64" t="s">
        <v>40</v>
      </c>
      <c r="N64" t="s">
        <v>53</v>
      </c>
      <c r="O64">
        <v>7776</v>
      </c>
      <c r="P64">
        <v>0</v>
      </c>
      <c r="Q64" t="s">
        <v>459</v>
      </c>
      <c r="R64">
        <v>0</v>
      </c>
      <c r="S64">
        <v>0</v>
      </c>
      <c r="T64" t="s">
        <v>460</v>
      </c>
      <c r="U64" t="s">
        <v>461</v>
      </c>
      <c r="V64" t="s">
        <v>462</v>
      </c>
      <c r="W64" t="s">
        <v>463</v>
      </c>
      <c r="X64" t="s">
        <v>464</v>
      </c>
      <c r="Y64">
        <v>0</v>
      </c>
      <c r="Z64">
        <v>0</v>
      </c>
      <c r="AA64">
        <v>0</v>
      </c>
    </row>
    <row r="65" spans="1:27" x14ac:dyDescent="0.25">
      <c r="A65" t="s">
        <v>465</v>
      </c>
      <c r="B65">
        <v>826</v>
      </c>
      <c r="C65" t="s">
        <v>466</v>
      </c>
      <c r="D65">
        <v>0</v>
      </c>
      <c r="E65">
        <v>6000</v>
      </c>
      <c r="F65">
        <v>0</v>
      </c>
      <c r="G65" t="s">
        <v>95</v>
      </c>
      <c r="H65" t="s">
        <v>96</v>
      </c>
      <c r="J65" t="s">
        <v>98</v>
      </c>
      <c r="K65">
        <v>0</v>
      </c>
      <c r="L65" t="s">
        <v>185</v>
      </c>
      <c r="M65" t="s">
        <v>40</v>
      </c>
      <c r="O65">
        <v>6000</v>
      </c>
      <c r="P65">
        <v>0</v>
      </c>
      <c r="Q65" t="s">
        <v>467</v>
      </c>
      <c r="R65">
        <v>0</v>
      </c>
      <c r="S65">
        <v>0</v>
      </c>
      <c r="T65" t="s">
        <v>468</v>
      </c>
      <c r="U65" t="s">
        <v>469</v>
      </c>
      <c r="W65" t="s">
        <v>363</v>
      </c>
      <c r="X65" t="s">
        <v>143</v>
      </c>
      <c r="Y65">
        <v>0</v>
      </c>
      <c r="Z65">
        <v>0</v>
      </c>
      <c r="AA65">
        <v>0</v>
      </c>
    </row>
    <row r="66" spans="1:27" x14ac:dyDescent="0.25">
      <c r="A66" t="s">
        <v>465</v>
      </c>
      <c r="B66">
        <v>330</v>
      </c>
      <c r="C66" t="s">
        <v>470</v>
      </c>
      <c r="D66">
        <v>0</v>
      </c>
      <c r="E66">
        <v>6000</v>
      </c>
      <c r="F66">
        <v>0</v>
      </c>
      <c r="G66" t="s">
        <v>95</v>
      </c>
      <c r="H66" t="s">
        <v>96</v>
      </c>
      <c r="J66" t="s">
        <v>98</v>
      </c>
      <c r="K66">
        <v>0</v>
      </c>
      <c r="L66" t="s">
        <v>185</v>
      </c>
      <c r="M66" t="s">
        <v>40</v>
      </c>
      <c r="O66">
        <v>0</v>
      </c>
      <c r="P66">
        <v>0</v>
      </c>
      <c r="R66">
        <v>0</v>
      </c>
      <c r="S66">
        <v>0</v>
      </c>
      <c r="T66" t="s">
        <v>468</v>
      </c>
      <c r="U66" t="s">
        <v>469</v>
      </c>
      <c r="W66" t="s">
        <v>363</v>
      </c>
      <c r="X66" t="s">
        <v>143</v>
      </c>
      <c r="Y66">
        <v>0</v>
      </c>
      <c r="Z66">
        <v>0</v>
      </c>
      <c r="AA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assess 3.25</vt:lpstr>
      <vt:lpstr>Assess</vt:lpstr>
      <vt:lpstr>15 YEAR BAL</vt:lpstr>
      <vt:lpstr>notes</vt:lpstr>
      <vt:lpstr>Sheet1</vt:lpstr>
      <vt:lpstr>Sheet2</vt:lpstr>
      <vt:lpstr>Collect20</vt:lpstr>
      <vt:lpstr>UB BILLING</vt:lpstr>
      <vt:lpstr>ASSESSMENT</vt:lpstr>
      <vt:lpstr>LEFTTOCONV</vt:lpstr>
      <vt:lpstr>Duplicate assessments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markk</dc:creator>
  <cp:lastModifiedBy>Mark Koropatkin</cp:lastModifiedBy>
  <cp:lastPrinted>2023-02-08T12:10:29Z</cp:lastPrinted>
  <dcterms:created xsi:type="dcterms:W3CDTF">2022-12-22T12:57:51Z</dcterms:created>
  <dcterms:modified xsi:type="dcterms:W3CDTF">2024-04-15T16:35:58Z</dcterms:modified>
</cp:coreProperties>
</file>