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k\Downloads\"/>
    </mc:Choice>
  </mc:AlternateContent>
  <xr:revisionPtr revIDLastSave="0" documentId="13_ncr:1_{5CB5E1C8-11B2-416D-BC28-42C794590C87}" xr6:coauthVersionLast="47" xr6:coauthVersionMax="47" xr10:uidLastSave="{00000000-0000-0000-0000-000000000000}"/>
  <bookViews>
    <workbookView xWindow="-120" yWindow="-120" windowWidth="24240" windowHeight="13140" xr2:uid="{89405D9C-11B8-4FED-A470-206280E163C7}"/>
  </bookViews>
  <sheets>
    <sheet name="1513" sheetId="1" r:id="rId1"/>
    <sheet name="2669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4" i="3" l="1"/>
  <c r="O14" i="3"/>
  <c r="L14" i="3"/>
  <c r="H14" i="3"/>
  <c r="E14" i="3"/>
  <c r="B14" i="3"/>
  <c r="Q6" i="3"/>
  <c r="Q7" i="3" s="1"/>
  <c r="Q8" i="3" s="1"/>
  <c r="Q9" i="3" s="1"/>
  <c r="Q10" i="3" s="1"/>
  <c r="Q11" i="3" s="1"/>
  <c r="G6" i="3"/>
  <c r="G7" i="3" s="1"/>
  <c r="G8" i="3" s="1"/>
  <c r="G9" i="3" s="1"/>
  <c r="G10" i="3" s="1"/>
  <c r="G11" i="3" s="1"/>
  <c r="D6" i="3"/>
  <c r="D7" i="3" s="1"/>
  <c r="D8" i="3" s="1"/>
  <c r="D9" i="3" s="1"/>
  <c r="D10" i="3" s="1"/>
  <c r="D11" i="3" s="1"/>
  <c r="D12" i="3" s="1"/>
  <c r="D13" i="3" s="1"/>
  <c r="Q5" i="3"/>
  <c r="N5" i="3"/>
  <c r="N6" i="3" s="1"/>
  <c r="N7" i="3" s="1"/>
  <c r="N8" i="3" s="1"/>
  <c r="N9" i="3" s="1"/>
  <c r="N10" i="3" s="1"/>
  <c r="N11" i="3" s="1"/>
  <c r="N12" i="3" s="1"/>
  <c r="N13" i="3" s="1"/>
  <c r="K5" i="3"/>
  <c r="K6" i="3" s="1"/>
  <c r="K7" i="3" s="1"/>
  <c r="K8" i="3" s="1"/>
  <c r="K9" i="3" s="1"/>
  <c r="K10" i="3" s="1"/>
  <c r="K11" i="3" s="1"/>
  <c r="K12" i="3" s="1"/>
  <c r="K13" i="3" s="1"/>
  <c r="G5" i="3"/>
  <c r="D5" i="3"/>
  <c r="A5" i="3"/>
  <c r="A6" i="3" s="1"/>
  <c r="A7" i="3" s="1"/>
  <c r="A8" i="3" s="1"/>
  <c r="A9" i="3" s="1"/>
  <c r="A10" i="3" s="1"/>
  <c r="A11" i="3" s="1"/>
  <c r="A12" i="3" s="1"/>
  <c r="A13" i="3" s="1"/>
  <c r="R14" i="1"/>
  <c r="O14" i="1"/>
  <c r="L14" i="1"/>
  <c r="K8" i="1"/>
  <c r="K9" i="1" s="1"/>
  <c r="K10" i="1" s="1"/>
  <c r="K11" i="1" s="1"/>
  <c r="K12" i="1" s="1"/>
  <c r="K13" i="1" s="1"/>
  <c r="K7" i="1"/>
  <c r="Q6" i="1"/>
  <c r="Q7" i="1" s="1"/>
  <c r="Q8" i="1" s="1"/>
  <c r="Q9" i="1" s="1"/>
  <c r="Q10" i="1" s="1"/>
  <c r="Q11" i="1" s="1"/>
  <c r="K6" i="1"/>
  <c r="Q5" i="1"/>
  <c r="N5" i="1"/>
  <c r="N6" i="1" s="1"/>
  <c r="N7" i="1" s="1"/>
  <c r="N8" i="1" s="1"/>
  <c r="N9" i="1" s="1"/>
  <c r="N10" i="1" s="1"/>
  <c r="N11" i="1" s="1"/>
  <c r="N12" i="1" s="1"/>
  <c r="N13" i="1" s="1"/>
  <c r="K5" i="1"/>
  <c r="H14" i="1"/>
  <c r="I14" i="1" s="1"/>
  <c r="E14" i="1"/>
  <c r="B14" i="1"/>
  <c r="G5" i="1"/>
  <c r="G6" i="1" s="1"/>
  <c r="G7" i="1" s="1"/>
  <c r="G8" i="1" s="1"/>
  <c r="G9" i="1" s="1"/>
  <c r="G10" i="1" s="1"/>
  <c r="G11" i="1" s="1"/>
  <c r="D6" i="1"/>
  <c r="D7" i="1" s="1"/>
  <c r="D8" i="1" s="1"/>
  <c r="D9" i="1" s="1"/>
  <c r="D10" i="1" s="1"/>
  <c r="D11" i="1" s="1"/>
  <c r="D12" i="1" s="1"/>
  <c r="D13" i="1" s="1"/>
  <c r="D5" i="1"/>
  <c r="A5" i="1"/>
  <c r="A6" i="1" s="1"/>
  <c r="A7" i="1" s="1"/>
  <c r="A8" i="1" s="1"/>
  <c r="A9" i="1" s="1"/>
  <c r="A10" i="1" s="1"/>
  <c r="A11" i="1" s="1"/>
  <c r="A12" i="1" s="1"/>
  <c r="A13" i="1" s="1"/>
  <c r="I14" i="3" l="1"/>
  <c r="I15" i="3" s="1"/>
  <c r="S14" i="3"/>
  <c r="S15" i="3" s="1"/>
  <c r="S14" i="1"/>
  <c r="S15" i="1" s="1"/>
</calcChain>
</file>

<file path=xl/sharedStrings.xml><?xml version="1.0" encoding="utf-8"?>
<sst xmlns="http://schemas.openxmlformats.org/spreadsheetml/2006/main" count="26" uniqueCount="7">
  <si>
    <t>1513 Troy Thomas</t>
  </si>
  <si>
    <t>Assessment</t>
  </si>
  <si>
    <t>Tax</t>
  </si>
  <si>
    <t>QDS</t>
  </si>
  <si>
    <t>GEMS</t>
  </si>
  <si>
    <t>Left 2021</t>
  </si>
  <si>
    <t>2669 Babij Michelle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</si>
</sst>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righ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900F9-D0CF-4502-8950-38CCAF07C4BC}">
  <dimension ref="A1:S15"/>
  <sheetViews>
    <sheetView tabSelected="1" workbookViewId="0">
      <selection activeCell="S15" sqref="S15"/>
    </sheetView>
  </sheetViews>
  <sheetFormatPr defaultRowHeight="14.25"/>
  <cols>
    <col min="1" max="1" width="6.25" customWidth="1"/>
    <col min="3" max="3" width="3.375" customWidth="1"/>
    <col min="4" max="4" width="6.25" customWidth="1"/>
    <col min="6" max="6" width="2.375" customWidth="1"/>
    <col min="7" max="7" width="6.25" customWidth="1"/>
    <col min="8" max="8" width="10.75" customWidth="1"/>
    <col min="10" max="10" width="3.625" customWidth="1"/>
    <col min="11" max="11" width="5.125" customWidth="1"/>
    <col min="13" max="13" width="2.375" customWidth="1"/>
    <col min="14" max="14" width="5.5" customWidth="1"/>
    <col min="16" max="16" width="2.125" customWidth="1"/>
    <col min="17" max="17" width="5.625" customWidth="1"/>
    <col min="18" max="18" width="10.125" customWidth="1"/>
  </cols>
  <sheetData>
    <row r="1" spans="1:19" ht="15">
      <c r="A1" t="s">
        <v>0</v>
      </c>
      <c r="E1" s="2" t="s">
        <v>3</v>
      </c>
      <c r="H1" t="s">
        <v>1</v>
      </c>
      <c r="I1">
        <v>13215.44</v>
      </c>
      <c r="K1" t="s">
        <v>0</v>
      </c>
      <c r="O1" s="2" t="s">
        <v>4</v>
      </c>
      <c r="R1" t="s">
        <v>1</v>
      </c>
      <c r="S1">
        <v>13687.34</v>
      </c>
    </row>
    <row r="2" spans="1:19">
      <c r="R2" t="s">
        <v>5</v>
      </c>
      <c r="S2">
        <v>466.67</v>
      </c>
    </row>
    <row r="3" spans="1:19">
      <c r="B3" s="1" t="s">
        <v>2</v>
      </c>
      <c r="E3" s="1" t="s">
        <v>2</v>
      </c>
      <c r="H3" s="1" t="s">
        <v>2</v>
      </c>
      <c r="L3" s="1" t="s">
        <v>2</v>
      </c>
      <c r="O3" s="1" t="s">
        <v>2</v>
      </c>
      <c r="R3" s="1" t="s">
        <v>2</v>
      </c>
    </row>
    <row r="4" spans="1:19">
      <c r="A4">
        <v>1995</v>
      </c>
      <c r="B4">
        <v>471.98</v>
      </c>
      <c r="D4">
        <v>2005</v>
      </c>
      <c r="E4">
        <v>471.98</v>
      </c>
      <c r="G4">
        <v>2015</v>
      </c>
      <c r="H4">
        <v>471.98</v>
      </c>
      <c r="K4">
        <v>1995</v>
      </c>
      <c r="L4">
        <v>471.98</v>
      </c>
      <c r="N4">
        <v>2005</v>
      </c>
      <c r="O4">
        <v>471.98</v>
      </c>
      <c r="Q4">
        <v>2015</v>
      </c>
      <c r="R4">
        <v>477.21</v>
      </c>
    </row>
    <row r="5" spans="1:19">
      <c r="A5">
        <f>A4+1</f>
        <v>1996</v>
      </c>
      <c r="B5">
        <v>471.98</v>
      </c>
      <c r="D5">
        <f>D4+1</f>
        <v>2006</v>
      </c>
      <c r="E5">
        <v>471.98</v>
      </c>
      <c r="G5">
        <f>G4+1</f>
        <v>2016</v>
      </c>
      <c r="H5">
        <v>471.98</v>
      </c>
      <c r="K5">
        <f>K4+1</f>
        <v>1996</v>
      </c>
      <c r="L5">
        <v>471.98</v>
      </c>
      <c r="N5">
        <f>N4+1</f>
        <v>2006</v>
      </c>
      <c r="O5">
        <v>471.98</v>
      </c>
      <c r="Q5">
        <f>Q4+1</f>
        <v>2016</v>
      </c>
      <c r="R5">
        <v>471.98</v>
      </c>
    </row>
    <row r="6" spans="1:19">
      <c r="A6">
        <f t="shared" ref="A6:A32" si="0">A5+1</f>
        <v>1997</v>
      </c>
      <c r="B6">
        <v>471.98</v>
      </c>
      <c r="D6">
        <f t="shared" ref="D6:D13" si="1">D5+1</f>
        <v>2007</v>
      </c>
      <c r="E6">
        <v>471.98</v>
      </c>
      <c r="G6">
        <f t="shared" ref="G6:G12" si="2">G5+1</f>
        <v>2017</v>
      </c>
      <c r="H6">
        <v>471.98</v>
      </c>
      <c r="K6">
        <f t="shared" ref="K6:K14" si="3">K5+1</f>
        <v>1997</v>
      </c>
      <c r="L6">
        <v>471.98</v>
      </c>
      <c r="N6">
        <f t="shared" ref="N6:N13" si="4">N5+1</f>
        <v>2007</v>
      </c>
      <c r="O6">
        <v>471.98</v>
      </c>
      <c r="Q6">
        <f t="shared" ref="Q6:Q12" si="5">Q5+1</f>
        <v>2017</v>
      </c>
      <c r="R6">
        <v>471.98</v>
      </c>
    </row>
    <row r="7" spans="1:19">
      <c r="A7">
        <f t="shared" si="0"/>
        <v>1998</v>
      </c>
      <c r="B7">
        <v>471.98</v>
      </c>
      <c r="D7">
        <f t="shared" si="1"/>
        <v>2008</v>
      </c>
      <c r="E7">
        <v>471.98</v>
      </c>
      <c r="G7">
        <f t="shared" si="2"/>
        <v>2018</v>
      </c>
      <c r="H7">
        <v>471.98</v>
      </c>
      <c r="K7">
        <f t="shared" si="3"/>
        <v>1998</v>
      </c>
      <c r="L7">
        <v>471.98</v>
      </c>
      <c r="N7">
        <f t="shared" si="4"/>
        <v>2008</v>
      </c>
      <c r="O7">
        <v>471.98</v>
      </c>
      <c r="Q7">
        <f t="shared" si="5"/>
        <v>2018</v>
      </c>
      <c r="R7">
        <v>471.98</v>
      </c>
    </row>
    <row r="8" spans="1:19">
      <c r="A8">
        <f t="shared" si="0"/>
        <v>1999</v>
      </c>
      <c r="B8">
        <v>471.98</v>
      </c>
      <c r="D8">
        <f t="shared" si="1"/>
        <v>2009</v>
      </c>
      <c r="E8">
        <v>471.98</v>
      </c>
      <c r="G8">
        <f t="shared" si="2"/>
        <v>2019</v>
      </c>
      <c r="H8">
        <v>471.98</v>
      </c>
      <c r="K8">
        <f t="shared" si="3"/>
        <v>1999</v>
      </c>
      <c r="L8">
        <v>471.98</v>
      </c>
      <c r="N8">
        <f t="shared" si="4"/>
        <v>2009</v>
      </c>
      <c r="O8">
        <v>471.98</v>
      </c>
      <c r="Q8">
        <f t="shared" si="5"/>
        <v>2019</v>
      </c>
      <c r="R8">
        <v>471.98</v>
      </c>
    </row>
    <row r="9" spans="1:19">
      <c r="A9">
        <f t="shared" si="0"/>
        <v>2000</v>
      </c>
      <c r="B9">
        <v>471.98</v>
      </c>
      <c r="D9">
        <f t="shared" si="1"/>
        <v>2010</v>
      </c>
      <c r="E9">
        <v>471.98</v>
      </c>
      <c r="G9">
        <f t="shared" si="2"/>
        <v>2020</v>
      </c>
      <c r="H9">
        <v>471.98</v>
      </c>
      <c r="K9">
        <f t="shared" si="3"/>
        <v>2000</v>
      </c>
      <c r="L9">
        <v>471.98</v>
      </c>
      <c r="N9">
        <f t="shared" si="4"/>
        <v>2010</v>
      </c>
      <c r="O9">
        <v>471.98</v>
      </c>
      <c r="Q9">
        <f t="shared" si="5"/>
        <v>2020</v>
      </c>
      <c r="R9">
        <v>471.98</v>
      </c>
    </row>
    <row r="10" spans="1:19">
      <c r="A10">
        <f t="shared" si="0"/>
        <v>2001</v>
      </c>
      <c r="B10">
        <v>471.98</v>
      </c>
      <c r="D10">
        <f t="shared" si="1"/>
        <v>2011</v>
      </c>
      <c r="E10">
        <v>471.98</v>
      </c>
      <c r="G10">
        <f t="shared" si="2"/>
        <v>2021</v>
      </c>
      <c r="H10">
        <v>471.98</v>
      </c>
      <c r="K10">
        <f t="shared" si="3"/>
        <v>2001</v>
      </c>
      <c r="L10">
        <v>471.98</v>
      </c>
      <c r="N10">
        <f t="shared" si="4"/>
        <v>2011</v>
      </c>
      <c r="O10">
        <v>471.98</v>
      </c>
      <c r="Q10">
        <f t="shared" si="5"/>
        <v>2021</v>
      </c>
      <c r="R10">
        <v>471.98</v>
      </c>
    </row>
    <row r="11" spans="1:19">
      <c r="A11">
        <f t="shared" si="0"/>
        <v>2002</v>
      </c>
      <c r="B11">
        <v>471.98</v>
      </c>
      <c r="D11">
        <f t="shared" si="1"/>
        <v>2012</v>
      </c>
      <c r="E11">
        <v>471.98</v>
      </c>
      <c r="G11">
        <f t="shared" si="2"/>
        <v>2022</v>
      </c>
      <c r="H11">
        <v>471.98</v>
      </c>
      <c r="K11">
        <f t="shared" si="3"/>
        <v>2002</v>
      </c>
      <c r="L11">
        <v>471.98</v>
      </c>
      <c r="N11">
        <f t="shared" si="4"/>
        <v>2012</v>
      </c>
      <c r="O11">
        <v>471.98</v>
      </c>
      <c r="Q11">
        <f t="shared" si="5"/>
        <v>2022</v>
      </c>
      <c r="R11">
        <v>466.67</v>
      </c>
    </row>
    <row r="12" spans="1:19">
      <c r="A12">
        <f t="shared" si="0"/>
        <v>2003</v>
      </c>
      <c r="B12">
        <v>471.98</v>
      </c>
      <c r="D12">
        <f t="shared" si="1"/>
        <v>2013</v>
      </c>
      <c r="E12">
        <v>471.98</v>
      </c>
      <c r="G12">
        <v>2023</v>
      </c>
      <c r="H12">
        <v>466.67</v>
      </c>
      <c r="K12">
        <f t="shared" si="3"/>
        <v>2003</v>
      </c>
      <c r="L12">
        <v>471.98</v>
      </c>
      <c r="N12">
        <f t="shared" si="4"/>
        <v>2013</v>
      </c>
      <c r="O12">
        <v>471.98</v>
      </c>
    </row>
    <row r="13" spans="1:19">
      <c r="A13">
        <f t="shared" si="0"/>
        <v>2004</v>
      </c>
      <c r="B13">
        <v>471.98</v>
      </c>
      <c r="D13">
        <f t="shared" si="1"/>
        <v>2014</v>
      </c>
      <c r="E13">
        <v>471.98</v>
      </c>
      <c r="K13">
        <f t="shared" si="3"/>
        <v>2004</v>
      </c>
      <c r="L13">
        <v>471.98</v>
      </c>
      <c r="N13">
        <f t="shared" si="4"/>
        <v>2014</v>
      </c>
      <c r="O13">
        <v>471.98</v>
      </c>
    </row>
    <row r="14" spans="1:19" ht="15">
      <c r="B14" s="2">
        <f>SUM(B4:B13)</f>
        <v>4719.7999999999993</v>
      </c>
      <c r="C14" s="2"/>
      <c r="D14" s="2"/>
      <c r="E14" s="2">
        <f>SUM(E4:E13)</f>
        <v>4719.7999999999993</v>
      </c>
      <c r="F14" s="2"/>
      <c r="G14" s="2"/>
      <c r="H14" s="2">
        <f>SUM(H4:H13)</f>
        <v>4242.51</v>
      </c>
      <c r="I14" s="2">
        <f>B14+E14+H14</f>
        <v>13682.109999999999</v>
      </c>
      <c r="L14" s="2">
        <f>SUM(L4:L13)</f>
        <v>4719.7999999999993</v>
      </c>
      <c r="M14" s="2"/>
      <c r="N14" s="2"/>
      <c r="O14" s="2">
        <f>SUM(O4:O13)</f>
        <v>4719.7999999999993</v>
      </c>
      <c r="P14" s="2"/>
      <c r="Q14" s="2"/>
      <c r="R14" s="2">
        <f>SUM(R4:R13)</f>
        <v>3775.76</v>
      </c>
      <c r="S14" s="2">
        <f>L14+O14+R14</f>
        <v>13215.359999999999</v>
      </c>
    </row>
    <row r="15" spans="1:19">
      <c r="S15">
        <f>S1-S14</f>
        <v>471.98000000000138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C8036-6502-4EBA-882B-18F198554260}">
  <dimension ref="A1:S15"/>
  <sheetViews>
    <sheetView workbookViewId="0">
      <selection activeCell="R2" sqref="R2"/>
    </sheetView>
  </sheetViews>
  <sheetFormatPr defaultRowHeight="14.25"/>
  <cols>
    <col min="1" max="1" width="6.25" customWidth="1"/>
    <col min="3" max="3" width="3.375" customWidth="1"/>
    <col min="4" max="4" width="6.25" customWidth="1"/>
    <col min="6" max="6" width="2.375" customWidth="1"/>
    <col min="7" max="7" width="6.25" customWidth="1"/>
    <col min="8" max="8" width="10.75" customWidth="1"/>
    <col min="10" max="10" width="3.625" customWidth="1"/>
    <col min="11" max="11" width="5.125" customWidth="1"/>
    <col min="13" max="13" width="2.375" customWidth="1"/>
    <col min="14" max="14" width="5.5" customWidth="1"/>
    <col min="16" max="16" width="2.125" customWidth="1"/>
    <col min="17" max="17" width="5.625" customWidth="1"/>
    <col min="18" max="18" width="10.125" customWidth="1"/>
  </cols>
  <sheetData>
    <row r="1" spans="1:19" ht="15">
      <c r="A1" t="s">
        <v>6</v>
      </c>
      <c r="E1" s="2" t="s">
        <v>3</v>
      </c>
      <c r="H1" t="s">
        <v>1</v>
      </c>
      <c r="I1">
        <v>12937.34</v>
      </c>
      <c r="K1" t="s">
        <v>6</v>
      </c>
      <c r="O1" s="2" t="s">
        <v>4</v>
      </c>
      <c r="R1" t="s">
        <v>1</v>
      </c>
      <c r="S1">
        <v>12937.34</v>
      </c>
    </row>
    <row r="2" spans="1:19">
      <c r="R2" t="s">
        <v>5</v>
      </c>
      <c r="S2">
        <v>445.98</v>
      </c>
    </row>
    <row r="3" spans="1:19">
      <c r="B3" s="1" t="s">
        <v>2</v>
      </c>
      <c r="E3" s="1" t="s">
        <v>2</v>
      </c>
      <c r="H3" s="1" t="s">
        <v>2</v>
      </c>
      <c r="L3" s="1" t="s">
        <v>2</v>
      </c>
      <c r="O3" s="1" t="s">
        <v>2</v>
      </c>
      <c r="R3" s="1" t="s">
        <v>2</v>
      </c>
    </row>
    <row r="4" spans="1:19">
      <c r="A4">
        <v>1995</v>
      </c>
      <c r="B4">
        <v>446.12</v>
      </c>
      <c r="D4">
        <v>2005</v>
      </c>
      <c r="E4">
        <v>446.12</v>
      </c>
      <c r="G4">
        <v>2015</v>
      </c>
      <c r="H4">
        <v>446.12</v>
      </c>
      <c r="K4">
        <v>1995</v>
      </c>
      <c r="L4">
        <v>446.12</v>
      </c>
      <c r="N4">
        <v>2005</v>
      </c>
      <c r="O4">
        <v>446.12</v>
      </c>
      <c r="Q4">
        <v>2015</v>
      </c>
      <c r="R4">
        <v>446.12</v>
      </c>
    </row>
    <row r="5" spans="1:19">
      <c r="A5">
        <f>A4+1</f>
        <v>1996</v>
      </c>
      <c r="B5">
        <v>446.12</v>
      </c>
      <c r="D5">
        <f>D4+1</f>
        <v>2006</v>
      </c>
      <c r="E5">
        <v>446.12</v>
      </c>
      <c r="G5">
        <f>G4+1</f>
        <v>2016</v>
      </c>
      <c r="H5">
        <v>446.12</v>
      </c>
      <c r="K5">
        <f>K4+1</f>
        <v>1996</v>
      </c>
      <c r="L5">
        <v>446.12</v>
      </c>
      <c r="N5">
        <f>N4+1</f>
        <v>2006</v>
      </c>
      <c r="O5">
        <v>446.12</v>
      </c>
      <c r="Q5">
        <f>Q4+1</f>
        <v>2016</v>
      </c>
      <c r="R5">
        <v>446.12</v>
      </c>
    </row>
    <row r="6" spans="1:19">
      <c r="A6">
        <f t="shared" ref="A6:A32" si="0">A5+1</f>
        <v>1997</v>
      </c>
      <c r="B6">
        <v>446.12</v>
      </c>
      <c r="D6">
        <f t="shared" ref="D6:D13" si="1">D5+1</f>
        <v>2007</v>
      </c>
      <c r="E6">
        <v>446.12</v>
      </c>
      <c r="G6">
        <f t="shared" ref="G6:G12" si="2">G5+1</f>
        <v>2017</v>
      </c>
      <c r="H6">
        <v>446.12</v>
      </c>
      <c r="K6">
        <f t="shared" ref="K6:K14" si="3">K5+1</f>
        <v>1997</v>
      </c>
      <c r="L6">
        <v>446.12</v>
      </c>
      <c r="N6">
        <f t="shared" ref="N6:N13" si="4">N5+1</f>
        <v>2007</v>
      </c>
      <c r="O6">
        <v>446.12</v>
      </c>
      <c r="Q6">
        <f t="shared" ref="Q6:Q12" si="5">Q5+1</f>
        <v>2017</v>
      </c>
      <c r="R6">
        <v>446.12</v>
      </c>
    </row>
    <row r="7" spans="1:19">
      <c r="A7">
        <f t="shared" si="0"/>
        <v>1998</v>
      </c>
      <c r="B7">
        <v>446.12</v>
      </c>
      <c r="D7">
        <f t="shared" si="1"/>
        <v>2008</v>
      </c>
      <c r="E7">
        <v>446.12</v>
      </c>
      <c r="G7">
        <f t="shared" si="2"/>
        <v>2018</v>
      </c>
      <c r="H7">
        <v>446.12</v>
      </c>
      <c r="K7">
        <f t="shared" si="3"/>
        <v>1998</v>
      </c>
      <c r="L7">
        <v>446.12</v>
      </c>
      <c r="N7">
        <f t="shared" si="4"/>
        <v>2008</v>
      </c>
      <c r="O7">
        <v>446.12</v>
      </c>
      <c r="Q7">
        <f t="shared" si="5"/>
        <v>2018</v>
      </c>
      <c r="R7">
        <v>446.12</v>
      </c>
    </row>
    <row r="8" spans="1:19">
      <c r="A8">
        <f t="shared" si="0"/>
        <v>1999</v>
      </c>
      <c r="B8">
        <v>446.12</v>
      </c>
      <c r="D8">
        <f t="shared" si="1"/>
        <v>2009</v>
      </c>
      <c r="E8">
        <v>446.12</v>
      </c>
      <c r="G8">
        <f t="shared" si="2"/>
        <v>2019</v>
      </c>
      <c r="H8">
        <v>446.12</v>
      </c>
      <c r="K8">
        <f t="shared" si="3"/>
        <v>1999</v>
      </c>
      <c r="L8">
        <v>446.12</v>
      </c>
      <c r="N8">
        <f t="shared" si="4"/>
        <v>2009</v>
      </c>
      <c r="O8">
        <v>446.12</v>
      </c>
      <c r="Q8">
        <f t="shared" si="5"/>
        <v>2019</v>
      </c>
      <c r="R8">
        <v>446.12</v>
      </c>
    </row>
    <row r="9" spans="1:19">
      <c r="A9">
        <f t="shared" si="0"/>
        <v>2000</v>
      </c>
      <c r="B9">
        <v>446.12</v>
      </c>
      <c r="D9">
        <f t="shared" si="1"/>
        <v>2010</v>
      </c>
      <c r="E9">
        <v>446.12</v>
      </c>
      <c r="G9">
        <f t="shared" si="2"/>
        <v>2020</v>
      </c>
      <c r="H9">
        <v>546.11</v>
      </c>
      <c r="K9">
        <f t="shared" si="3"/>
        <v>2000</v>
      </c>
      <c r="L9">
        <v>446.12</v>
      </c>
      <c r="N9">
        <f t="shared" si="4"/>
        <v>2010</v>
      </c>
      <c r="O9">
        <v>446.12</v>
      </c>
      <c r="Q9">
        <f t="shared" si="5"/>
        <v>2020</v>
      </c>
      <c r="R9">
        <v>446.12</v>
      </c>
    </row>
    <row r="10" spans="1:19">
      <c r="A10">
        <f t="shared" si="0"/>
        <v>2001</v>
      </c>
      <c r="B10">
        <v>446.12</v>
      </c>
      <c r="D10">
        <f t="shared" si="1"/>
        <v>2011</v>
      </c>
      <c r="E10">
        <v>446.12</v>
      </c>
      <c r="G10">
        <f t="shared" si="2"/>
        <v>2021</v>
      </c>
      <c r="H10">
        <v>446.12</v>
      </c>
      <c r="K10">
        <f t="shared" si="3"/>
        <v>2001</v>
      </c>
      <c r="L10">
        <v>446.12</v>
      </c>
      <c r="N10">
        <f t="shared" si="4"/>
        <v>2011</v>
      </c>
      <c r="O10">
        <v>446.12</v>
      </c>
      <c r="Q10">
        <f t="shared" si="5"/>
        <v>2021</v>
      </c>
      <c r="R10">
        <v>446.12</v>
      </c>
    </row>
    <row r="11" spans="1:19">
      <c r="A11">
        <f t="shared" si="0"/>
        <v>2002</v>
      </c>
      <c r="B11">
        <v>446.12</v>
      </c>
      <c r="D11">
        <f t="shared" si="1"/>
        <v>2012</v>
      </c>
      <c r="E11">
        <v>446.12</v>
      </c>
      <c r="G11">
        <f t="shared" si="2"/>
        <v>2022</v>
      </c>
      <c r="H11">
        <v>298.99</v>
      </c>
      <c r="K11">
        <f t="shared" si="3"/>
        <v>2002</v>
      </c>
      <c r="L11">
        <v>446.12</v>
      </c>
      <c r="N11">
        <f t="shared" si="4"/>
        <v>2012</v>
      </c>
      <c r="O11">
        <v>446.12</v>
      </c>
      <c r="Q11">
        <f t="shared" si="5"/>
        <v>2022</v>
      </c>
      <c r="R11">
        <v>445.98</v>
      </c>
    </row>
    <row r="12" spans="1:19">
      <c r="A12">
        <f t="shared" si="0"/>
        <v>2003</v>
      </c>
      <c r="B12">
        <v>446.12</v>
      </c>
      <c r="D12">
        <f t="shared" si="1"/>
        <v>2013</v>
      </c>
      <c r="E12">
        <v>446.12</v>
      </c>
      <c r="G12">
        <v>2023</v>
      </c>
      <c r="H12">
        <v>723.46</v>
      </c>
      <c r="K12">
        <f t="shared" si="3"/>
        <v>2003</v>
      </c>
      <c r="L12">
        <v>446.12</v>
      </c>
      <c r="N12">
        <f t="shared" si="4"/>
        <v>2013</v>
      </c>
      <c r="O12">
        <v>446.12</v>
      </c>
    </row>
    <row r="13" spans="1:19">
      <c r="A13">
        <f t="shared" si="0"/>
        <v>2004</v>
      </c>
      <c r="B13">
        <v>446.12</v>
      </c>
      <c r="D13">
        <f t="shared" si="1"/>
        <v>2014</v>
      </c>
      <c r="E13">
        <v>446.12</v>
      </c>
      <c r="K13">
        <f t="shared" si="3"/>
        <v>2004</v>
      </c>
      <c r="L13">
        <v>446.12</v>
      </c>
      <c r="N13">
        <f t="shared" si="4"/>
        <v>2014</v>
      </c>
      <c r="O13">
        <v>446.12</v>
      </c>
    </row>
    <row r="14" spans="1:19" ht="15">
      <c r="B14" s="2">
        <f>SUM(B4:B13)</f>
        <v>4461.2</v>
      </c>
      <c r="C14" s="2"/>
      <c r="D14" s="2"/>
      <c r="E14" s="2">
        <f>SUM(E4:E13)</f>
        <v>4461.2</v>
      </c>
      <c r="F14" s="2"/>
      <c r="G14" s="2"/>
      <c r="H14" s="2">
        <f>SUM(H4:H13)</f>
        <v>4245.28</v>
      </c>
      <c r="I14" s="2">
        <f>B14+E14+H14</f>
        <v>13167.68</v>
      </c>
      <c r="L14" s="2">
        <f>SUM(L4:L13)</f>
        <v>4461.2</v>
      </c>
      <c r="M14" s="2"/>
      <c r="N14" s="2"/>
      <c r="O14" s="2">
        <f>SUM(O4:O13)</f>
        <v>4461.2</v>
      </c>
      <c r="P14" s="2"/>
      <c r="Q14" s="2"/>
      <c r="R14" s="2">
        <f>SUM(R4:R13)</f>
        <v>3568.8199999999997</v>
      </c>
      <c r="S14" s="2">
        <f>L14+O14+R14</f>
        <v>12491.22</v>
      </c>
    </row>
    <row r="15" spans="1:19">
      <c r="I15">
        <f>I1-I14</f>
        <v>-230.34000000000015</v>
      </c>
      <c r="S15">
        <f>S1-S14</f>
        <v>446.1200000000008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1513</vt:lpstr>
      <vt:lpstr>2669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Koropatkin</dc:creator>
  <cp:lastModifiedBy>Mark Koropatkin</cp:lastModifiedBy>
  <dcterms:created xsi:type="dcterms:W3CDTF">2024-03-28T16:05:29Z</dcterms:created>
  <dcterms:modified xsi:type="dcterms:W3CDTF">2024-03-28T17:11:43Z</dcterms:modified>
</cp:coreProperties>
</file>